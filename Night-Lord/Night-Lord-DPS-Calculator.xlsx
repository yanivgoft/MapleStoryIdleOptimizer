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IFERROR(1/(IF(Inputs!$B$39="pvp",15,MAX(0.1,Skills!D3-IF(Skills!E3=TRUE,Inputs!$B$32,0)))*(1-IF(AND(ArtifactsInput!$M$27,Inputs!$B$4="Chapter Hunt"),CHOOSE(ArtifactsInput!$N$27+1,20,24,28,32,36,40),0)/100)),0)</f>
        <v/>
      </c>
      <c r="R3">
        <f>IF(AND(Inputs!$B$39&lt;&gt;"pvp",Inputs!$B$44&gt;0),IF(MAX(0,Inputs!$B$44-Summary!$B$26)&lt;=0,0,(INT(MAX(0,Inputs!$B$44-Summary!$B$26)/(IF(Inputs!$B$39="pvp",15,MAX(0.1,Skills!D3-IF(Skills!E3=TRUE,Inputs!$B$32,0)))*(1-IF(AND(ArtifactsInput!$M$27,Inputs!$B$4="Chapter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IFERROR(1/(IF(Inputs!$B$39="pvp",15,MAX(0.1,Skills!D4-IF(Skills!E4=TRUE,Inputs!$B$32,0)))*(1-IF(AND(ArtifactsInput!$M$27,Inputs!$B$4="Chapter Hunt"),CHOOSE(ArtifactsInput!$N$27+1,20,24,28,32,36,40),0)/100)),0)</f>
        <v/>
      </c>
      <c r="R4">
        <f>IF(AND(Inputs!$B$39&lt;&gt;"pvp",Inputs!$B$44&gt;0),IF(MAX(0,Inputs!$B$44-Summary!$B$26)&lt;=0,0,(INT(MAX(0,Inputs!$B$44-Summary!$B$26)/(IF(Inputs!$B$39="pvp",15,MAX(0.1,Skills!D4-IF(Skills!E4=TRUE,Inputs!$B$32,0)))*(1-IF(AND(ArtifactsInput!$M$27,Inputs!$B$4="Chapter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IFERROR(1/(IF(Inputs!$B$39="pvp",15,MAX(0.1,Skills!D5-IF(Skills!E5=TRUE,Inputs!$B$32,0)))*(1-IF(AND(ArtifactsInput!$M$27,Inputs!$B$4="Chapter Hunt"),CHOOSE(ArtifactsInput!$N$27+1,20,24,28,32,36,40),0)/100)),0)</f>
        <v/>
      </c>
      <c r="R5">
        <f>IF(AND(Inputs!$B$39&lt;&gt;"pvp",Inputs!$B$44&gt;0),IF(MAX(0,Inputs!$B$44-Summary!$B$26)&lt;=0,0,(INT(MAX(0,Inputs!$B$44-Summary!$B$26)/(IF(Inputs!$B$39="pvp",15,MAX(0.1,Skills!D5-IF(Skills!E5=TRUE,Inputs!$B$32,0)))*(1-IF(AND(ArtifactsInput!$M$27,Inputs!$B$4="Chapter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IFERROR(1/(IF(Inputs!$B$39="pvp",15,MAX(0.1,Skills!D8-IF(Skills!E8=TRUE,Inputs!$B$32,0)))*(1-IF(AND(ArtifactsInput!$M$27,Inputs!$B$4="Chapter Hunt"),CHOOSE(ArtifactsInput!$N$27+1,20,24,28,32,36,40),0)/100)),0)</f>
        <v/>
      </c>
      <c r="R8">
        <f>IF(AND(Inputs!$B$39&lt;&gt;"pvp",Inputs!$B$44&gt;0),IF(MAX(0,Inputs!$B$44-Summary!$B$26)&lt;=0,0,(INT(MAX(0,Inputs!$B$44-Summary!$B$26)/(IF(Inputs!$B$39="pvp",15,MAX(0.1,Skills!D8-IF(Skills!E8=TRUE,Inputs!$B$32,0)))*(1-IF(AND(ArtifactsInput!$M$27,Inputs!$B$4="Chapter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IFERROR(1/(IF(Inputs!$B$39="pvp",15,MAX(0.1,Skills!D9-IF(Skills!E9=TRUE,Inputs!$B$32,0)))*(1-IF(AND(ArtifactsInput!$M$27,Inputs!$B$4="Chapter Hunt"),CHOOSE(ArtifactsInput!$N$27+1,20,24,28,32,36,40),0)/100)),0)</f>
        <v/>
      </c>
      <c r="R9">
        <f>IF(AND(Inputs!$B$39&lt;&gt;"pvp",Inputs!$B$44&gt;0),IF(MAX(0,Inputs!$B$44-Summary!$B$26)&lt;=0,0,(INT(MAX(0,Inputs!$B$44-Summary!$B$26)/(IF(Inputs!$B$39="pvp",15,MAX(0.1,Skills!D9-IF(Skills!E9=TRUE,Inputs!$B$32,0)))*(1-IF(AND(ArtifactsInput!$M$27,Inputs!$B$4="Chapter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IFERROR(1/(IF(Inputs!$B$39="pvp",15,MAX(0.1,Skills!D12-IF(Skills!E12=TRUE,Inputs!$B$32,0)))*(1-IF(AND(ArtifactsInput!$M$27,Inputs!$B$4="Chapter Hunt"),CHOOSE(ArtifactsInput!$N$27+1,20,24,28,32,36,40),0)/100)),0)</f>
        <v/>
      </c>
      <c r="R12">
        <f>IF(AND(Inputs!$B$39&lt;&gt;"pvp",Inputs!$B$44&gt;0),IF(MAX(0,Inputs!$B$44-Summary!$B$26)&lt;=0,0,(INT(MAX(0,Inputs!$B$44-Summary!$B$26)/(IF(Inputs!$B$39="pvp",15,MAX(0.1,Skills!D12-IF(Skills!E12=TRUE,Inputs!$B$32,0)))*(1-IF(AND(ArtifactsInput!$M$27,Inputs!$B$4="Chapter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IFERROR(1/(IF(Inputs!$B$39="pvp",15,MAX(0.1,Skills!D13-IF(Skills!E13=TRUE,Inputs!$B$32,0)))*(1-IF(AND(ArtifactsInput!$M$27,Inputs!$B$4="Chapter Hunt"),CHOOSE(ArtifactsInput!$N$27+1,20,24,28,32,36,40),0)/100)),0)</f>
        <v/>
      </c>
      <c r="R13">
        <f>IF(AND(Inputs!$B$39&lt;&gt;"pvp",Inputs!$B$44&gt;0),IF(MAX(0,Inputs!$B$44-Summary!$B$26)&lt;=0,0,(INT(MAX(0,Inputs!$B$44-Summary!$B$26)/(IF(Inputs!$B$39="pvp",15,MAX(0.1,Skills!D13-IF(Skills!E13=TRUE,Inputs!$B$32,0)))*(1-IF(AND(ArtifactsInput!$M$27,Inputs!$B$4="Chapter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IFERROR(1/(IF(Inputs!$B$39="pvp",15,MAX(0.1,Skills!D14-IF(Skills!E14=TRUE,Inputs!$B$32,0)))*(1-IF(AND(ArtifactsInput!$M$27,Inputs!$B$4="Chapter Hunt"),CHOOSE(ArtifactsInput!$N$27+1,20,24,28,32,36,40),0)/100)),0)</f>
        <v/>
      </c>
      <c r="R14">
        <f>IF(AND(Inputs!$B$39&lt;&gt;"pvp",Inputs!$B$44&gt;0),IF(MAX(0,Inputs!$B$44-Summary!$B$26)&lt;=0,0,(INT(MAX(0,Inputs!$B$44-Summary!$B$26)/(IF(Inputs!$B$39="pvp",15,MAX(0.1,Skills!D14-IF(Skills!E14=TRUE,Inputs!$B$32,0)))*(1-IF(AND(ArtifactsInput!$M$27,Inputs!$B$4="Chapter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IFERROR(1/(IF(Inputs!$B$39="pvp",15,MAX(0.1,Skills!D15-IF(Skills!E15=TRUE,Inputs!$B$32,0)))*(1-IF(AND(ArtifactsInput!$M$27,Inputs!$B$4="Chapter Hunt"),CHOOSE(ArtifactsInput!$N$27+1,20,24,28,32,36,40),0)/100)),0)</f>
        <v/>
      </c>
      <c r="R15">
        <f>IF(AND(Inputs!$B$39&lt;&gt;"pvp",Inputs!$B$44&gt;0),IF(Inputs!$B$44&lt;=0,0,(INT(Inputs!$B$44/(IF(Inputs!$B$39="pvp",15,MAX(0.1,Skills!D15-IF(Skills!E15=TRUE,Inputs!$B$32,0)))*(1-IF(AND(ArtifactsInput!$M$27,Inputs!$B$4="Chapter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IFERROR(1/(IF(Inputs!$B$39="pvp",15,MAX(0.1,Skills!D16-IF(Skills!E16=TRUE,Inputs!$B$32,0)))*(1-IF(AND(ArtifactsInput!$M$27,Inputs!$B$4="Chapter Hunt"),CHOOSE(ArtifactsInput!$N$27+1,20,24,28,32,36,40),0)/100)),0)</f>
        <v/>
      </c>
      <c r="R16">
        <f>IF(AND(Inputs!$B$39&lt;&gt;"pvp",Inputs!$B$44&gt;0),IF(Inputs!$B$44&lt;=0,0,(INT(Inputs!$B$44/(IF(Inputs!$B$39="pvp",15,MAX(0.1,Skills!D16-IF(Skills!E16=TRUE,Inputs!$B$32,0)))*(1-IF(AND(ArtifactsInput!$M$27,Inputs!$B$4="Chapter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IFERROR(1/(IF(Inputs!$B$39="pvp",15,MAX(0.1,Skills!D19-IF(Skills!E19=TRUE,Inputs!$B$32,0)))*(1-IF(AND(ArtifactsInput!$M$27,Inputs!$B$4="Chapter Hunt"),CHOOSE(ArtifactsInput!$N$27+1,20,24,28,32,36,40),0)/100)),0)</f>
        <v/>
      </c>
      <c r="R19">
        <f>IF(AND(Inputs!$B$39&lt;&gt;"pvp",Inputs!$B$44&gt;0),IF(Inputs!$B$44&lt;=0,0,(INT(Inputs!$B$44/(IF(Inputs!$B$39="pvp",15,MAX(0.1,Skills!D19-IF(Skills!E19=TRUE,Inputs!$B$32,0)))*(1-IF(AND(ArtifactsInput!$M$27,Inputs!$B$4="Chapter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IFERROR(1/(IF(Inputs!$B$39="pvp",15,MAX(0.1,Skills!D20-IF(Skills!E20=TRUE,Inputs!$B$32,0)))*(1-IF(AND(ArtifactsInput!$M$27,Inputs!$B$4="Chapter Hunt"),CHOOSE(ArtifactsInput!$N$27+1,20,24,28,32,36,40),0)/100)),0)</f>
        <v/>
      </c>
      <c r="R20">
        <f>IF(AND(Inputs!$B$39&lt;&gt;"pvp",Inputs!$B$44&gt;0),IF(Inputs!$B$44&lt;=0,0,(INT(Inputs!$B$44/(IF(Inputs!$B$39="pvp",15,MAX(0.1,Skills!D20-IF(Skills!E20=TRUE,Inputs!$B$32,0)))*(1-IF(AND(ArtifactsInput!$M$27,Inputs!$B$4="Chapter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IFERROR(1/(IF(Inputs!$B$39="pvp",15,MAX(0.1,Skills!D21-IF(Skills!E21=TRUE,Inputs!$B$32,0)))*(1-IF(AND(ArtifactsInput!$M$27,Inputs!$B$4="Chapter Hunt"),CHOOSE(ArtifactsInput!$N$27+1,20,24,28,32,36,40),0)/100)),0)</f>
        <v/>
      </c>
      <c r="R21">
        <f>IF(AND(Inputs!$B$39&lt;&gt;"pvp",Inputs!$B$44&gt;0),IF(Inputs!$B$44&lt;=0,0,(INT(Inputs!$B$44/(IF(Inputs!$B$39="pvp",15,MAX(0.1,Skills!D21-IF(Skills!E21=TRUE,Inputs!$B$32,0)))*(1-IF(AND(ArtifactsInput!$M$27,Inputs!$B$4="Chapter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18)/100)*(1+Artifacts!$B$52/100)</f>
        <v/>
      </c>
    </row>
    <row r="14">
      <c r="A14" t="inlineStr">
        <is>
          <t>Global Crit Rate Bonus % (Critical Throw Lv.47 mastery + Dark Sight Crit Rate, additive)</t>
        </is>
      </c>
      <c r="B14">
        <f>IF(Inputs!$B$3&gt;=47,8,0)+((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 Frailty Curse enemy debuff, additive)</t>
        </is>
      </c>
      <c r="B15">
        <f>IF(Inputs!$B$3&gt;=82,15,0)+((Calc!C16=TRUE)*Calc!F16*IF(AND(Inputs!$B$39&lt;&gt;"pvp",Inputs!$B$44&gt;0),(((Calc!R16-1)*(Skills!Y16*(1+Inputs!$B$34/100))+MIN((Skills!Y16*(1+Inputs!$B$34/100)),MAX(0,Inputs!$B$44-((Calc!R16-1)*Skills!D16))))/Inputs!$B$44),IF(Inputs!$B$39="pvp",MIN((Skills!Y16*(1+Inputs!$B$34/100)),15)/15,(Skills!Y16*(1+Inputs!$B$34/100))/Skills!D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Skills!Y19*(1+Inputs!$B$34/100))+MIN((Skills!Y19*(1+Inputs!$B$34/100)),MAX(0,Inputs!$B$44-((Calc!R19-1)*Skills!D19))))/Inputs!$B$44),IF(Inputs!$B$39="pvp",MIN((Skills!Y19*(1+Inputs!$B$34/100)),15)/15,(Skills!Y19*(1+Inputs!$B$34/100))/Skills!D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Skills!Y19*(1+Inputs!$B$34/100))+MIN((Skills!Y19*(1+Inputs!$B$34/100)),MAX(0,Inputs!$B$44-((Calc!R19-1)*Skills!D19))))/Inputs!$B$44),IF(Inputs!$B$39="pvp",MIN((Skills!Y19*(1+Inputs!$B$34/100)),15)/15,(Skills!Y19*(1+Inputs!$B$34/100))/Skills!D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Skills!Y16*(1+Inputs!$B$34/100))+MIN((Skills!Y16*(1+Inputs!$B$34/100)),MAX(0,Inputs!$B$44-((Calc!R16-1)*Skills!D16))))/Inputs!$B$44),IF(Inputs!$B$39="pvp",MIN((Skills!Y16*(1+Inputs!$B$34/100)),15)/15,(Skills!Y16*(1+Inputs!$B$34/100))/Skills!D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IF(ArtifactsInput!$M$5,Summary!$B$3/(Summary!$B$3-(IF(ArtifactsInput!$M$5,-1,1)*Summary!$B$3*(((1-Summary!$B$11)*IFERROR(B1441/Summary!$B$27,1)+Summary!$B$11*IFERROR(B1442/Summary!$B$28,1))-1)+ArtifactsInput!$L$5))*100,(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IF(ArtifactsInput!$M$6,Summary!$B$3/(Summary!$B$3-(IF(ArtifactsInput!$M$6,-1,1)*Summary!$B$3*(((1-Summary!$B$11)*IFERROR(B1490/Summary!$B$27,1)+Summary!$B$11*IFERROR(B1491/Summary!$B$28,1))-1)+ArtifactsInput!$L$6))*100,(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IF(ArtifactsInput!$M$7,Summary!$B$3/(Summary!$B$3-(IF(ArtifactsInput!$M$7,-1,1)*Summary!$B$3*(((1-Summary!$B$11)*IFERROR(B1539/Summary!$B$27,1)+Summary!$B$11*IFERROR(B1540/Summary!$B$28,1))-1)+ArtifactsInput!$L$7))*100,(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IF(ArtifactsInput!$M$8,Summary!$B$3/(Summary!$B$3-(IF(ArtifactsInput!$M$8,-1,1)*Summary!$B$3*(((1-Summary!$B$11)*IFERROR(B1588/Summary!$B$27,1)+Summary!$B$11*IFERROR(B1589/Summary!$B$28,1))-1)+ArtifactsInput!$L$8))*100,(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IF(ArtifactsInput!$M$10,Summary!$B$3/(Summary!$B$3-(IF(ArtifactsInput!$M$10,-1,1)*Summary!$B$3*(((1-Summary!$B$11)*IFERROR(B1637/Summary!$B$27,1)+Summary!$B$11*IFERROR(B1638/Summary!$B$28,1))-1)+ArtifactsInput!$L$10))*100,(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IF(ArtifactsInput!$M$11,Summary!$B$3/(Summary!$B$3-(IF(ArtifactsInput!$M$11,-1,1)*Summary!$B$3*(((1-Summary!$B$11)*IFERROR(B1686/Summary!$B$27,1)+Summary!$B$11*IFERROR(B1687/Summary!$B$28,1))-1)+ArtifactsInput!$L$11))*100,(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IF(ArtifactsInput!$M$12,Summary!$B$3/(Summary!$B$3-(IF(ArtifactsInput!$M$12,-1,1)*Summary!$B$3*(((1-Summary!$B$11)*IFERROR(B1735/Summary!$B$27,1)+Summary!$B$11*IFERROR(B1736/Summary!$B$28,1))-1)+ArtifactsInput!$L$12))*100,(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IF(ArtifactsInput!$M$13,Summary!$B$3/(Summary!$B$3-(IF(ArtifactsInput!$M$13,-1,1)*Summary!$B$3*(((1-Summary!$B$11)*IFERROR(B1784/Summary!$B$27,1)+Summary!$B$11*IFERROR(B1785/Summary!$B$28,1))-1)+ArtifactsInput!$L$13))*100,(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IF(ArtifactsInput!$M$14,Summary!$B$3/(Summary!$B$3-(IF(ArtifactsInput!$M$14,-1,1)*Summary!$B$3*(((1-Summary!$B$11)*IFERROR(B1833/Summary!$B$27,1)+Summary!$B$11*IFERROR(B1834/Summary!$B$28,1))-1)+ArtifactsInput!$L$14))*100,(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IF(ArtifactsInput!$M$15,Summary!$B$3/(Summary!$B$3-(IF(ArtifactsInput!$M$15,-1,1)*Summary!$B$3*(((1-Summary!$B$11)*IFERROR(B1882/Summary!$B$27,1)+Summary!$B$11*IFERROR(B1883/Summary!$B$28,1))-1)+ArtifactsInput!$L$15))*100,(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IF(ArtifactsInput!$M$16,Summary!$B$3/(Summary!$B$3-(IF(ArtifactsInput!$M$16,-1,1)*Summary!$B$3*(((1-Summary!$B$11)*IFERROR(B1931/Summary!$B$27,1)+Summary!$B$11*IFERROR(B1932/Summary!$B$28,1))-1)+ArtifactsInput!$L$16))*100,(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IF(ArtifactsInput!$M$17,Summary!$B$3/(Summary!$B$3-(IF(ArtifactsInput!$M$17,-1,1)*Summary!$B$3*(((1-Summary!$B$11)*IFERROR(B1980/Summary!$B$27,1)+Summary!$B$11*IFERROR(B1981/Summary!$B$28,1))-1)+ArtifactsInput!$L$17))*100,(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IF(ArtifactsInput!$M$18,Summary!$B$3/(Summary!$B$3-(IF(ArtifactsInput!$M$18,-1,1)*Summary!$B$3*(((1-Summary!$B$11)*IFERROR(B2029/Summary!$B$27,1)+Summary!$B$11*IFERROR(B2030/Summary!$B$28,1))-1)+ArtifactsInput!$L$18))*100,(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IF(ArtifactsInput!$M$20,Summary!$B$3/(Summary!$B$3-(IF(ArtifactsInput!$M$20,-1,1)*Summary!$B$3*(((1-Summary!$B$11)*IFERROR(B2078/Summary!$B$27,1)+Summary!$B$11*IFERROR(B2079/Summary!$B$28,1))-1)+ArtifactsInput!$L$20))*100,(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IF(ArtifactsInput!$M$21,Summary!$B$3/(Summary!$B$3-(IF(ArtifactsInput!$M$21,-1,1)*Summary!$B$3*(((1-Summary!$B$11)*IFERROR(B2127/Summary!$B$27,1)+Summary!$B$11*IFERROR(B2128/Summary!$B$28,1))-1)+ArtifactsInput!$L$21))*100,(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IF(ArtifactsInput!$M$22,Summary!$B$3/(Summary!$B$3-(IF(ArtifactsInput!$M$22,-1,1)*Summary!$B$3*(((1-Summary!$B$11)*IFERROR(B2176/Summary!$B$27,1)+Summary!$B$11*IFERROR(B2177/Summary!$B$28,1))-1)+ArtifactsInput!$L$22))*100,(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IF(ArtifactsInput!$M$23,Summary!$B$3/(Summary!$B$3-(IF(ArtifactsInput!$M$23,-1,1)*Summary!$B$3*(((1-Summary!$B$11)*IFERROR(B2225/Summary!$B$27,1)+Summary!$B$11*IFERROR(B2226/Summary!$B$28,1))-1)+ArtifactsInput!$L$23))*100,(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IF(ArtifactsInput!$M$24,Summary!$B$3/(Summary!$B$3-(IF(ArtifactsInput!$M$24,-1,1)*Summary!$B$3*(((1-Summary!$B$11)*IFERROR(B2274/Summary!$B$27,1)+Summary!$B$11*IFERROR(B2275/Summary!$B$28,1))-1)+ArtifactsInput!$L$24))*100,(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IF(ArtifactsInput!$M$25,Summary!$B$3/(Summary!$B$3-(IF(ArtifactsInput!$M$25,-1,1)*Summary!$B$3*(((1-Summary!$B$11)*IFERROR(B2323/Summary!$B$27,1)+Summary!$B$11*IFERROR(B2324/Summary!$B$28,1))-1)+ArtifactsInput!$L$25))*100,(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IF(ArtifactsInput!$M$26,Summary!$B$3/(Summary!$B$3-(IF(ArtifactsInput!$M$26,-1,1)*Summary!$B$3*(((1-Summary!$B$11)*IFERROR(B2372/Summary!$B$27,1)+Summary!$B$11*IFERROR(B2373/Summary!$B$28,1))-1)+ArtifactsInput!$L$26))*100,(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IF(ArtifactsInput!$M$27,Summary!$B$3/(Summary!$B$3-(IF(ArtifactsInput!$M$27,-1,1)*Summary!$B$3*(((1-Summary!$B$11)*IFERROR(B2421/Summary!$B$27,1)+Summary!$B$11*IFERROR(B2422/Summary!$B$28,1))-1)+ArtifactsInput!$L$27))*100,(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IF(ArtifactsInput!$M$28,Summary!$B$3/(Summary!$B$3-(IF(ArtifactsInput!$M$28,-1,1)*Summary!$B$3*(((1-Summary!$B$11)*IFERROR(B2470/Summary!$B$27,1)+Summary!$B$11*IFERROR(B2471/Summary!$B$28,1))-1)+ArtifactsInput!$L$28))*100,(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IF(ArtifactsInput!$M$29,Summary!$B$3/(Summary!$B$3-(IF(ArtifactsInput!$M$29,-1,1)*Summary!$B$3*(((1-Summary!$B$11)*IFERROR(B2519/Summary!$B$27,1)+Summary!$B$11*IFERROR(B2520/Summary!$B$28,1))-1)+ArtifactsInput!$L$29))*100,(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IF(ArtifactsInput!$M$30,Summary!$B$3/(Summary!$B$3-(IF(ArtifactsInput!$M$30,-1,1)*Summary!$B$3*(((1-Summary!$B$11)*IFERROR(B2568/Summary!$B$27,1)+Summary!$B$11*IFERROR(B2569/Summary!$B$28,1))-1)+ArtifactsInput!$L$30))*100,(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IF(ArtifactsInput!$M$31,Summary!$B$3/(Summary!$B$3-(IF(ArtifactsInput!$M$31,-1,1)*Summary!$B$3*(((1-Summary!$B$11)*IFERROR(B2617/Summary!$B$27,1)+Summary!$B$11*IFERROR(B2618/Summary!$B$28,1))-1)+ArtifactsInput!$L$31))*100,(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IF(ArtifactsInput!$M$32,Summary!$B$3/(Summary!$B$3-(IF(ArtifactsInput!$M$32,-1,1)*Summary!$B$3*(((1-Summary!$B$11)*IFERROR(B2666/Summary!$B$27,1)+Summary!$B$11*IFERROR(B2667/Summary!$B$28,1))-1)+ArtifactsInput!$L$32))*100,(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IF(ArtifactsInput!$M$33,Summary!$B$3/(Summary!$B$3-(IF(ArtifactsInput!$M$33,-1,1)*Summary!$B$3*(((1-Summary!$B$11)*IFERROR(B2715/Summary!$B$27,1)+Summary!$B$11*IFERROR(B2716/Summary!$B$28,1))-1)+ArtifactsInput!$L$33))*100,(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IF(ArtifactsInput!$M$34,Summary!$B$3/(Summary!$B$3-(IF(ArtifactsInput!$M$34,-1,1)*Summary!$B$3*(((1-Summary!$B$11)*IFERROR(B2764/Summary!$B$27,1)+Summary!$B$11*IFERROR(B2765/Summary!$B$28,1))-1)+ArtifactsInput!$L$34))*100,(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IF(ArtifactsInput!$M$35,Summary!$B$3/(Summary!$B$3-(IF(ArtifactsInput!$M$35,-1,1)*Summary!$B$3*(((1-Summary!$B$11)*IFERROR(B2813/Summary!$B$27,1)+Summary!$B$11*IFERROR(B2814/Summary!$B$28,1))-1)+ArtifactsInput!$L$35))*100,(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IF(ArtifactsInput!$M$36,Summary!$B$3/(Summary!$B$3-(IF(ArtifactsInput!$M$36,-1,1)*Summary!$B$3*(((1-Summary!$B$11)*IFERROR(B2862/Summary!$B$27,1)+Summary!$B$11*IFERROR(B2863/Summary!$B$28,1))-1)+ArtifactsInput!$L$36))*100,(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IF(ArtifactsInput!$M$37,Summary!$B$3/(Summary!$B$3-(IF(ArtifactsInput!$M$37,-1,1)*Summary!$B$3*(((1-Summary!$B$11)*IFERROR(B2911/Summary!$B$27,1)+Summary!$B$11*IFERROR(B2912/Summary!$B$28,1))-1)+ArtifactsInput!$L$37))*100,(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IF(ArtifactsInput!$M$38,Summary!$B$3/(Summary!$B$3-(IF(ArtifactsInput!$M$38,-1,1)*Summary!$B$3*(((1-Summary!$B$11)*IFERROR(B2960/Summary!$B$27,1)+Summary!$B$11*IFERROR(B2961/Summary!$B$28,1))-1)+ArtifactsInput!$L$38))*100,(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IF(ArtifactsInput!$M$39,Summary!$B$3/(Summary!$B$3-(IF(ArtifactsInput!$M$39,-1,1)*Summary!$B$3*(((1-Summary!$B$11)*IFERROR(B3009/Summary!$B$27,1)+Summary!$B$11*IFERROR(B3010/Summary!$B$28,1))-1)+ArtifactsInput!$L$39))*100,(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IF(ArtifactsInput!$M$40,Summary!$B$3/(Summary!$B$3-(IF(ArtifactsInput!$M$40,-1,1)*Summary!$B$3*(((1-Summary!$B$11)*IFERROR(B3058/Summary!$B$27,1)+Summary!$B$11*IFERROR(B3059/Summary!$B$28,1))-1)+ArtifactsInput!$L$40))*100,(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IF(ArtifactsInput!$M$41,Summary!$B$3/(Summary!$B$3-(IF(ArtifactsInput!$M$41,-1,1)*Summary!$B$3*(((1-Summary!$B$11)*IFERROR(B3107/Summary!$B$27,1)+Summary!$B$11*IFERROR(B3108/Summary!$B$28,1))-1)+ArtifactsInput!$L$41))*100,(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IF(ArtifactsInput!$M$42,Summary!$B$3/(Summary!$B$3-(IF(ArtifactsInput!$M$42,-1,1)*Summary!$B$3*(((1-Summary!$B$11)*IFERROR(B3156/Summary!$B$27,1)+Summary!$B$11*IFERROR(B3157/Summary!$B$28,1))-1)+ArtifactsInput!$L$42))*100,(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IFERROR(1/IF(Inputs!$B$39="pvp",15,MAX(0.1,Skills!D3-IF(Skills!E3=TRUE,Inputs!$B$32,0))),0)</f>
        <v/>
      </c>
      <c r="R75">
        <f>IF(AND(Inputs!$B$39&lt;&gt;"pvp",Inputs!$B$44&gt;0),IF(MAX(0,Inputs!$B$44-B117)&lt;=0,0,(INT(MAX(0,Inputs!$B$44-B117)/IF(Inputs!$B$39="pvp",15,MAX(0.1,Skills!D3-IF(Skills!E3=TRUE,Inputs!$B$32,0))))+1)),0)</f>
        <v/>
      </c>
      <c r="S75">
        <f>IFERROR(O75/N75,0)</f>
        <v/>
      </c>
      <c r="T75">
        <f>IF(C75,(H75*N75*IF(AND(Inputs!$B$39&lt;&gt;"pvp",Inputs!$B$44&gt;0),((Skills!G3*((R75-1)*IF(Skills!H3&gt;0,Skills!I3/Skills!H3,1)+IF(Skills!H3&gt;0,MIN(Skills!I3,MAX(0,MAX(0,Inputs!$B$44-B117)-((R75-1)*IF(Inputs!$B$39="pvp",15,MAX(0.1,Skills!D3-IF(Skills!E3=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Skills!E3=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Inputs!$B$3&gt;=40</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IFERROR(1/IF(Inputs!$B$39="pvp",15,MAX(0.1,Skills!D4-IF(Skills!E4=TRUE,Inputs!$B$32,0))),0)</f>
        <v/>
      </c>
      <c r="R76">
        <f>IF(AND(Inputs!$B$39&lt;&gt;"pvp",Inputs!$B$44&gt;0),IF(MAX(0,Inputs!$B$44-B117)&lt;=0,0,(INT(MAX(0,Inputs!$B$44-B117)/IF(Inputs!$B$39="pvp",15,MAX(0.1,Skills!D4-IF(Skills!E4=TRUE,Inputs!$B$32,0))))+1)),0)</f>
        <v/>
      </c>
      <c r="S76">
        <f>IFERROR(O76/N76,0)</f>
        <v/>
      </c>
      <c r="T76">
        <f>IF(C76,(H76*N76*IF(AND(Inputs!$B$39&lt;&gt;"pvp",Inputs!$B$44&gt;0),((Skills!G4*((R76-1)*IF(Skills!H4&gt;0,Skills!I4/Skills!H4,1)+IF(Skills!H4&gt;0,MIN(Skills!I4,MAX(0,MAX(0,Inputs!$B$44-B117)-((R76-1)*IF(Inputs!$B$39="pvp",15,MAX(0.1,Skills!D4-IF(Skills!E4=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Skills!E4=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IFERROR(1/IF(Inputs!$B$39="pvp",15,MAX(0.1,Skills!D5-IF(Skills!E5=TRUE,Inputs!$B$32,0))),0)</f>
        <v/>
      </c>
      <c r="R77">
        <f>IF(AND(Inputs!$B$39&lt;&gt;"pvp",Inputs!$B$44&gt;0),IF(MAX(0,Inputs!$B$44-B117)&lt;=0,0,(INT(MAX(0,Inputs!$B$44-B117)/IF(Inputs!$B$39="pvp",15,MAX(0.1,Skills!D5-IF(Skills!E5=TRUE,Inputs!$B$32,0))))+1)),0)</f>
        <v/>
      </c>
      <c r="S77">
        <f>IFERROR(O77/N77,0)</f>
        <v/>
      </c>
      <c r="T77">
        <f>IF(C77,(H77*N77*IF(AND(Inputs!$B$39&lt;&gt;"pvp",Inputs!$B$44&gt;0),((Skills!G5*((R77-1)*IF(Skills!H5&gt;0,Skills!I5/Skills!H5,1)+IF(Skills!H5&gt;0,MIN(Skills!I5,MAX(0,MAX(0,Inputs!$B$44-B117)-((R77-1)*IF(Inputs!$B$39="pvp",15,MAX(0.1,Skills!D5-IF(Skills!E5=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Skills!E5=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IFERROR(1/IF(Inputs!$B$39="pvp",15,MAX(0.1,Skills!D8-IF(Skills!E8=TRUE,Inputs!$B$32,0))),0)</f>
        <v/>
      </c>
      <c r="R80">
        <f>IF(AND(Inputs!$B$39&lt;&gt;"pvp",Inputs!$B$44&gt;0),IF(MAX(0,Inputs!$B$44-B117)&lt;=0,0,(INT(MAX(0,Inputs!$B$44-B117)/IF(Inputs!$B$39="pvp",15,MAX(0.1,Skills!D8-IF(Skills!E8=TRUE,Inputs!$B$32,0))))+1)),0)</f>
        <v/>
      </c>
      <c r="S80">
        <f>IFERROR(O80/N80,0)</f>
        <v/>
      </c>
      <c r="T80">
        <f>IF(C80,(H80*N80*IF(AND(Inputs!$B$39&lt;&gt;"pvp",Inputs!$B$44&gt;0),((Skills!G8*((R80-1)*IF(Skills!H8&gt;0,Skills!I8/Skills!H8,1)+IF(Skills!H8&gt;0,MIN(Skills!I8,MAX(0,MAX(0,Inputs!$B$44-B117)-((R80-1)*IF(Inputs!$B$39="pvp",15,MAX(0.1,Skills!D8-IF(Skills!E8=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Skills!E8=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Inputs!$B$3&gt;=72</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IFERROR(1/IF(Inputs!$B$39="pvp",15,MAX(0.1,Skills!D9-IF(Skills!E9=TRUE,Inputs!$B$32,0))),0)</f>
        <v/>
      </c>
      <c r="R81">
        <f>IF(AND(Inputs!$B$39&lt;&gt;"pvp",Inputs!$B$44&gt;0),IF(MAX(0,Inputs!$B$44-B117)&lt;=0,0,(INT(MAX(0,Inputs!$B$44-B117)/IF(Inputs!$B$39="pvp",15,MAX(0.1,Skills!D9-IF(Skills!E9=TRUE,Inputs!$B$32,0))))+1)),0)</f>
        <v/>
      </c>
      <c r="S81">
        <f>IFERROR(O81/N81,0)</f>
        <v/>
      </c>
      <c r="T81">
        <f>IF(C81,(H81*N81*IF(AND(Inputs!$B$39&lt;&gt;"pvp",Inputs!$B$44&gt;0),((Skills!G9*((R81-1)*IF(Skills!H9&gt;0,Skills!I9/Skills!H9,1)+IF(Skills!H9&gt;0,MIN(Skills!I9,MAX(0,MAX(0,Inputs!$B$44-B117)-((R81-1)*IF(Inputs!$B$39="pvp",15,MAX(0.1,Skills!D9-IF(Skills!E9=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Skills!E9=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IFERROR(1/IF(Inputs!$B$39="pvp",15,MAX(0.1,Skills!D12-IF(Skills!E12=TRUE,Inputs!$B$32,0))),0)</f>
        <v/>
      </c>
      <c r="R84">
        <f>IF(AND(Inputs!$B$39&lt;&gt;"pvp",Inputs!$B$44&gt;0),IF(MAX(0,Inputs!$B$44-B117)&lt;=0,0,(INT(MAX(0,Inputs!$B$44-B117)/IF(Inputs!$B$39="pvp",15,MAX(0.1,Skills!D12-IF(Skills!E12=TRUE,Inputs!$B$32,0))))+1)),0)</f>
        <v/>
      </c>
      <c r="S84">
        <f>IFERROR(O84/N84,0)</f>
        <v/>
      </c>
      <c r="T84">
        <f>IF(C84,(H84*N84*IF(AND(Inputs!$B$39&lt;&gt;"pvp",Inputs!$B$44&gt;0),((Skills!G12*((R84-1)*IF(Skills!H12&gt;0,Skills!I12/Skills!H12,1)+IF(Skills!H12&gt;0,MIN(Skills!I12,MAX(0,MAX(0,Inputs!$B$44-B117)-((R84-1)*IF(Inputs!$B$39="pvp",15,MAX(0.1,Skills!D12-IF(Skills!E12=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Skills!E12=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IFERROR(1/IF(Inputs!$B$39="pvp",15,MAX(0.1,Skills!D13-IF(Skills!E13=TRUE,Inputs!$B$32,0))),0)</f>
        <v/>
      </c>
      <c r="R85">
        <f>IF(AND(Inputs!$B$39&lt;&gt;"pvp",Inputs!$B$44&gt;0),IF(MAX(0,Inputs!$B$44-B117)&lt;=0,0,(INT(MAX(0,Inputs!$B$44-B117)/IF(Inputs!$B$39="pvp",15,MAX(0.1,Skills!D13-IF(Skills!E13=TRUE,Inputs!$B$32,0))))+1)),0)</f>
        <v/>
      </c>
      <c r="S85">
        <f>IFERROR(O85/N85,0)</f>
        <v/>
      </c>
      <c r="T85">
        <f>IF(C85,(H85*N85*IF(AND(Inputs!$B$39&lt;&gt;"pvp",Inputs!$B$44&gt;0),((Skills!G13*((R85-1)*IF(Skills!H13&gt;0,Skills!I13/Skills!H13,1)+IF(Skills!H13&gt;0,MIN(Skills!I13,MAX(0,MAX(0,Inputs!$B$44-B117)-((R85-1)*IF(Inputs!$B$39="pvp",15,MAX(0.1,Skills!D13-IF(Skills!E13=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Skills!E13=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IFERROR(1/IF(Inputs!$B$39="pvp",15,MAX(0.1,Skills!D14-IF(Skills!E14=TRUE,Inputs!$B$32,0))),0)</f>
        <v/>
      </c>
      <c r="R86">
        <f>IF(AND(Inputs!$B$39&lt;&gt;"pvp",Inputs!$B$44&gt;0),IF(MAX(0,Inputs!$B$44-B117)&lt;=0,0,(INT(MAX(0,Inputs!$B$44-B117)/IF(Inputs!$B$39="pvp",15,MAX(0.1,Skills!D14-IF(Skills!E14=TRUE,Inputs!$B$32,0))))+1)),0)</f>
        <v/>
      </c>
      <c r="S86">
        <f>IFERROR(O86/N86,0)</f>
        <v/>
      </c>
      <c r="T86">
        <f>IF(C86,(H86*N86*IF(AND(Inputs!$B$39&lt;&gt;"pvp",Inputs!$B$44&gt;0),((Skills!G14*((R86-1)*IF(Skills!H14&gt;0,Skills!I14/Skills!H14,1)+IF(Skills!H14&gt;0,MIN(Skills!I14,MAX(0,MAX(0,Inputs!$B$44-B117)-((R86-1)*IF(Inputs!$B$39="pvp",15,MAX(0.1,Skills!D14-IF(Skills!E14=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Skills!E14=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IFERROR(1/IF(Inputs!$B$39="pvp",15,MAX(0.1,Skills!D15-IF(Skills!E15=TRUE,Inputs!$B$32,0))),0)</f>
        <v/>
      </c>
      <c r="R87">
        <f>IF(AND(Inputs!$B$39&lt;&gt;"pvp",Inputs!$B$44&gt;0),IF(Inputs!$B$44&lt;=0,0,(INT(Inputs!$B$44/IF(Inputs!$B$39="pvp",15,MAX(0.1,Skills!D15-IF(Skills!E15=TRUE,Inputs!$B$32,0))))+1)),0)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IFERROR(1/IF(Inputs!$B$39="pvp",15,MAX(0.1,Skills!D16-IF(Skills!E16=TRUE,Inputs!$B$32,0))),0)</f>
        <v/>
      </c>
      <c r="R88">
        <f>IF(AND(Inputs!$B$39&lt;&gt;"pvp",Inputs!$B$44&gt;0),IF(Inputs!$B$44&lt;=0,0,(INT(Inputs!$B$44/IF(Inputs!$B$39="pvp",15,MAX(0.1,Skills!D16-IF(Skills!E16=TRUE,Inputs!$B$32,0))))+1)),0)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IFERROR(1/IF(Inputs!$B$39="pvp",15,MAX(0.1,Skills!D19-IF(Skills!E19=TRUE,Inputs!$B$32,0))),0)</f>
        <v/>
      </c>
      <c r="R91">
        <f>IF(AND(Inputs!$B$39&lt;&gt;"pvp",Inputs!$B$44&gt;0),IF(Inputs!$B$44&lt;=0,0,(INT(Inputs!$B$44/IF(Inputs!$B$39="pvp",15,MAX(0.1,Skills!D19-IF(Skills!E19=TRUE,Inputs!$B$32,0))))+1)),0)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IFERROR(1/IF(Inputs!$B$39="pvp",15,MAX(0.1,Skills!D20-IF(Skills!E20=TRUE,Inputs!$B$32,0))),0)</f>
        <v/>
      </c>
      <c r="R92">
        <f>IF(AND(Inputs!$B$39&lt;&gt;"pvp",Inputs!$B$44&gt;0),IF(Inputs!$B$44&lt;=0,0,(INT(Inputs!$B$44/IF(Inputs!$B$39="pvp",15,MAX(0.1,Skills!D20-IF(Skills!E20=TRUE,Inputs!$B$32,0))))+1)),0)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IFERROR(1/IF(Inputs!$B$39="pvp",15,MAX(0.1,Skills!D21-IF(Skills!E21=TRUE,Inputs!$B$32,0))),0)</f>
        <v/>
      </c>
      <c r="R93">
        <f>IF(AND(Inputs!$B$39&lt;&gt;"pvp",Inputs!$B$44&gt;0),IF(Inputs!$B$44&lt;=0,0,(INT(Inputs!$B$44/IF(Inputs!$B$39="pvp",15,MAX(0.1,Skills!D21-IF(Skills!E21=TRUE,Inputs!$B$32,0))))+1)),0)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Skills!Y19*(1+Inputs!$B$34/100))+MIN((Skills!Y19*(1+Inputs!$B$34/100)),MAX(0,Inputs!$B$44-((R91-1)*Skills!D19))))/Inputs!$B$44),IF(Inputs!$B$39="pvp",MIN((Skills!Y19*(1+Inputs!$B$34/100)),15)/15,(Skills!Y19*(1+Inputs!$B$34/100))/Skills!D19)))/150)))/100</f>
        <v/>
      </c>
    </row>
    <row r="106">
      <c r="A106" t="inlineStr">
        <is>
          <t>Alchemic Adrenaline Uptime</t>
        </is>
      </c>
      <c r="B106">
        <f>(Skills!Y6*(1+Inputs!$B$34/100))/((Skills!Y6*(1+Inputs!$B$34/100))+(5/B105))</f>
        <v/>
      </c>
    </row>
    <row r="107">
      <c r="A107" t="inlineStr">
        <is>
          <t>Attack Speed Buff Bonus %</t>
        </is>
      </c>
      <c r="B107">
        <f>((C91=TRUE)*F91*IF(AND(Inputs!$B$39&lt;&gt;"pvp",Inputs!$B$44&gt;0),(((R91-1)*(Skills!Y19*(1+Inputs!$B$34/100))+MIN((Skills!Y19*(1+Inputs!$B$34/100)),MAX(0,Inputs!$B$44-((R91-1)*Skills!D19))))/Inputs!$B$44),IF(Inputs!$B$39="pvp",MIN((Skills!Y19*(1+Inputs!$B$34/100)),15)/15,(Skills!Y19*(1+Inputs!$B$34/100))/Skills!D19)))+((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f>
        <v/>
      </c>
    </row>
    <row r="112">
      <c r="A112" t="inlineStr">
        <is>
          <t>Global Crit Rate Bonus %</t>
        </is>
      </c>
      <c r="B112">
        <f>IF(Inputs!$B$3&gt;=47,8,0)+((C92=TRUE)*F92*IF(AND(Inputs!$B$39&lt;&gt;"pvp",Inputs!$B$44&gt;0),(((R92-1)*(Skills!Y20*(1+Inputs!$B$34/100))+MIN((Skills!Y20*(1+Inputs!$B$34/100)),MAX(0,Inputs!$B$44-((R92-1)*Skills!D20))))/Inputs!$B$44),IF(Inputs!$B$39="pvp",MIN((Skills!Y20*(1+Inputs!$B$34/100)),15)/15,(Skills!Y20*(1+Inputs!$B$34/100))/Skills!D20)))</f>
        <v/>
      </c>
    </row>
    <row r="113">
      <c r="A113" t="inlineStr">
        <is>
          <t>Global Monster Damage-Taken Bonus %</t>
        </is>
      </c>
      <c r="B113">
        <f>IF(Inputs!$B$3&gt;=82,15,0)+((C88=TRUE)*F88*IF(AND(Inputs!$B$39&lt;&gt;"pvp",Inputs!$B$44&gt;0),(((R88-1)*(Skills!Y16*(1+Inputs!$B$34/100))+MIN((Skills!Y16*(1+Inputs!$B$34/100)),MAX(0,Inputs!$B$44-((R88-1)*Skills!D16))))/Inputs!$B$44),IF(Inputs!$B$39="pvp",MIN((Skills!Y16*(1+Inputs!$B$34/100)),15)/15,(Skills!Y16*(1+Inputs!$B$34/100))/Skills!D16)))</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Skills!Y16*(1+Inputs!$B$34/100))+MIN((Skills!Y16*(1+Inputs!$B$34/100)),MAX(0,Inputs!$B$44-((R88-1)*Skills!D16))))/Inputs!$B$44),IF(Inputs!$B$39="pvp",MIN((Skills!Y16*(1+Inputs!$B$34/100)),15)/15,(Skills!Y16*(1+Inputs!$B$34/100))/Skills!D16))</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IFERROR(1/IF(Inputs!$B$39="pvp",15,MAX(0.1,Skills!D3-IF(Skills!E3=TRUE,Inputs!$B$32,0))),0)</f>
        <v/>
      </c>
      <c r="R124">
        <f>IF(AND(Inputs!$B$39&lt;&gt;"pvp",Inputs!$B$44&gt;0),IF(MAX(0,Inputs!$B$44-B166)&lt;=0,0,(INT(MAX(0,Inputs!$B$44-B166)/IF(Inputs!$B$39="pvp",15,MAX(0.1,Skills!D3-IF(Skills!E3=TRUE,Inputs!$B$32,0))))+1)),0)</f>
        <v/>
      </c>
      <c r="S124">
        <f>IFERROR(O124/N124,0)</f>
        <v/>
      </c>
      <c r="T124">
        <f>IF(C124,(H124*N124*IF(AND(Inputs!$B$39&lt;&gt;"pvp",Inputs!$B$44&gt;0),((Skills!G3*((R124-1)*IF(Skills!H3&gt;0,Skills!I3/Skills!H3,1)+IF(Skills!H3&gt;0,MIN(Skills!I3,MAX(0,MAX(0,Inputs!$B$44-B166)-((R124-1)*IF(Inputs!$B$39="pvp",15,MAX(0.1,Skills!D3-IF(Skills!E3=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Skills!E3=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Inputs!$B$3&gt;=40</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IFERROR(1/IF(Inputs!$B$39="pvp",15,MAX(0.1,Skills!D4-IF(Skills!E4=TRUE,Inputs!$B$32,0))),0)</f>
        <v/>
      </c>
      <c r="R125">
        <f>IF(AND(Inputs!$B$39&lt;&gt;"pvp",Inputs!$B$44&gt;0),IF(MAX(0,Inputs!$B$44-B166)&lt;=0,0,(INT(MAX(0,Inputs!$B$44-B166)/IF(Inputs!$B$39="pvp",15,MAX(0.1,Skills!D4-IF(Skills!E4=TRUE,Inputs!$B$32,0))))+1)),0)</f>
        <v/>
      </c>
      <c r="S125">
        <f>IFERROR(O125/N125,0)</f>
        <v/>
      </c>
      <c r="T125">
        <f>IF(C125,(H125*N125*IF(AND(Inputs!$B$39&lt;&gt;"pvp",Inputs!$B$44&gt;0),((Skills!G4*((R125-1)*IF(Skills!H4&gt;0,Skills!I4/Skills!H4,1)+IF(Skills!H4&gt;0,MIN(Skills!I4,MAX(0,MAX(0,Inputs!$B$44-B166)-((R125-1)*IF(Inputs!$B$39="pvp",15,MAX(0.1,Skills!D4-IF(Skills!E4=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Skills!E4=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IFERROR(1/IF(Inputs!$B$39="pvp",15,MAX(0.1,Skills!D5-IF(Skills!E5=TRUE,Inputs!$B$32,0))),0)</f>
        <v/>
      </c>
      <c r="R126">
        <f>IF(AND(Inputs!$B$39&lt;&gt;"pvp",Inputs!$B$44&gt;0),IF(MAX(0,Inputs!$B$44-B166)&lt;=0,0,(INT(MAX(0,Inputs!$B$44-B166)/IF(Inputs!$B$39="pvp",15,MAX(0.1,Skills!D5-IF(Skills!E5=TRUE,Inputs!$B$32,0))))+1)),0)</f>
        <v/>
      </c>
      <c r="S126">
        <f>IFERROR(O126/N126,0)</f>
        <v/>
      </c>
      <c r="T126">
        <f>IF(C126,(H126*N126*IF(AND(Inputs!$B$39&lt;&gt;"pvp",Inputs!$B$44&gt;0),((Skills!G5*((R126-1)*IF(Skills!H5&gt;0,Skills!I5/Skills!H5,1)+IF(Skills!H5&gt;0,MIN(Skills!I5,MAX(0,MAX(0,Inputs!$B$44-B166)-((R126-1)*IF(Inputs!$B$39="pvp",15,MAX(0.1,Skills!D5-IF(Skills!E5=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Skills!E5=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IFERROR(1/IF(Inputs!$B$39="pvp",15,MAX(0.1,Skills!D8-IF(Skills!E8=TRUE,Inputs!$B$32,0))),0)</f>
        <v/>
      </c>
      <c r="R129">
        <f>IF(AND(Inputs!$B$39&lt;&gt;"pvp",Inputs!$B$44&gt;0),IF(MAX(0,Inputs!$B$44-B166)&lt;=0,0,(INT(MAX(0,Inputs!$B$44-B166)/IF(Inputs!$B$39="pvp",15,MAX(0.1,Skills!D8-IF(Skills!E8=TRUE,Inputs!$B$32,0))))+1)),0)</f>
        <v/>
      </c>
      <c r="S129">
        <f>IFERROR(O129/N129,0)</f>
        <v/>
      </c>
      <c r="T129">
        <f>IF(C129,(H129*N129*IF(AND(Inputs!$B$39&lt;&gt;"pvp",Inputs!$B$44&gt;0),((Skills!G8*((R129-1)*IF(Skills!H8&gt;0,Skills!I8/Skills!H8,1)+IF(Skills!H8&gt;0,MIN(Skills!I8,MAX(0,MAX(0,Inputs!$B$44-B166)-((R129-1)*IF(Inputs!$B$39="pvp",15,MAX(0.1,Skills!D8-IF(Skills!E8=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Skills!E8=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IFERROR(1/IF(Inputs!$B$39="pvp",15,MAX(0.1,Skills!D9-IF(Skills!E9=TRUE,Inputs!$B$32,0))),0)</f>
        <v/>
      </c>
      <c r="R130">
        <f>IF(AND(Inputs!$B$39&lt;&gt;"pvp",Inputs!$B$44&gt;0),IF(MAX(0,Inputs!$B$44-B166)&lt;=0,0,(INT(MAX(0,Inputs!$B$44-B166)/IF(Inputs!$B$39="pvp",15,MAX(0.1,Skills!D9-IF(Skills!E9=TRUE,Inputs!$B$32,0))))+1)),0)</f>
        <v/>
      </c>
      <c r="S130">
        <f>IFERROR(O130/N130,0)</f>
        <v/>
      </c>
      <c r="T130">
        <f>IF(C130,(H130*N130*IF(AND(Inputs!$B$39&lt;&gt;"pvp",Inputs!$B$44&gt;0),((Skills!G9*((R130-1)*IF(Skills!H9&gt;0,Skills!I9/Skills!H9,1)+IF(Skills!H9&gt;0,MIN(Skills!I9,MAX(0,MAX(0,Inputs!$B$44-B166)-((R130-1)*IF(Inputs!$B$39="pvp",15,MAX(0.1,Skills!D9-IF(Skills!E9=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Skills!E9=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IFERROR(1/IF(Inputs!$B$39="pvp",15,MAX(0.1,Skills!D12-IF(Skills!E12=TRUE,Inputs!$B$32,0))),0)</f>
        <v/>
      </c>
      <c r="R133">
        <f>IF(AND(Inputs!$B$39&lt;&gt;"pvp",Inputs!$B$44&gt;0),IF(MAX(0,Inputs!$B$44-B166)&lt;=0,0,(INT(MAX(0,Inputs!$B$44-B166)/IF(Inputs!$B$39="pvp",15,MAX(0.1,Skills!D12-IF(Skills!E12=TRUE,Inputs!$B$32,0))))+1)),0)</f>
        <v/>
      </c>
      <c r="S133">
        <f>IFERROR(O133/N133,0)</f>
        <v/>
      </c>
      <c r="T133">
        <f>IF(C133,(H133*N133*IF(AND(Inputs!$B$39&lt;&gt;"pvp",Inputs!$B$44&gt;0),((Skills!G12*((R133-1)*IF(Skills!H12&gt;0,Skills!I12/Skills!H12,1)+IF(Skills!H12&gt;0,MIN(Skills!I12,MAX(0,MAX(0,Inputs!$B$44-B166)-((R133-1)*IF(Inputs!$B$39="pvp",15,MAX(0.1,Skills!D12-IF(Skills!E12=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Skills!E12=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IFERROR(1/IF(Inputs!$B$39="pvp",15,MAX(0.1,Skills!D13-IF(Skills!E13=TRUE,Inputs!$B$32,0))),0)</f>
        <v/>
      </c>
      <c r="R134">
        <f>IF(AND(Inputs!$B$39&lt;&gt;"pvp",Inputs!$B$44&gt;0),IF(MAX(0,Inputs!$B$44-B166)&lt;=0,0,(INT(MAX(0,Inputs!$B$44-B166)/IF(Inputs!$B$39="pvp",15,MAX(0.1,Skills!D13-IF(Skills!E13=TRUE,Inputs!$B$32,0))))+1)),0)</f>
        <v/>
      </c>
      <c r="S134">
        <f>IFERROR(O134/N134,0)</f>
        <v/>
      </c>
      <c r="T134">
        <f>IF(C134,(H134*N134*IF(AND(Inputs!$B$39&lt;&gt;"pvp",Inputs!$B$44&gt;0),((Skills!G13*((R134-1)*IF(Skills!H13&gt;0,Skills!I13/Skills!H13,1)+IF(Skills!H13&gt;0,MIN(Skills!I13,MAX(0,MAX(0,Inputs!$B$44-B166)-((R134-1)*IF(Inputs!$B$39="pvp",15,MAX(0.1,Skills!D13-IF(Skills!E13=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Skills!E13=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IFERROR(1/IF(Inputs!$B$39="pvp",15,MAX(0.1,Skills!D14-IF(Skills!E14=TRUE,Inputs!$B$32,0))),0)</f>
        <v/>
      </c>
      <c r="R135">
        <f>IF(AND(Inputs!$B$39&lt;&gt;"pvp",Inputs!$B$44&gt;0),IF(MAX(0,Inputs!$B$44-B166)&lt;=0,0,(INT(MAX(0,Inputs!$B$44-B166)/IF(Inputs!$B$39="pvp",15,MAX(0.1,Skills!D14-IF(Skills!E14=TRUE,Inputs!$B$32,0))))+1)),0)</f>
        <v/>
      </c>
      <c r="S135">
        <f>IFERROR(O135/N135,0)</f>
        <v/>
      </c>
      <c r="T135">
        <f>IF(C135,(H135*N135*IF(AND(Inputs!$B$39&lt;&gt;"pvp",Inputs!$B$44&gt;0),((Skills!G14*((R135-1)*IF(Skills!H14&gt;0,Skills!I14/Skills!H14,1)+IF(Skills!H14&gt;0,MIN(Skills!I14,MAX(0,MAX(0,Inputs!$B$44-B166)-((R135-1)*IF(Inputs!$B$39="pvp",15,MAX(0.1,Skills!D14-IF(Skills!E14=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Skills!E14=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IFERROR(1/IF(Inputs!$B$39="pvp",15,MAX(0.1,Skills!D15-IF(Skills!E15=TRUE,Inputs!$B$32,0))),0)</f>
        <v/>
      </c>
      <c r="R136">
        <f>IF(AND(Inputs!$B$39&lt;&gt;"pvp",Inputs!$B$44&gt;0),IF(Inputs!$B$44&lt;=0,0,(INT(Inputs!$B$44/IF(Inputs!$B$39="pvp",15,MAX(0.1,Skills!D15-IF(Skills!E15=TRUE,Inputs!$B$32,0))))+1)),0)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IFERROR(1/IF(Inputs!$B$39="pvp",15,MAX(0.1,Skills!D16-IF(Skills!E16=TRUE,Inputs!$B$32,0))),0)</f>
        <v/>
      </c>
      <c r="R137">
        <f>IF(AND(Inputs!$B$39&lt;&gt;"pvp",Inputs!$B$44&gt;0),IF(Inputs!$B$44&lt;=0,0,(INT(Inputs!$B$44/IF(Inputs!$B$39="pvp",15,MAX(0.1,Skills!D16-IF(Skills!E16=TRUE,Inputs!$B$32,0))))+1)),0)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IFERROR(1/IF(Inputs!$B$39="pvp",15,MAX(0.1,Skills!D19-IF(Skills!E19=TRUE,Inputs!$B$32,0))),0)</f>
        <v/>
      </c>
      <c r="R140">
        <f>IF(AND(Inputs!$B$39&lt;&gt;"pvp",Inputs!$B$44&gt;0),IF(Inputs!$B$44&lt;=0,0,(INT(Inputs!$B$44/IF(Inputs!$B$39="pvp",15,MAX(0.1,Skills!D19-IF(Skills!E19=TRUE,Inputs!$B$32,0))))+1)),0)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IFERROR(1/IF(Inputs!$B$39="pvp",15,MAX(0.1,Skills!D20-IF(Skills!E20=TRUE,Inputs!$B$32,0))),0)</f>
        <v/>
      </c>
      <c r="R141">
        <f>IF(AND(Inputs!$B$39&lt;&gt;"pvp",Inputs!$B$44&gt;0),IF(Inputs!$B$44&lt;=0,0,(INT(Inputs!$B$44/IF(Inputs!$B$39="pvp",15,MAX(0.1,Skills!D20-IF(Skills!E20=TRUE,Inputs!$B$32,0))))+1)),0)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IFERROR(1/IF(Inputs!$B$39="pvp",15,MAX(0.1,Skills!D21-IF(Skills!E21=TRUE,Inputs!$B$32,0))),0)</f>
        <v/>
      </c>
      <c r="R142">
        <f>IF(AND(Inputs!$B$39&lt;&gt;"pvp",Inputs!$B$44&gt;0),IF(Inputs!$B$44&lt;=0,0,(INT(Inputs!$B$44/IF(Inputs!$B$39="pvp",15,MAX(0.1,Skills!D21-IF(Skills!E21=TRUE,Inputs!$B$32,0))))+1)),0)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Skills!Y19*(1+Inputs!$B$34/100))+MIN((Skills!Y19*(1+Inputs!$B$34/100)),MAX(0,Inputs!$B$44-((R140-1)*Skills!D19))))/Inputs!$B$44),IF(Inputs!$B$39="pvp",MIN((Skills!Y19*(1+Inputs!$B$34/100)),15)/15,(Skills!Y19*(1+Inputs!$B$34/100))/Skills!D19)))/150)))/100</f>
        <v/>
      </c>
    </row>
    <row r="155">
      <c r="A155" t="inlineStr">
        <is>
          <t>Alchemic Adrenaline Uptime</t>
        </is>
      </c>
      <c r="B155">
        <f>(Skills!Y6*(1+Inputs!$B$34/100))/((Skills!Y6*(1+Inputs!$B$34/100))+(5/B154))</f>
        <v/>
      </c>
    </row>
    <row r="156">
      <c r="A156" t="inlineStr">
        <is>
          <t>Attack Speed Buff Bonus %</t>
        </is>
      </c>
      <c r="B156">
        <f>((C140=TRUE)*F140*IF(AND(Inputs!$B$39&lt;&gt;"pvp",Inputs!$B$44&gt;0),(((R140-1)*(Skills!Y19*(1+Inputs!$B$34/100))+MIN((Skills!Y19*(1+Inputs!$B$34/100)),MAX(0,Inputs!$B$44-((R140-1)*Skills!D19))))/Inputs!$B$44),IF(Inputs!$B$39="pvp",MIN((Skills!Y19*(1+Inputs!$B$34/100)),15)/15,(Skills!Y19*(1+Inputs!$B$34/100))/Skills!D19)))+((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f>
        <v/>
      </c>
    </row>
    <row r="161">
      <c r="A161" t="inlineStr">
        <is>
          <t>Global Crit Rate Bonus %</t>
        </is>
      </c>
      <c r="B161">
        <f>IF(Inputs!$B$3&gt;=47,8,0)+((C141=TRUE)*F141*IF(AND(Inputs!$B$39&lt;&gt;"pvp",Inputs!$B$44&gt;0),(((R141-1)*(Skills!Y20*(1+Inputs!$B$34/100))+MIN((Skills!Y20*(1+Inputs!$B$34/100)),MAX(0,Inputs!$B$44-((R141-1)*Skills!D20))))/Inputs!$B$44),IF(Inputs!$B$39="pvp",MIN((Skills!Y20*(1+Inputs!$B$34/100)),15)/15,(Skills!Y20*(1+Inputs!$B$34/100))/Skills!D20)))</f>
        <v/>
      </c>
    </row>
    <row r="162">
      <c r="A162" t="inlineStr">
        <is>
          <t>Global Monster Damage-Taken Bonus %</t>
        </is>
      </c>
      <c r="B162">
        <f>IF(Inputs!$B$3&gt;=82,15,0)+((C137=TRUE)*F137*IF(AND(Inputs!$B$39&lt;&gt;"pvp",Inputs!$B$44&gt;0),(((R137-1)*(Skills!Y16*(1+Inputs!$B$34/100))+MIN((Skills!Y16*(1+Inputs!$B$34/100)),MAX(0,Inputs!$B$44-((R137-1)*Skills!D16))))/Inputs!$B$44),IF(Inputs!$B$39="pvp",MIN((Skills!Y16*(1+Inputs!$B$34/100)),15)/15,(Skills!Y16*(1+Inputs!$B$34/100))/Skills!D16)))</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Skills!Y16*(1+Inputs!$B$34/100))+MIN((Skills!Y16*(1+Inputs!$B$34/100)),MAX(0,Inputs!$B$44-((R137-1)*Skills!D16))))/Inputs!$B$44),IF(Inputs!$B$39="pvp",MIN((Skills!Y16*(1+Inputs!$B$34/100)),15)/15,(Skills!Y16*(1+Inputs!$B$34/100))/Skills!D16))</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IFERROR(1/IF(Inputs!$B$39="pvp",15,MAX(0.1,Skills!D3-IF(Skills!E3=TRUE,Inputs!$B$32,0))),0)</f>
        <v/>
      </c>
      <c r="R173">
        <f>IF(AND(Inputs!$B$39&lt;&gt;"pvp",Inputs!$B$44&gt;0),IF(MAX(0,Inputs!$B$44-B215)&lt;=0,0,(INT(MAX(0,Inputs!$B$44-B215)/IF(Inputs!$B$39="pvp",15,MAX(0.1,Skills!D3-IF(Skills!E3=TRUE,Inputs!$B$32,0))))+1)),0)</f>
        <v/>
      </c>
      <c r="S173">
        <f>IFERROR(O173/N173,0)</f>
        <v/>
      </c>
      <c r="T173">
        <f>IF(C173,(H173*N173*IF(AND(Inputs!$B$39&lt;&gt;"pvp",Inputs!$B$44&gt;0),((Skills!G3*((R173-1)*IF(Skills!H3&gt;0,Skills!I3/Skills!H3,1)+IF(Skills!H3&gt;0,MIN(Skills!I3,MAX(0,MAX(0,Inputs!$B$44-B215)-((R173-1)*IF(Inputs!$B$39="pvp",15,MAX(0.1,Skills!D3-IF(Skills!E3=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Skills!E3=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Inputs!$B$3&gt;=40</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IFERROR(1/IF(Inputs!$B$39="pvp",15,MAX(0.1,Skills!D4-IF(Skills!E4=TRUE,Inputs!$B$32,0))),0)</f>
        <v/>
      </c>
      <c r="R174">
        <f>IF(AND(Inputs!$B$39&lt;&gt;"pvp",Inputs!$B$44&gt;0),IF(MAX(0,Inputs!$B$44-B215)&lt;=0,0,(INT(MAX(0,Inputs!$B$44-B215)/IF(Inputs!$B$39="pvp",15,MAX(0.1,Skills!D4-IF(Skills!E4=TRUE,Inputs!$B$32,0))))+1)),0)</f>
        <v/>
      </c>
      <c r="S174">
        <f>IFERROR(O174/N174,0)</f>
        <v/>
      </c>
      <c r="T174">
        <f>IF(C174,(H174*N174*IF(AND(Inputs!$B$39&lt;&gt;"pvp",Inputs!$B$44&gt;0),((Skills!G4*((R174-1)*IF(Skills!H4&gt;0,Skills!I4/Skills!H4,1)+IF(Skills!H4&gt;0,MIN(Skills!I4,MAX(0,MAX(0,Inputs!$B$44-B215)-((R174-1)*IF(Inputs!$B$39="pvp",15,MAX(0.1,Skills!D4-IF(Skills!E4=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Skills!E4=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IFERROR(1/IF(Inputs!$B$39="pvp",15,MAX(0.1,Skills!D5-IF(Skills!E5=TRUE,Inputs!$B$32,0))),0)</f>
        <v/>
      </c>
      <c r="R175">
        <f>IF(AND(Inputs!$B$39&lt;&gt;"pvp",Inputs!$B$44&gt;0),IF(MAX(0,Inputs!$B$44-B215)&lt;=0,0,(INT(MAX(0,Inputs!$B$44-B215)/IF(Inputs!$B$39="pvp",15,MAX(0.1,Skills!D5-IF(Skills!E5=TRUE,Inputs!$B$32,0))))+1)),0)</f>
        <v/>
      </c>
      <c r="S175">
        <f>IFERROR(O175/N175,0)</f>
        <v/>
      </c>
      <c r="T175">
        <f>IF(C175,(H175*N175*IF(AND(Inputs!$B$39&lt;&gt;"pvp",Inputs!$B$44&gt;0),((Skills!G5*((R175-1)*IF(Skills!H5&gt;0,Skills!I5/Skills!H5,1)+IF(Skills!H5&gt;0,MIN(Skills!I5,MAX(0,MAX(0,Inputs!$B$44-B215)-((R175-1)*IF(Inputs!$B$39="pvp",15,MAX(0.1,Skills!D5-IF(Skills!E5=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Skills!E5=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IFERROR(1/IF(Inputs!$B$39="pvp",15,MAX(0.1,Skills!D8-IF(Skills!E8=TRUE,Inputs!$B$32,0))),0)</f>
        <v/>
      </c>
      <c r="R178">
        <f>IF(AND(Inputs!$B$39&lt;&gt;"pvp",Inputs!$B$44&gt;0),IF(MAX(0,Inputs!$B$44-B215)&lt;=0,0,(INT(MAX(0,Inputs!$B$44-B215)/IF(Inputs!$B$39="pvp",15,MAX(0.1,Skills!D8-IF(Skills!E8=TRUE,Inputs!$B$32,0))))+1)),0)</f>
        <v/>
      </c>
      <c r="S178">
        <f>IFERROR(O178/N178,0)</f>
        <v/>
      </c>
      <c r="T178">
        <f>IF(C178,(H178*N178*IF(AND(Inputs!$B$39&lt;&gt;"pvp",Inputs!$B$44&gt;0),((Skills!G8*((R178-1)*IF(Skills!H8&gt;0,Skills!I8/Skills!H8,1)+IF(Skills!H8&gt;0,MIN(Skills!I8,MAX(0,MAX(0,Inputs!$B$44-B215)-((R178-1)*IF(Inputs!$B$39="pvp",15,MAX(0.1,Skills!D8-IF(Skills!E8=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Skills!E8=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Inputs!$B$3&gt;=72</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IFERROR(1/IF(Inputs!$B$39="pvp",15,MAX(0.1,Skills!D9-IF(Skills!E9=TRUE,Inputs!$B$32,0))),0)</f>
        <v/>
      </c>
      <c r="R179">
        <f>IF(AND(Inputs!$B$39&lt;&gt;"pvp",Inputs!$B$44&gt;0),IF(MAX(0,Inputs!$B$44-B215)&lt;=0,0,(INT(MAX(0,Inputs!$B$44-B215)/IF(Inputs!$B$39="pvp",15,MAX(0.1,Skills!D9-IF(Skills!E9=TRUE,Inputs!$B$32,0))))+1)),0)</f>
        <v/>
      </c>
      <c r="S179">
        <f>IFERROR(O179/N179,0)</f>
        <v/>
      </c>
      <c r="T179">
        <f>IF(C179,(H179*N179*IF(AND(Inputs!$B$39&lt;&gt;"pvp",Inputs!$B$44&gt;0),((Skills!G9*((R179-1)*IF(Skills!H9&gt;0,Skills!I9/Skills!H9,1)+IF(Skills!H9&gt;0,MIN(Skills!I9,MAX(0,MAX(0,Inputs!$B$44-B215)-((R179-1)*IF(Inputs!$B$39="pvp",15,MAX(0.1,Skills!D9-IF(Skills!E9=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Skills!E9=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IFERROR(1/IF(Inputs!$B$39="pvp",15,MAX(0.1,Skills!D12-IF(Skills!E12=TRUE,Inputs!$B$32,0))),0)</f>
        <v/>
      </c>
      <c r="R182">
        <f>IF(AND(Inputs!$B$39&lt;&gt;"pvp",Inputs!$B$44&gt;0),IF(MAX(0,Inputs!$B$44-B215)&lt;=0,0,(INT(MAX(0,Inputs!$B$44-B215)/IF(Inputs!$B$39="pvp",15,MAX(0.1,Skills!D12-IF(Skills!E12=TRUE,Inputs!$B$32,0))))+1)),0)</f>
        <v/>
      </c>
      <c r="S182">
        <f>IFERROR(O182/N182,0)</f>
        <v/>
      </c>
      <c r="T182">
        <f>IF(C182,(H182*N182*IF(AND(Inputs!$B$39&lt;&gt;"pvp",Inputs!$B$44&gt;0),((Skills!G12*((R182-1)*IF(Skills!H12&gt;0,Skills!I12/Skills!H12,1)+IF(Skills!H12&gt;0,MIN(Skills!I12,MAX(0,MAX(0,Inputs!$B$44-B215)-((R182-1)*IF(Inputs!$B$39="pvp",15,MAX(0.1,Skills!D12-IF(Skills!E12=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Skills!E12=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IFERROR(1/IF(Inputs!$B$39="pvp",15,MAX(0.1,Skills!D13-IF(Skills!E13=TRUE,Inputs!$B$32,0))),0)</f>
        <v/>
      </c>
      <c r="R183">
        <f>IF(AND(Inputs!$B$39&lt;&gt;"pvp",Inputs!$B$44&gt;0),IF(MAX(0,Inputs!$B$44-B215)&lt;=0,0,(INT(MAX(0,Inputs!$B$44-B215)/IF(Inputs!$B$39="pvp",15,MAX(0.1,Skills!D13-IF(Skills!E13=TRUE,Inputs!$B$32,0))))+1)),0)</f>
        <v/>
      </c>
      <c r="S183">
        <f>IFERROR(O183/N183,0)</f>
        <v/>
      </c>
      <c r="T183">
        <f>IF(C183,(H183*N183*IF(AND(Inputs!$B$39&lt;&gt;"pvp",Inputs!$B$44&gt;0),((Skills!G13*((R183-1)*IF(Skills!H13&gt;0,Skills!I13/Skills!H13,1)+IF(Skills!H13&gt;0,MIN(Skills!I13,MAX(0,MAX(0,Inputs!$B$44-B215)-((R183-1)*IF(Inputs!$B$39="pvp",15,MAX(0.1,Skills!D13-IF(Skills!E13=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Skills!E13=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IFERROR(1/IF(Inputs!$B$39="pvp",15,MAX(0.1,Skills!D14-IF(Skills!E14=TRUE,Inputs!$B$32,0))),0)</f>
        <v/>
      </c>
      <c r="R184">
        <f>IF(AND(Inputs!$B$39&lt;&gt;"pvp",Inputs!$B$44&gt;0),IF(MAX(0,Inputs!$B$44-B215)&lt;=0,0,(INT(MAX(0,Inputs!$B$44-B215)/IF(Inputs!$B$39="pvp",15,MAX(0.1,Skills!D14-IF(Skills!E14=TRUE,Inputs!$B$32,0))))+1)),0)</f>
        <v/>
      </c>
      <c r="S184">
        <f>IFERROR(O184/N184,0)</f>
        <v/>
      </c>
      <c r="T184">
        <f>IF(C184,(H184*N184*IF(AND(Inputs!$B$39&lt;&gt;"pvp",Inputs!$B$44&gt;0),((Skills!G14*((R184-1)*IF(Skills!H14&gt;0,Skills!I14/Skills!H14,1)+IF(Skills!H14&gt;0,MIN(Skills!I14,MAX(0,MAX(0,Inputs!$B$44-B215)-((R184-1)*IF(Inputs!$B$39="pvp",15,MAX(0.1,Skills!D14-IF(Skills!E14=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Skills!E14=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IFERROR(1/IF(Inputs!$B$39="pvp",15,MAX(0.1,Skills!D16-IF(Skills!E16=TRUE,Inputs!$B$32,0))),0)</f>
        <v/>
      </c>
      <c r="R186">
        <f>IF(AND(Inputs!$B$39&lt;&gt;"pvp",Inputs!$B$44&gt;0),IF(Inputs!$B$44&lt;=0,0,(INT(Inputs!$B$44/IF(Inputs!$B$39="pvp",15,MAX(0.1,Skills!D16-IF(Skills!E16=TRUE,Inputs!$B$32,0))))+1)),0)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Skills!Y19*(1+Inputs!$B$34/100))+MIN((Skills!Y19*(1+Inputs!$B$34/100)),MAX(0,Inputs!$B$44-((R189-1)*Skills!D19))))/Inputs!$B$44),IF(Inputs!$B$39="pvp",MIN((Skills!Y19*(1+Inputs!$B$34/100)),15)/15,(Skills!Y19*(1+Inputs!$B$34/100))/Skills!D19)))/150)))/100</f>
        <v/>
      </c>
    </row>
    <row r="204">
      <c r="A204" t="inlineStr">
        <is>
          <t>Alchemic Adrenaline Uptime</t>
        </is>
      </c>
      <c r="B204">
        <f>(Skills!Y6*(1+Inputs!$B$34/100))/((Skills!Y6*(1+Inputs!$B$34/100))+(5/B203))</f>
        <v/>
      </c>
    </row>
    <row r="205">
      <c r="A205" t="inlineStr">
        <is>
          <t>Attack Speed Buff Bonus %</t>
        </is>
      </c>
      <c r="B205">
        <f>((C189=TRUE)*F189*IF(AND(Inputs!$B$39&lt;&gt;"pvp",Inputs!$B$44&gt;0),(((R189-1)*(Skills!Y19*(1+Inputs!$B$34/100))+MIN((Skills!Y19*(1+Inputs!$B$34/100)),MAX(0,Inputs!$B$44-((R189-1)*Skills!D19))))/Inputs!$B$44),IF(Inputs!$B$39="pvp",MIN((Skills!Y19*(1+Inputs!$B$34/100)),15)/15,(Skills!Y19*(1+Inputs!$B$34/100))/Skills!D19)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f>
        <v/>
      </c>
    </row>
    <row r="210">
      <c r="A210" t="inlineStr">
        <is>
          <t>Global Crit Rate Bonus %</t>
        </is>
      </c>
      <c r="B210">
        <f>IF(Inputs!$B$3&gt;=47,8,0)+((C190=TRUE)*F190*IF(AND(Inputs!$B$39&lt;&gt;"pvp",Inputs!$B$44&gt;0),(((R190-1)*(Skills!Y20*(1+Inputs!$B$34/100))+MIN((Skills!Y20*(1+Inputs!$B$34/100)),MAX(0,Inputs!$B$44-((R190-1)*Skills!D20))))/Inputs!$B$44),IF(Inputs!$B$39="pvp",MIN((Skills!Y20*(1+Inputs!$B$34/100)),15)/15,(Skills!Y20*(1+Inputs!$B$34/100))/Skills!D20)))</f>
        <v/>
      </c>
    </row>
    <row r="211">
      <c r="A211" t="inlineStr">
        <is>
          <t>Global Monster Damage-Taken Bonus %</t>
        </is>
      </c>
      <c r="B211">
        <f>IF(Inputs!$B$3&gt;=82,15,0)+((C186=TRUE)*F186*IF(AND(Inputs!$B$39&lt;&gt;"pvp",Inputs!$B$44&gt;0),(((R186-1)*(Skills!Y16*(1+Inputs!$B$34/100))+MIN((Skills!Y16*(1+Inputs!$B$34/100)),MAX(0,Inputs!$B$44-((R186-1)*Skills!D16))))/Inputs!$B$44),IF(Inputs!$B$39="pvp",MIN((Skills!Y16*(1+Inputs!$B$34/100)),15)/15,(Skills!Y16*(1+Inputs!$B$34/100))/Skills!D16)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Skills!Y16*(1+Inputs!$B$34/100))+MIN((Skills!Y16*(1+Inputs!$B$34/100)),MAX(0,Inputs!$B$44-((R186-1)*Skills!D16))))/Inputs!$B$44),IF(Inputs!$B$39="pvp",MIN((Skills!Y16*(1+Inputs!$B$34/100)),15)/15,(Skills!Y16*(1+Inputs!$B$34/100))/Skills!D16)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IFERROR(1/IF(Inputs!$B$39="pvp",15,MAX(0.1,Skills!D3-IF(Skills!E3=TRUE,Inputs!$B$32,0))),0)</f>
        <v/>
      </c>
      <c r="R222">
        <f>IF(AND(Inputs!$B$39&lt;&gt;"pvp",Inputs!$B$44&gt;0),IF(MAX(0,Inputs!$B$44-B264)&lt;=0,0,(INT(MAX(0,Inputs!$B$44-B264)/IF(Inputs!$B$39="pvp",15,MAX(0.1,Skills!D3-IF(Skills!E3=TRUE,Inputs!$B$32,0))))+1)),0)</f>
        <v/>
      </c>
      <c r="S222">
        <f>IFERROR(O222/N222,0)</f>
        <v/>
      </c>
      <c r="T222">
        <f>IF(C222,(H222*N222*IF(AND(Inputs!$B$39&lt;&gt;"pvp",Inputs!$B$44&gt;0),((Skills!G3*((R222-1)*IF(Skills!H3&gt;0,Skills!I3/Skills!H3,1)+IF(Skills!H3&gt;0,MIN(Skills!I3,MAX(0,MAX(0,Inputs!$B$44-B264)-((R222-1)*IF(Inputs!$B$39="pvp",15,MAX(0.1,Skills!D3-IF(Skills!E3=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Skills!E3=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Inputs!$B$3&gt;=40</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IFERROR(1/IF(Inputs!$B$39="pvp",15,MAX(0.1,Skills!D4-IF(Skills!E4=TRUE,Inputs!$B$32,0))),0)</f>
        <v/>
      </c>
      <c r="R223">
        <f>IF(AND(Inputs!$B$39&lt;&gt;"pvp",Inputs!$B$44&gt;0),IF(MAX(0,Inputs!$B$44-B264)&lt;=0,0,(INT(MAX(0,Inputs!$B$44-B264)/IF(Inputs!$B$39="pvp",15,MAX(0.1,Skills!D4-IF(Skills!E4=TRUE,Inputs!$B$32,0))))+1)),0)</f>
        <v/>
      </c>
      <c r="S223">
        <f>IFERROR(O223/N223,0)</f>
        <v/>
      </c>
      <c r="T223">
        <f>IF(C223,(H223*N223*IF(AND(Inputs!$B$39&lt;&gt;"pvp",Inputs!$B$44&gt;0),((Skills!G4*((R223-1)*IF(Skills!H4&gt;0,Skills!I4/Skills!H4,1)+IF(Skills!H4&gt;0,MIN(Skills!I4,MAX(0,MAX(0,Inputs!$B$44-B264)-((R223-1)*IF(Inputs!$B$39="pvp",15,MAX(0.1,Skills!D4-IF(Skills!E4=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Skills!E4=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IFERROR(1/IF(Inputs!$B$39="pvp",15,MAX(0.1,Skills!D5-IF(Skills!E5=TRUE,Inputs!$B$32,0))),0)</f>
        <v/>
      </c>
      <c r="R224">
        <f>IF(AND(Inputs!$B$39&lt;&gt;"pvp",Inputs!$B$44&gt;0),IF(MAX(0,Inputs!$B$44-B264)&lt;=0,0,(INT(MAX(0,Inputs!$B$44-B264)/IF(Inputs!$B$39="pvp",15,MAX(0.1,Skills!D5-IF(Skills!E5=TRUE,Inputs!$B$32,0))))+1)),0)</f>
        <v/>
      </c>
      <c r="S224">
        <f>IFERROR(O224/N224,0)</f>
        <v/>
      </c>
      <c r="T224">
        <f>IF(C224,(H224*N224*IF(AND(Inputs!$B$39&lt;&gt;"pvp",Inputs!$B$44&gt;0),((Skills!G5*((R224-1)*IF(Skills!H5&gt;0,Skills!I5/Skills!H5,1)+IF(Skills!H5&gt;0,MIN(Skills!I5,MAX(0,MAX(0,Inputs!$B$44-B264)-((R224-1)*IF(Inputs!$B$39="pvp",15,MAX(0.1,Skills!D5-IF(Skills!E5=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Skills!E5=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IFERROR(1/IF(Inputs!$B$39="pvp",15,MAX(0.1,Skills!D8-IF(Skills!E8=TRUE,Inputs!$B$32,0))),0)</f>
        <v/>
      </c>
      <c r="R227">
        <f>IF(AND(Inputs!$B$39&lt;&gt;"pvp",Inputs!$B$44&gt;0),IF(MAX(0,Inputs!$B$44-B264)&lt;=0,0,(INT(MAX(0,Inputs!$B$44-B264)/IF(Inputs!$B$39="pvp",15,MAX(0.1,Skills!D8-IF(Skills!E8=TRUE,Inputs!$B$32,0))))+1)),0)</f>
        <v/>
      </c>
      <c r="S227">
        <f>IFERROR(O227/N227,0)</f>
        <v/>
      </c>
      <c r="T227">
        <f>IF(C227,(H227*N227*IF(AND(Inputs!$B$39&lt;&gt;"pvp",Inputs!$B$44&gt;0),((Skills!G8*((R227-1)*IF(Skills!H8&gt;0,Skills!I8/Skills!H8,1)+IF(Skills!H8&gt;0,MIN(Skills!I8,MAX(0,MAX(0,Inputs!$B$44-B264)-((R227-1)*IF(Inputs!$B$39="pvp",15,MAX(0.1,Skills!D8-IF(Skills!E8=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Skills!E8=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Inputs!$B$3&gt;=72</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IFERROR(1/IF(Inputs!$B$39="pvp",15,MAX(0.1,Skills!D9-IF(Skills!E9=TRUE,Inputs!$B$32,0))),0)</f>
        <v/>
      </c>
      <c r="R228">
        <f>IF(AND(Inputs!$B$39&lt;&gt;"pvp",Inputs!$B$44&gt;0),IF(MAX(0,Inputs!$B$44-B264)&lt;=0,0,(INT(MAX(0,Inputs!$B$44-B264)/IF(Inputs!$B$39="pvp",15,MAX(0.1,Skills!D9-IF(Skills!E9=TRUE,Inputs!$B$32,0))))+1)),0)</f>
        <v/>
      </c>
      <c r="S228">
        <f>IFERROR(O228/N228,0)</f>
        <v/>
      </c>
      <c r="T228">
        <f>IF(C228,(H228*N228*IF(AND(Inputs!$B$39&lt;&gt;"pvp",Inputs!$B$44&gt;0),((Skills!G9*((R228-1)*IF(Skills!H9&gt;0,Skills!I9/Skills!H9,1)+IF(Skills!H9&gt;0,MIN(Skills!I9,MAX(0,MAX(0,Inputs!$B$44-B264)-((R228-1)*IF(Inputs!$B$39="pvp",15,MAX(0.1,Skills!D9-IF(Skills!E9=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Skills!E9=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IFERROR(1/IF(Inputs!$B$39="pvp",15,MAX(0.1,Skills!D12-IF(Skills!E12=TRUE,Inputs!$B$32,0))),0)</f>
        <v/>
      </c>
      <c r="R231">
        <f>IF(AND(Inputs!$B$39&lt;&gt;"pvp",Inputs!$B$44&gt;0),IF(MAX(0,Inputs!$B$44-B264)&lt;=0,0,(INT(MAX(0,Inputs!$B$44-B264)/IF(Inputs!$B$39="pvp",15,MAX(0.1,Skills!D12-IF(Skills!E12=TRUE,Inputs!$B$32,0))))+1)),0)</f>
        <v/>
      </c>
      <c r="S231">
        <f>IFERROR(O231/N231,0)</f>
        <v/>
      </c>
      <c r="T231">
        <f>IF(C231,(H231*N231*IF(AND(Inputs!$B$39&lt;&gt;"pvp",Inputs!$B$44&gt;0),((Skills!G12*((R231-1)*IF(Skills!H12&gt;0,Skills!I12/Skills!H12,1)+IF(Skills!H12&gt;0,MIN(Skills!I12,MAX(0,MAX(0,Inputs!$B$44-B264)-((R231-1)*IF(Inputs!$B$39="pvp",15,MAX(0.1,Skills!D12-IF(Skills!E12=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Skills!E12=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IFERROR(1/IF(Inputs!$B$39="pvp",15,MAX(0.1,Skills!D13-IF(Skills!E13=TRUE,Inputs!$B$32,0))),0)</f>
        <v/>
      </c>
      <c r="R232">
        <f>IF(AND(Inputs!$B$39&lt;&gt;"pvp",Inputs!$B$44&gt;0),IF(MAX(0,Inputs!$B$44-B264)&lt;=0,0,(INT(MAX(0,Inputs!$B$44-B264)/IF(Inputs!$B$39="pvp",15,MAX(0.1,Skills!D13-IF(Skills!E13=TRUE,Inputs!$B$32,0))))+1)),0)</f>
        <v/>
      </c>
      <c r="S232">
        <f>IFERROR(O232/N232,0)</f>
        <v/>
      </c>
      <c r="T232">
        <f>IF(C232,(H232*N232*IF(AND(Inputs!$B$39&lt;&gt;"pvp",Inputs!$B$44&gt;0),((Skills!G13*((R232-1)*IF(Skills!H13&gt;0,Skills!I13/Skills!H13,1)+IF(Skills!H13&gt;0,MIN(Skills!I13,MAX(0,MAX(0,Inputs!$B$44-B264)-((R232-1)*IF(Inputs!$B$39="pvp",15,MAX(0.1,Skills!D13-IF(Skills!E13=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Skills!E13=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IFERROR(1/IF(Inputs!$B$39="pvp",15,MAX(0.1,Skills!D14-IF(Skills!E14=TRUE,Inputs!$B$32,0))),0)</f>
        <v/>
      </c>
      <c r="R233">
        <f>IF(AND(Inputs!$B$39&lt;&gt;"pvp",Inputs!$B$44&gt;0),IF(MAX(0,Inputs!$B$44-B264)&lt;=0,0,(INT(MAX(0,Inputs!$B$44-B264)/IF(Inputs!$B$39="pvp",15,MAX(0.1,Skills!D14-IF(Skills!E14=TRUE,Inputs!$B$32,0))))+1)),0)</f>
        <v/>
      </c>
      <c r="S233">
        <f>IFERROR(O233/N233,0)</f>
        <v/>
      </c>
      <c r="T233">
        <f>IF(C233,(H233*N233*IF(AND(Inputs!$B$39&lt;&gt;"pvp",Inputs!$B$44&gt;0),((Skills!G14*((R233-1)*IF(Skills!H14&gt;0,Skills!I14/Skills!H14,1)+IF(Skills!H14&gt;0,MIN(Skills!I14,MAX(0,MAX(0,Inputs!$B$44-B264)-((R233-1)*IF(Inputs!$B$39="pvp",15,MAX(0.1,Skills!D14-IF(Skills!E14=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Skills!E14=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IFERROR(1/IF(Inputs!$B$39="pvp",15,MAX(0.1,Skills!D15-IF(Skills!E15=TRUE,Inputs!$B$32,0))),0)</f>
        <v/>
      </c>
      <c r="R234">
        <f>IF(AND(Inputs!$B$39&lt;&gt;"pvp",Inputs!$B$44&gt;0),IF(Inputs!$B$44&lt;=0,0,(INT(Inputs!$B$44/IF(Inputs!$B$39="pvp",15,MAX(0.1,Skills!D15-IF(Skills!E15=TRUE,Inputs!$B$32,0))))+1)),0)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IFERROR(1/IF(Inputs!$B$39="pvp",15,MAX(0.1,Skills!D16-IF(Skills!E16=TRUE,Inputs!$B$32,0))),0)</f>
        <v/>
      </c>
      <c r="R235">
        <f>IF(AND(Inputs!$B$39&lt;&gt;"pvp",Inputs!$B$44&gt;0),IF(Inputs!$B$44&lt;=0,0,(INT(Inputs!$B$44/IF(Inputs!$B$39="pvp",15,MAX(0.1,Skills!D16-IF(Skills!E16=TRUE,Inputs!$B$32,0))))+1)),0)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IFERROR(1/IF(Inputs!$B$39="pvp",15,MAX(0.1,Skills!D19-IF(Skills!E19=TRUE,Inputs!$B$32,0))),0)</f>
        <v/>
      </c>
      <c r="R238">
        <f>IF(AND(Inputs!$B$39&lt;&gt;"pvp",Inputs!$B$44&gt;0),IF(Inputs!$B$44&lt;=0,0,(INT(Inputs!$B$44/IF(Inputs!$B$39="pvp",15,MAX(0.1,Skills!D19-IF(Skills!E19=TRUE,Inputs!$B$32,0))))+1)),0)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IFERROR(1/IF(Inputs!$B$39="pvp",15,MAX(0.1,Skills!D20-IF(Skills!E20=TRUE,Inputs!$B$32,0))),0)</f>
        <v/>
      </c>
      <c r="R239">
        <f>IF(AND(Inputs!$B$39&lt;&gt;"pvp",Inputs!$B$44&gt;0),IF(Inputs!$B$44&lt;=0,0,(INT(Inputs!$B$44/IF(Inputs!$B$39="pvp",15,MAX(0.1,Skills!D20-IF(Skills!E20=TRUE,Inputs!$B$32,0))))+1)),0)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IFERROR(1/IF(Inputs!$B$39="pvp",15,MAX(0.1,Skills!D21-IF(Skills!E21=TRUE,Inputs!$B$32,0))),0)</f>
        <v/>
      </c>
      <c r="R240">
        <f>IF(AND(Inputs!$B$39&lt;&gt;"pvp",Inputs!$B$44&gt;0),IF(Inputs!$B$44&lt;=0,0,(INT(Inputs!$B$44/IF(Inputs!$B$39="pvp",15,MAX(0.1,Skills!D21-IF(Skills!E21=TRUE,Inputs!$B$32,0))))+1)),0)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Skills!Y19*(1+Inputs!$B$34/100))+MIN((Skills!Y19*(1+Inputs!$B$34/100)),MAX(0,Inputs!$B$44-((R238-1)*Skills!D19))))/Inputs!$B$44),IF(Inputs!$B$39="pvp",MIN((Skills!Y19*(1+Inputs!$B$34/100)),15)/15,(Skills!Y19*(1+Inputs!$B$34/100))/Skills!D19)))/150)))/100</f>
        <v/>
      </c>
    </row>
    <row r="253">
      <c r="A253" t="inlineStr">
        <is>
          <t>Alchemic Adrenaline Uptime</t>
        </is>
      </c>
      <c r="B253">
        <f>(Skills!Y6*(1+Inputs!$B$34/100))/((Skills!Y6*(1+Inputs!$B$34/100))+(5/B252))</f>
        <v/>
      </c>
    </row>
    <row r="254">
      <c r="A254" t="inlineStr">
        <is>
          <t>Attack Speed Buff Bonus %</t>
        </is>
      </c>
      <c r="B254">
        <f>((C238=TRUE)*F238*IF(AND(Inputs!$B$39&lt;&gt;"pvp",Inputs!$B$44&gt;0),(((R238-1)*(Skills!Y19*(1+Inputs!$B$34/100))+MIN((Skills!Y19*(1+Inputs!$B$34/100)),MAX(0,Inputs!$B$44-((R238-1)*Skills!D19))))/Inputs!$B$44),IF(Inputs!$B$39="pvp",MIN((Skills!Y19*(1+Inputs!$B$34/100)),15)/15,(Skills!Y19*(1+Inputs!$B$34/100))/Skills!D19)))+((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f>
        <v/>
      </c>
    </row>
    <row r="259">
      <c r="A259" t="inlineStr">
        <is>
          <t>Global Crit Rate Bonus %</t>
        </is>
      </c>
      <c r="B259">
        <f>IF(Inputs!$B$3&gt;=47,8,0)+((C239=TRUE)*F239*IF(AND(Inputs!$B$39&lt;&gt;"pvp",Inputs!$B$44&gt;0),(((R239-1)*(Skills!Y20*(1+Inputs!$B$34/100))+MIN((Skills!Y20*(1+Inputs!$B$34/100)),MAX(0,Inputs!$B$44-((R239-1)*Skills!D20))))/Inputs!$B$44),IF(Inputs!$B$39="pvp",MIN((Skills!Y20*(1+Inputs!$B$34/100)),15)/15,(Skills!Y20*(1+Inputs!$B$34/100))/Skills!D20)))</f>
        <v/>
      </c>
    </row>
    <row r="260">
      <c r="A260" t="inlineStr">
        <is>
          <t>Global Monster Damage-Taken Bonus %</t>
        </is>
      </c>
      <c r="B260">
        <f>IF(Inputs!$B$3&gt;=82,15,0)+((C235=TRUE)*F235*IF(AND(Inputs!$B$39&lt;&gt;"pvp",Inputs!$B$44&gt;0),(((R235-1)*(Skills!Y16*(1+Inputs!$B$34/100))+MIN((Skills!Y16*(1+Inputs!$B$34/100)),MAX(0,Inputs!$B$44-((R235-1)*Skills!D16))))/Inputs!$B$44),IF(Inputs!$B$39="pvp",MIN((Skills!Y16*(1+Inputs!$B$34/100)),15)/15,(Skills!Y16*(1+Inputs!$B$34/100))/Skills!D16)))</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Skills!Y16*(1+Inputs!$B$34/100))+MIN((Skills!Y16*(1+Inputs!$B$34/100)),MAX(0,Inputs!$B$44-((R235-1)*Skills!D16))))/Inputs!$B$44),IF(Inputs!$B$39="pvp",MIN((Skills!Y16*(1+Inputs!$B$34/100)),15)/15,(Skills!Y16*(1+Inputs!$B$34/100))/Skills!D16))</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IFERROR(1/IF(Inputs!$B$39="pvp",15,MAX(0.1,Skills!D3-IF(Skills!E3=TRUE,Inputs!$B$32,0))),0)</f>
        <v/>
      </c>
      <c r="R271">
        <f>IF(AND(Inputs!$B$39&lt;&gt;"pvp",Inputs!$B$44&gt;0),IF(MAX(0,Inputs!$B$44-B313)&lt;=0,0,(INT(MAX(0,Inputs!$B$44-B313)/IF(Inputs!$B$39="pvp",15,MAX(0.1,Skills!D3-IF(Skills!E3=TRUE,Inputs!$B$32,0))))+1)),0)</f>
        <v/>
      </c>
      <c r="S271">
        <f>IFERROR(O271/N271,0)</f>
        <v/>
      </c>
      <c r="T271">
        <f>IF(C271,(H271*N271*IF(AND(Inputs!$B$39&lt;&gt;"pvp",Inputs!$B$44&gt;0),((Skills!G3*((R271-1)*IF(Skills!H3&gt;0,Skills!I3/Skills!H3,1)+IF(Skills!H3&gt;0,MIN(Skills!I3,MAX(0,MAX(0,Inputs!$B$44-B313)-((R271-1)*IF(Inputs!$B$39="pvp",15,MAX(0.1,Skills!D3-IF(Skills!E3=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Skills!E3=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Inputs!$B$3&gt;=40</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IFERROR(1/IF(Inputs!$B$39="pvp",15,MAX(0.1,Skills!D4-IF(Skills!E4=TRUE,Inputs!$B$32,0))),0)</f>
        <v/>
      </c>
      <c r="R272">
        <f>IF(AND(Inputs!$B$39&lt;&gt;"pvp",Inputs!$B$44&gt;0),IF(MAX(0,Inputs!$B$44-B313)&lt;=0,0,(INT(MAX(0,Inputs!$B$44-B313)/IF(Inputs!$B$39="pvp",15,MAX(0.1,Skills!D4-IF(Skills!E4=TRUE,Inputs!$B$32,0))))+1)),0)</f>
        <v/>
      </c>
      <c r="S272">
        <f>IFERROR(O272/N272,0)</f>
        <v/>
      </c>
      <c r="T272">
        <f>IF(C272,(H272*N272*IF(AND(Inputs!$B$39&lt;&gt;"pvp",Inputs!$B$44&gt;0),((Skills!G4*((R272-1)*IF(Skills!H4&gt;0,Skills!I4/Skills!H4,1)+IF(Skills!H4&gt;0,MIN(Skills!I4,MAX(0,MAX(0,Inputs!$B$44-B313)-((R272-1)*IF(Inputs!$B$39="pvp",15,MAX(0.1,Skills!D4-IF(Skills!E4=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Skills!E4=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IFERROR(1/IF(Inputs!$B$39="pvp",15,MAX(0.1,Skills!D5-IF(Skills!E5=TRUE,Inputs!$B$32,0))),0)</f>
        <v/>
      </c>
      <c r="R273">
        <f>IF(AND(Inputs!$B$39&lt;&gt;"pvp",Inputs!$B$44&gt;0),IF(MAX(0,Inputs!$B$44-B313)&lt;=0,0,(INT(MAX(0,Inputs!$B$44-B313)/IF(Inputs!$B$39="pvp",15,MAX(0.1,Skills!D5-IF(Skills!E5=TRUE,Inputs!$B$32,0))))+1)),0)</f>
        <v/>
      </c>
      <c r="S273">
        <f>IFERROR(O273/N273,0)</f>
        <v/>
      </c>
      <c r="T273">
        <f>IF(C273,(H273*N273*IF(AND(Inputs!$B$39&lt;&gt;"pvp",Inputs!$B$44&gt;0),((Skills!G5*((R273-1)*IF(Skills!H5&gt;0,Skills!I5/Skills!H5,1)+IF(Skills!H5&gt;0,MIN(Skills!I5,MAX(0,MAX(0,Inputs!$B$44-B313)-((R273-1)*IF(Inputs!$B$39="pvp",15,MAX(0.1,Skills!D5-IF(Skills!E5=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Skills!E5=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IFERROR(1/IF(Inputs!$B$39="pvp",15,MAX(0.1,Skills!D8-IF(Skills!E8=TRUE,Inputs!$B$32,0))),0)</f>
        <v/>
      </c>
      <c r="R276">
        <f>IF(AND(Inputs!$B$39&lt;&gt;"pvp",Inputs!$B$44&gt;0),IF(MAX(0,Inputs!$B$44-B313)&lt;=0,0,(INT(MAX(0,Inputs!$B$44-B313)/IF(Inputs!$B$39="pvp",15,MAX(0.1,Skills!D8-IF(Skills!E8=TRUE,Inputs!$B$32,0))))+1)),0)</f>
        <v/>
      </c>
      <c r="S276">
        <f>IFERROR(O276/N276,0)</f>
        <v/>
      </c>
      <c r="T276">
        <f>IF(C276,(H276*N276*IF(AND(Inputs!$B$39&lt;&gt;"pvp",Inputs!$B$44&gt;0),((Skills!G8*((R276-1)*IF(Skills!H8&gt;0,Skills!I8/Skills!H8,1)+IF(Skills!H8&gt;0,MIN(Skills!I8,MAX(0,MAX(0,Inputs!$B$44-B313)-((R276-1)*IF(Inputs!$B$39="pvp",15,MAX(0.1,Skills!D8-IF(Skills!E8=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Skills!E8=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Inputs!$B$3&gt;=72</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IFERROR(1/IF(Inputs!$B$39="pvp",15,MAX(0.1,Skills!D9-IF(Skills!E9=TRUE,Inputs!$B$32,0))),0)</f>
        <v/>
      </c>
      <c r="R277">
        <f>IF(AND(Inputs!$B$39&lt;&gt;"pvp",Inputs!$B$44&gt;0),IF(MAX(0,Inputs!$B$44-B313)&lt;=0,0,(INT(MAX(0,Inputs!$B$44-B313)/IF(Inputs!$B$39="pvp",15,MAX(0.1,Skills!D9-IF(Skills!E9=TRUE,Inputs!$B$32,0))))+1)),0)</f>
        <v/>
      </c>
      <c r="S277">
        <f>IFERROR(O277/N277,0)</f>
        <v/>
      </c>
      <c r="T277">
        <f>IF(C277,(H277*N277*IF(AND(Inputs!$B$39&lt;&gt;"pvp",Inputs!$B$44&gt;0),((Skills!G9*((R277-1)*IF(Skills!H9&gt;0,Skills!I9/Skills!H9,1)+IF(Skills!H9&gt;0,MIN(Skills!I9,MAX(0,MAX(0,Inputs!$B$44-B313)-((R277-1)*IF(Inputs!$B$39="pvp",15,MAX(0.1,Skills!D9-IF(Skills!E9=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Skills!E9=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IFERROR(1/IF(Inputs!$B$39="pvp",15,MAX(0.1,Skills!D12-IF(Skills!E12=TRUE,Inputs!$B$32,0))),0)</f>
        <v/>
      </c>
      <c r="R280">
        <f>IF(AND(Inputs!$B$39&lt;&gt;"pvp",Inputs!$B$44&gt;0),IF(MAX(0,Inputs!$B$44-B313)&lt;=0,0,(INT(MAX(0,Inputs!$B$44-B313)/IF(Inputs!$B$39="pvp",15,MAX(0.1,Skills!D12-IF(Skills!E12=TRUE,Inputs!$B$32,0))))+1)),0)</f>
        <v/>
      </c>
      <c r="S280">
        <f>IFERROR(O280/N280,0)</f>
        <v/>
      </c>
      <c r="T280">
        <f>IF(C280,(H280*N280*IF(AND(Inputs!$B$39&lt;&gt;"pvp",Inputs!$B$44&gt;0),((Skills!G12*((R280-1)*IF(Skills!H12&gt;0,Skills!I12/Skills!H12,1)+IF(Skills!H12&gt;0,MIN(Skills!I12,MAX(0,MAX(0,Inputs!$B$44-B313)-((R280-1)*IF(Inputs!$B$39="pvp",15,MAX(0.1,Skills!D12-IF(Skills!E12=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Skills!E12=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IFERROR(1/IF(Inputs!$B$39="pvp",15,MAX(0.1,Skills!D13-IF(Skills!E13=TRUE,Inputs!$B$32,0))),0)</f>
        <v/>
      </c>
      <c r="R281">
        <f>IF(AND(Inputs!$B$39&lt;&gt;"pvp",Inputs!$B$44&gt;0),IF(MAX(0,Inputs!$B$44-B313)&lt;=0,0,(INT(MAX(0,Inputs!$B$44-B313)/IF(Inputs!$B$39="pvp",15,MAX(0.1,Skills!D13-IF(Skills!E13=TRUE,Inputs!$B$32,0))))+1)),0)</f>
        <v/>
      </c>
      <c r="S281">
        <f>IFERROR(O281/N281,0)</f>
        <v/>
      </c>
      <c r="T281">
        <f>IF(C281,(H281*N281*IF(AND(Inputs!$B$39&lt;&gt;"pvp",Inputs!$B$44&gt;0),((Skills!G13*((R281-1)*IF(Skills!H13&gt;0,Skills!I13/Skills!H13,1)+IF(Skills!H13&gt;0,MIN(Skills!I13,MAX(0,MAX(0,Inputs!$B$44-B313)-((R281-1)*IF(Inputs!$B$39="pvp",15,MAX(0.1,Skills!D13-IF(Skills!E13=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Skills!E13=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IFERROR(1/IF(Inputs!$B$39="pvp",15,MAX(0.1,Skills!D14-IF(Skills!E14=TRUE,Inputs!$B$32,0))),0)</f>
        <v/>
      </c>
      <c r="R282">
        <f>IF(AND(Inputs!$B$39&lt;&gt;"pvp",Inputs!$B$44&gt;0),IF(MAX(0,Inputs!$B$44-B313)&lt;=0,0,(INT(MAX(0,Inputs!$B$44-B313)/IF(Inputs!$B$39="pvp",15,MAX(0.1,Skills!D14-IF(Skills!E14=TRUE,Inputs!$B$32,0))))+1)),0)</f>
        <v/>
      </c>
      <c r="S282">
        <f>IFERROR(O282/N282,0)</f>
        <v/>
      </c>
      <c r="T282">
        <f>IF(C282,(H282*N282*IF(AND(Inputs!$B$39&lt;&gt;"pvp",Inputs!$B$44&gt;0),((Skills!G14*((R282-1)*IF(Skills!H14&gt;0,Skills!I14/Skills!H14,1)+IF(Skills!H14&gt;0,MIN(Skills!I14,MAX(0,MAX(0,Inputs!$B$44-B313)-((R282-1)*IF(Inputs!$B$39="pvp",15,MAX(0.1,Skills!D14-IF(Skills!E14=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Skills!E14=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IFERROR(1/IF(Inputs!$B$39="pvp",15,MAX(0.1,Skills!D15-IF(Skills!E15=TRUE,Inputs!$B$32,0))),0)</f>
        <v/>
      </c>
      <c r="R283">
        <f>IF(AND(Inputs!$B$39&lt;&gt;"pvp",Inputs!$B$44&gt;0),IF(Inputs!$B$44&lt;=0,0,(INT(Inputs!$B$44/IF(Inputs!$B$39="pvp",15,MAX(0.1,Skills!D15-IF(Skills!E15=TRUE,Inputs!$B$32,0))))+1)),0)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IFERROR(1/IF(Inputs!$B$39="pvp",15,MAX(0.1,Skills!D16-IF(Skills!E16=TRUE,Inputs!$B$32,0))),0)</f>
        <v/>
      </c>
      <c r="R284">
        <f>IF(AND(Inputs!$B$39&lt;&gt;"pvp",Inputs!$B$44&gt;0),IF(Inputs!$B$44&lt;=0,0,(INT(Inputs!$B$44/IF(Inputs!$B$39="pvp",15,MAX(0.1,Skills!D16-IF(Skills!E16=TRUE,Inputs!$B$32,0))))+1)),0)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IFERROR(1/IF(Inputs!$B$39="pvp",15,MAX(0.1,Skills!D19-IF(Skills!E19=TRUE,Inputs!$B$32,0))),0)</f>
        <v/>
      </c>
      <c r="R287">
        <f>IF(AND(Inputs!$B$39&lt;&gt;"pvp",Inputs!$B$44&gt;0),IF(Inputs!$B$44&lt;=0,0,(INT(Inputs!$B$44/IF(Inputs!$B$39="pvp",15,MAX(0.1,Skills!D19-IF(Skills!E19=TRUE,Inputs!$B$32,0))))+1)),0)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IFERROR(1/IF(Inputs!$B$39="pvp",15,MAX(0.1,Skills!D20-IF(Skills!E20=TRUE,Inputs!$B$32,0))),0)</f>
        <v/>
      </c>
      <c r="R288">
        <f>IF(AND(Inputs!$B$39&lt;&gt;"pvp",Inputs!$B$44&gt;0),IF(Inputs!$B$44&lt;=0,0,(INT(Inputs!$B$44/IF(Inputs!$B$39="pvp",15,MAX(0.1,Skills!D20-IF(Skills!E20=TRUE,Inputs!$B$32,0))))+1)),0)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IFERROR(1/IF(Inputs!$B$39="pvp",15,MAX(0.1,Skills!D21-IF(Skills!E21=TRUE,Inputs!$B$32,0))),0)</f>
        <v/>
      </c>
      <c r="R289">
        <f>IF(AND(Inputs!$B$39&lt;&gt;"pvp",Inputs!$B$44&gt;0),IF(Inputs!$B$44&lt;=0,0,(INT(Inputs!$B$44/IF(Inputs!$B$39="pvp",15,MAX(0.1,Skills!D21-IF(Skills!E21=TRUE,Inputs!$B$32,0))))+1)),0)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Skills!Y19*(1+Inputs!$B$34/100))+MIN((Skills!Y19*(1+Inputs!$B$34/100)),MAX(0,Inputs!$B$44-((R287-1)*Skills!D19))))/Inputs!$B$44),IF(Inputs!$B$39="pvp",MIN((Skills!Y19*(1+Inputs!$B$34/100)),15)/15,(Skills!Y19*(1+Inputs!$B$34/100))/Skills!D19)))/150)))/100</f>
        <v/>
      </c>
    </row>
    <row r="302">
      <c r="A302" t="inlineStr">
        <is>
          <t>Alchemic Adrenaline Uptime</t>
        </is>
      </c>
      <c r="B302">
        <f>(Skills!Y6*(1+Inputs!$B$34/100))/((Skills!Y6*(1+Inputs!$B$34/100))+(5/B301))</f>
        <v/>
      </c>
    </row>
    <row r="303">
      <c r="A303" t="inlineStr">
        <is>
          <t>Attack Speed Buff Bonus %</t>
        </is>
      </c>
      <c r="B303">
        <f>((C287=TRUE)*F287*IF(AND(Inputs!$B$39&lt;&gt;"pvp",Inputs!$B$44&gt;0),(((R287-1)*(Skills!Y19*(1+Inputs!$B$34/100))+MIN((Skills!Y19*(1+Inputs!$B$34/100)),MAX(0,Inputs!$B$44-((R287-1)*Skills!D19))))/Inputs!$B$44),IF(Inputs!$B$39="pvp",MIN((Skills!Y19*(1+Inputs!$B$34/100)),15)/15,(Skills!Y19*(1+Inputs!$B$34/100))/Skills!D19)))+((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f>
        <v/>
      </c>
    </row>
    <row r="308">
      <c r="A308" t="inlineStr">
        <is>
          <t>Global Crit Rate Bonus %</t>
        </is>
      </c>
      <c r="B308">
        <f>IF(Inputs!$B$3&gt;=47,8,0)+((C288=TRUE)*F288*IF(AND(Inputs!$B$39&lt;&gt;"pvp",Inputs!$B$44&gt;0),(((R288-1)*(Skills!Y20*(1+Inputs!$B$34/100))+MIN((Skills!Y20*(1+Inputs!$B$34/100)),MAX(0,Inputs!$B$44-((R288-1)*Skills!D20))))/Inputs!$B$44),IF(Inputs!$B$39="pvp",MIN((Skills!Y20*(1+Inputs!$B$34/100)),15)/15,(Skills!Y20*(1+Inputs!$B$34/100))/Skills!D20)))</f>
        <v/>
      </c>
    </row>
    <row r="309">
      <c r="A309" t="inlineStr">
        <is>
          <t>Global Monster Damage-Taken Bonus %</t>
        </is>
      </c>
      <c r="B309">
        <f>IF(Inputs!$B$3&gt;=82,15,0)+((C284=TRUE)*F284*IF(AND(Inputs!$B$39&lt;&gt;"pvp",Inputs!$B$44&gt;0),(((R284-1)*(Skills!Y16*(1+Inputs!$B$34/100))+MIN((Skills!Y16*(1+Inputs!$B$34/100)),MAX(0,Inputs!$B$44-((R284-1)*Skills!D16))))/Inputs!$B$44),IF(Inputs!$B$39="pvp",MIN((Skills!Y16*(1+Inputs!$B$34/100)),15)/15,(Skills!Y16*(1+Inputs!$B$34/100))/Skills!D16)))</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Skills!Y16*(1+Inputs!$B$34/100))+MIN((Skills!Y16*(1+Inputs!$B$34/100)),MAX(0,Inputs!$B$44-((R284-1)*Skills!D16))))/Inputs!$B$44),IF(Inputs!$B$39="pvp",MIN((Skills!Y16*(1+Inputs!$B$34/100)),15)/15,(Skills!Y16*(1+Inputs!$B$34/100))/Skills!D16))</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IFERROR(1/IF(Inputs!$B$39="pvp",15,MAX(0.1,Skills!D3-IF(Skills!E3=TRUE,Inputs!$B$32,0))),0)</f>
        <v/>
      </c>
      <c r="R320">
        <f>IF(AND(Inputs!$B$39&lt;&gt;"pvp",Inputs!$B$44&gt;0),IF(MAX(0,Inputs!$B$44-B362)&lt;=0,0,(INT(MAX(0,Inputs!$B$44-B362)/IF(Inputs!$B$39="pvp",15,MAX(0.1,Skills!D3-IF(Skills!E3=TRUE,Inputs!$B$32,0))))+1)),0)</f>
        <v/>
      </c>
      <c r="S320">
        <f>IFERROR(O320/N320,0)</f>
        <v/>
      </c>
      <c r="T320">
        <f>IF(C320,(H320*N320*IF(AND(Inputs!$B$39&lt;&gt;"pvp",Inputs!$B$44&gt;0),((Skills!G3*((R320-1)*IF(Skills!H3&gt;0,Skills!I3/Skills!H3,1)+IF(Skills!H3&gt;0,MIN(Skills!I3,MAX(0,MAX(0,Inputs!$B$44-B362)-((R320-1)*IF(Inputs!$B$39="pvp",15,MAX(0.1,Skills!D3-IF(Skills!E3=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Skills!E3=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Inputs!$B$3&gt;=40</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IFERROR(1/IF(Inputs!$B$39="pvp",15,MAX(0.1,Skills!D4-IF(Skills!E4=TRUE,Inputs!$B$32,0))),0)</f>
        <v/>
      </c>
      <c r="R321">
        <f>IF(AND(Inputs!$B$39&lt;&gt;"pvp",Inputs!$B$44&gt;0),IF(MAX(0,Inputs!$B$44-B362)&lt;=0,0,(INT(MAX(0,Inputs!$B$44-B362)/IF(Inputs!$B$39="pvp",15,MAX(0.1,Skills!D4-IF(Skills!E4=TRUE,Inputs!$B$32,0))))+1)),0)</f>
        <v/>
      </c>
      <c r="S321">
        <f>IFERROR(O321/N321,0)</f>
        <v/>
      </c>
      <c r="T321">
        <f>IF(C321,(H321*N321*IF(AND(Inputs!$B$39&lt;&gt;"pvp",Inputs!$B$44&gt;0),((Skills!G4*((R321-1)*IF(Skills!H4&gt;0,Skills!I4/Skills!H4,1)+IF(Skills!H4&gt;0,MIN(Skills!I4,MAX(0,MAX(0,Inputs!$B$44-B362)-((R321-1)*IF(Inputs!$B$39="pvp",15,MAX(0.1,Skills!D4-IF(Skills!E4=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Skills!E4=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IFERROR(1/IF(Inputs!$B$39="pvp",15,MAX(0.1,Skills!D5-IF(Skills!E5=TRUE,Inputs!$B$32,0))),0)</f>
        <v/>
      </c>
      <c r="R322">
        <f>IF(AND(Inputs!$B$39&lt;&gt;"pvp",Inputs!$B$44&gt;0),IF(MAX(0,Inputs!$B$44-B362)&lt;=0,0,(INT(MAX(0,Inputs!$B$44-B362)/IF(Inputs!$B$39="pvp",15,MAX(0.1,Skills!D5-IF(Skills!E5=TRUE,Inputs!$B$32,0))))+1)),0)</f>
        <v/>
      </c>
      <c r="S322">
        <f>IFERROR(O322/N322,0)</f>
        <v/>
      </c>
      <c r="T322">
        <f>IF(C322,(H322*N322*IF(AND(Inputs!$B$39&lt;&gt;"pvp",Inputs!$B$44&gt;0),((Skills!G5*((R322-1)*IF(Skills!H5&gt;0,Skills!I5/Skills!H5,1)+IF(Skills!H5&gt;0,MIN(Skills!I5,MAX(0,MAX(0,Inputs!$B$44-B362)-((R322-1)*IF(Inputs!$B$39="pvp",15,MAX(0.1,Skills!D5-IF(Skills!E5=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Skills!E5=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IFERROR(1/IF(Inputs!$B$39="pvp",15,MAX(0.1,Skills!D8-IF(Skills!E8=TRUE,Inputs!$B$32,0))),0)</f>
        <v/>
      </c>
      <c r="R325">
        <f>IF(AND(Inputs!$B$39&lt;&gt;"pvp",Inputs!$B$44&gt;0),IF(MAX(0,Inputs!$B$44-B362)&lt;=0,0,(INT(MAX(0,Inputs!$B$44-B362)/IF(Inputs!$B$39="pvp",15,MAX(0.1,Skills!D8-IF(Skills!E8=TRUE,Inputs!$B$32,0))))+1)),0)</f>
        <v/>
      </c>
      <c r="S325">
        <f>IFERROR(O325/N325,0)</f>
        <v/>
      </c>
      <c r="T325">
        <f>IF(C325,(H325*N325*IF(AND(Inputs!$B$39&lt;&gt;"pvp",Inputs!$B$44&gt;0),((Skills!G8*((R325-1)*IF(Skills!H8&gt;0,Skills!I8/Skills!H8,1)+IF(Skills!H8&gt;0,MIN(Skills!I8,MAX(0,MAX(0,Inputs!$B$44-B362)-((R325-1)*IF(Inputs!$B$39="pvp",15,MAX(0.1,Skills!D8-IF(Skills!E8=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Skills!E8=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Inputs!$B$3&gt;=72</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IFERROR(1/IF(Inputs!$B$39="pvp",15,MAX(0.1,Skills!D9-IF(Skills!E9=TRUE,Inputs!$B$32,0))),0)</f>
        <v/>
      </c>
      <c r="R326">
        <f>IF(AND(Inputs!$B$39&lt;&gt;"pvp",Inputs!$B$44&gt;0),IF(MAX(0,Inputs!$B$44-B362)&lt;=0,0,(INT(MAX(0,Inputs!$B$44-B362)/IF(Inputs!$B$39="pvp",15,MAX(0.1,Skills!D9-IF(Skills!E9=TRUE,Inputs!$B$32,0))))+1)),0)</f>
        <v/>
      </c>
      <c r="S326">
        <f>IFERROR(O326/N326,0)</f>
        <v/>
      </c>
      <c r="T326">
        <f>IF(C326,(H326*N326*IF(AND(Inputs!$B$39&lt;&gt;"pvp",Inputs!$B$44&gt;0),((Skills!G9*((R326-1)*IF(Skills!H9&gt;0,Skills!I9/Skills!H9,1)+IF(Skills!H9&gt;0,MIN(Skills!I9,MAX(0,MAX(0,Inputs!$B$44-B362)-((R326-1)*IF(Inputs!$B$39="pvp",15,MAX(0.1,Skills!D9-IF(Skills!E9=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Skills!E9=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IFERROR(1/IF(Inputs!$B$39="pvp",15,MAX(0.1,Skills!D12-IF(Skills!E12=TRUE,Inputs!$B$32,0))),0)</f>
        <v/>
      </c>
      <c r="R329">
        <f>IF(AND(Inputs!$B$39&lt;&gt;"pvp",Inputs!$B$44&gt;0),IF(MAX(0,Inputs!$B$44-B362)&lt;=0,0,(INT(MAX(0,Inputs!$B$44-B362)/IF(Inputs!$B$39="pvp",15,MAX(0.1,Skills!D12-IF(Skills!E12=TRUE,Inputs!$B$32,0))))+1)),0)</f>
        <v/>
      </c>
      <c r="S329">
        <f>IFERROR(O329/N329,0)</f>
        <v/>
      </c>
      <c r="T329">
        <f>IF(C329,(H329*N329*IF(AND(Inputs!$B$39&lt;&gt;"pvp",Inputs!$B$44&gt;0),((Skills!G12*((R329-1)*IF(Skills!H12&gt;0,Skills!I12/Skills!H12,1)+IF(Skills!H12&gt;0,MIN(Skills!I12,MAX(0,MAX(0,Inputs!$B$44-B362)-((R329-1)*IF(Inputs!$B$39="pvp",15,MAX(0.1,Skills!D12-IF(Skills!E12=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Skills!E12=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IFERROR(1/IF(Inputs!$B$39="pvp",15,MAX(0.1,Skills!D13-IF(Skills!E13=TRUE,Inputs!$B$32,0))),0)</f>
        <v/>
      </c>
      <c r="R330">
        <f>IF(AND(Inputs!$B$39&lt;&gt;"pvp",Inputs!$B$44&gt;0),IF(MAX(0,Inputs!$B$44-B362)&lt;=0,0,(INT(MAX(0,Inputs!$B$44-B362)/IF(Inputs!$B$39="pvp",15,MAX(0.1,Skills!D13-IF(Skills!E13=TRUE,Inputs!$B$32,0))))+1)),0)</f>
        <v/>
      </c>
      <c r="S330">
        <f>IFERROR(O330/N330,0)</f>
        <v/>
      </c>
      <c r="T330">
        <f>IF(C330,(H330*N330*IF(AND(Inputs!$B$39&lt;&gt;"pvp",Inputs!$B$44&gt;0),((Skills!G13*((R330-1)*IF(Skills!H13&gt;0,Skills!I13/Skills!H13,1)+IF(Skills!H13&gt;0,MIN(Skills!I13,MAX(0,MAX(0,Inputs!$B$44-B362)-((R330-1)*IF(Inputs!$B$39="pvp",15,MAX(0.1,Skills!D13-IF(Skills!E13=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Skills!E13=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IFERROR(1/IF(Inputs!$B$39="pvp",15,MAX(0.1,Skills!D14-IF(Skills!E14=TRUE,Inputs!$B$32,0))),0)</f>
        <v/>
      </c>
      <c r="R331">
        <f>IF(AND(Inputs!$B$39&lt;&gt;"pvp",Inputs!$B$44&gt;0),IF(MAX(0,Inputs!$B$44-B362)&lt;=0,0,(INT(MAX(0,Inputs!$B$44-B362)/IF(Inputs!$B$39="pvp",15,MAX(0.1,Skills!D14-IF(Skills!E14=TRUE,Inputs!$B$32,0))))+1)),0)</f>
        <v/>
      </c>
      <c r="S331">
        <f>IFERROR(O331/N331,0)</f>
        <v/>
      </c>
      <c r="T331">
        <f>IF(C331,(H331*N331*IF(AND(Inputs!$B$39&lt;&gt;"pvp",Inputs!$B$44&gt;0),((Skills!G14*((R331-1)*IF(Skills!H14&gt;0,Skills!I14/Skills!H14,1)+IF(Skills!H14&gt;0,MIN(Skills!I14,MAX(0,MAX(0,Inputs!$B$44-B362)-((R331-1)*IF(Inputs!$B$39="pvp",15,MAX(0.1,Skills!D14-IF(Skills!E14=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Skills!E14=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IFERROR(1/IF(Inputs!$B$39="pvp",15,MAX(0.1,Skills!D15-IF(Skills!E15=TRUE,Inputs!$B$32,0))),0)</f>
        <v/>
      </c>
      <c r="R332">
        <f>IF(AND(Inputs!$B$39&lt;&gt;"pvp",Inputs!$B$44&gt;0),IF(Inputs!$B$44&lt;=0,0,(INT(Inputs!$B$44/IF(Inputs!$B$39="pvp",15,MAX(0.1,Skills!D15-IF(Skills!E15=TRUE,Inputs!$B$32,0))))+1)),0)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IFERROR(1/IF(Inputs!$B$39="pvp",15,MAX(0.1,Skills!D16-IF(Skills!E16=TRUE,Inputs!$B$32,0))),0)</f>
        <v/>
      </c>
      <c r="R333">
        <f>IF(AND(Inputs!$B$39&lt;&gt;"pvp",Inputs!$B$44&gt;0),IF(Inputs!$B$44&lt;=0,0,(INT(Inputs!$B$44/IF(Inputs!$B$39="pvp",15,MAX(0.1,Skills!D16-IF(Skills!E16=TRUE,Inputs!$B$32,0))))+1)),0)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IFERROR(1/IF(Inputs!$B$39="pvp",15,MAX(0.1,Skills!D19-IF(Skills!E19=TRUE,Inputs!$B$32,0))),0)</f>
        <v/>
      </c>
      <c r="R336">
        <f>IF(AND(Inputs!$B$39&lt;&gt;"pvp",Inputs!$B$44&gt;0),IF(Inputs!$B$44&lt;=0,0,(INT(Inputs!$B$44/IF(Inputs!$B$39="pvp",15,MAX(0.1,Skills!D19-IF(Skills!E19=TRUE,Inputs!$B$32,0))))+1)),0)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IFERROR(1/IF(Inputs!$B$39="pvp",15,MAX(0.1,Skills!D20-IF(Skills!E20=TRUE,Inputs!$B$32,0))),0)</f>
        <v/>
      </c>
      <c r="R337">
        <f>IF(AND(Inputs!$B$39&lt;&gt;"pvp",Inputs!$B$44&gt;0),IF(Inputs!$B$44&lt;=0,0,(INT(Inputs!$B$44/IF(Inputs!$B$39="pvp",15,MAX(0.1,Skills!D20-IF(Skills!E20=TRUE,Inputs!$B$32,0))))+1)),0)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IFERROR(1/IF(Inputs!$B$39="pvp",15,MAX(0.1,Skills!D21-IF(Skills!E21=TRUE,Inputs!$B$32,0))),0)</f>
        <v/>
      </c>
      <c r="R338">
        <f>IF(AND(Inputs!$B$39&lt;&gt;"pvp",Inputs!$B$44&gt;0),IF(Inputs!$B$44&lt;=0,0,(INT(Inputs!$B$44/IF(Inputs!$B$39="pvp",15,MAX(0.1,Skills!D21-IF(Skills!E21=TRUE,Inputs!$B$32,0))))+1)),0)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Skills!Y19*(1+Inputs!$B$34/100))+MIN((Skills!Y19*(1+Inputs!$B$34/100)),MAX(0,Inputs!$B$44-((R336-1)*Skills!D19))))/Inputs!$B$44),IF(Inputs!$B$39="pvp",MIN((Skills!Y19*(1+Inputs!$B$34/100)),15)/15,(Skills!Y19*(1+Inputs!$B$34/100))/Skills!D19)))/150)))/100</f>
        <v/>
      </c>
    </row>
    <row r="351">
      <c r="A351" t="inlineStr">
        <is>
          <t>Alchemic Adrenaline Uptime</t>
        </is>
      </c>
      <c r="B351">
        <f>(Skills!Y6*(1+Inputs!$B$34/100))/((Skills!Y6*(1+Inputs!$B$34/100))+(5/B350))</f>
        <v/>
      </c>
    </row>
    <row r="352">
      <c r="A352" t="inlineStr">
        <is>
          <t>Attack Speed Buff Bonus %</t>
        </is>
      </c>
      <c r="B352">
        <f>((C336=TRUE)*F336*IF(AND(Inputs!$B$39&lt;&gt;"pvp",Inputs!$B$44&gt;0),(((R336-1)*(Skills!Y19*(1+Inputs!$B$34/100))+MIN((Skills!Y19*(1+Inputs!$B$34/100)),MAX(0,Inputs!$B$44-((R336-1)*Skills!D19))))/Inputs!$B$44),IF(Inputs!$B$39="pvp",MIN((Skills!Y19*(1+Inputs!$B$34/100)),15)/15,(Skills!Y19*(1+Inputs!$B$34/100))/Skills!D19)))+((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f>
        <v/>
      </c>
    </row>
    <row r="357">
      <c r="A357" t="inlineStr">
        <is>
          <t>Global Crit Rate Bonus %</t>
        </is>
      </c>
      <c r="B357">
        <f>IF(Inputs!$B$3&gt;=47,8,0)+((C337=TRUE)*F337*IF(AND(Inputs!$B$39&lt;&gt;"pvp",Inputs!$B$44&gt;0),(((R337-1)*(Skills!Y20*(1+Inputs!$B$34/100))+MIN((Skills!Y20*(1+Inputs!$B$34/100)),MAX(0,Inputs!$B$44-((R337-1)*Skills!D20))))/Inputs!$B$44),IF(Inputs!$B$39="pvp",MIN((Skills!Y20*(1+Inputs!$B$34/100)),15)/15,(Skills!Y20*(1+Inputs!$B$34/100))/Skills!D20)))</f>
        <v/>
      </c>
    </row>
    <row r="358">
      <c r="A358" t="inlineStr">
        <is>
          <t>Global Monster Damage-Taken Bonus %</t>
        </is>
      </c>
      <c r="B358">
        <f>IF(Inputs!$B$3&gt;=82,15,0)+((C333=TRUE)*F333*IF(AND(Inputs!$B$39&lt;&gt;"pvp",Inputs!$B$44&gt;0),(((R333-1)*(Skills!Y16*(1+Inputs!$B$34/100))+MIN((Skills!Y16*(1+Inputs!$B$34/100)),MAX(0,Inputs!$B$44-((R333-1)*Skills!D16))))/Inputs!$B$44),IF(Inputs!$B$39="pvp",MIN((Skills!Y16*(1+Inputs!$B$34/100)),15)/15,(Skills!Y16*(1+Inputs!$B$34/100))/Skills!D16)))</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Skills!Y16*(1+Inputs!$B$34/100))+MIN((Skills!Y16*(1+Inputs!$B$34/100)),MAX(0,Inputs!$B$44-((R333-1)*Skills!D16))))/Inputs!$B$44),IF(Inputs!$B$39="pvp",MIN((Skills!Y16*(1+Inputs!$B$34/100)),15)/15,(Skills!Y16*(1+Inputs!$B$34/100))/Skills!D16))</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IFERROR(1/IF(Inputs!$B$39="pvp",15,MAX(0.1,Skills!D3-IF(Skills!E3=TRUE,Inputs!$B$32,0))),0)</f>
        <v/>
      </c>
      <c r="R369">
        <f>IF(AND(Inputs!$B$39&lt;&gt;"pvp",Inputs!$B$44&gt;0),IF(MAX(0,Inputs!$B$44-B411)&lt;=0,0,(INT(MAX(0,Inputs!$B$44-B411)/IF(Inputs!$B$39="pvp",15,MAX(0.1,Skills!D3-IF(Skills!E3=TRUE,Inputs!$B$32,0))))+1)),0)</f>
        <v/>
      </c>
      <c r="S369">
        <f>IFERROR(O369/N369,0)</f>
        <v/>
      </c>
      <c r="T369">
        <f>IF(C369,(H369*N369*IF(AND(Inputs!$B$39&lt;&gt;"pvp",Inputs!$B$44&gt;0),((Skills!G3*((R369-1)*IF(Skills!H3&gt;0,Skills!I3/Skills!H3,1)+IF(Skills!H3&gt;0,MIN(Skills!I3,MAX(0,MAX(0,Inputs!$B$44-B411)-((R369-1)*IF(Inputs!$B$39="pvp",15,MAX(0.1,Skills!D3-IF(Skills!E3=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Skills!E3=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Inputs!$B$3&gt;=40</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IFERROR(1/IF(Inputs!$B$39="pvp",15,MAX(0.1,Skills!D4-IF(Skills!E4=TRUE,Inputs!$B$32,0))),0)</f>
        <v/>
      </c>
      <c r="R370">
        <f>IF(AND(Inputs!$B$39&lt;&gt;"pvp",Inputs!$B$44&gt;0),IF(MAX(0,Inputs!$B$44-B411)&lt;=0,0,(INT(MAX(0,Inputs!$B$44-B411)/IF(Inputs!$B$39="pvp",15,MAX(0.1,Skills!D4-IF(Skills!E4=TRUE,Inputs!$B$32,0))))+1)),0)</f>
        <v/>
      </c>
      <c r="S370">
        <f>IFERROR(O370/N370,0)</f>
        <v/>
      </c>
      <c r="T370">
        <f>IF(C370,(H370*N370*IF(AND(Inputs!$B$39&lt;&gt;"pvp",Inputs!$B$44&gt;0),((Skills!G4*((R370-1)*IF(Skills!H4&gt;0,Skills!I4/Skills!H4,1)+IF(Skills!H4&gt;0,MIN(Skills!I4,MAX(0,MAX(0,Inputs!$B$44-B411)-((R370-1)*IF(Inputs!$B$39="pvp",15,MAX(0.1,Skills!D4-IF(Skills!E4=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Skills!E4=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IFERROR(1/IF(Inputs!$B$39="pvp",15,MAX(0.1,Skills!D5-IF(Skills!E5=TRUE,Inputs!$B$32,0))),0)</f>
        <v/>
      </c>
      <c r="R371">
        <f>IF(AND(Inputs!$B$39&lt;&gt;"pvp",Inputs!$B$44&gt;0),IF(MAX(0,Inputs!$B$44-B411)&lt;=0,0,(INT(MAX(0,Inputs!$B$44-B411)/IF(Inputs!$B$39="pvp",15,MAX(0.1,Skills!D5-IF(Skills!E5=TRUE,Inputs!$B$32,0))))+1)),0)</f>
        <v/>
      </c>
      <c r="S371">
        <f>IFERROR(O371/N371,0)</f>
        <v/>
      </c>
      <c r="T371">
        <f>IF(C371,(H371*N371*IF(AND(Inputs!$B$39&lt;&gt;"pvp",Inputs!$B$44&gt;0),((Skills!G5*((R371-1)*IF(Skills!H5&gt;0,Skills!I5/Skills!H5,1)+IF(Skills!H5&gt;0,MIN(Skills!I5,MAX(0,MAX(0,Inputs!$B$44-B411)-((R371-1)*IF(Inputs!$B$39="pvp",15,MAX(0.1,Skills!D5-IF(Skills!E5=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Skills!E5=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IFERROR(1/IF(Inputs!$B$39="pvp",15,MAX(0.1,Skills!D8-IF(Skills!E8=TRUE,Inputs!$B$32,0))),0)</f>
        <v/>
      </c>
      <c r="R374">
        <f>IF(AND(Inputs!$B$39&lt;&gt;"pvp",Inputs!$B$44&gt;0),IF(MAX(0,Inputs!$B$44-B411)&lt;=0,0,(INT(MAX(0,Inputs!$B$44-B411)/IF(Inputs!$B$39="pvp",15,MAX(0.1,Skills!D8-IF(Skills!E8=TRUE,Inputs!$B$32,0))))+1)),0)</f>
        <v/>
      </c>
      <c r="S374">
        <f>IFERROR(O374/N374,0)</f>
        <v/>
      </c>
      <c r="T374">
        <f>IF(C374,(H374*N374*IF(AND(Inputs!$B$39&lt;&gt;"pvp",Inputs!$B$44&gt;0),((Skills!G8*((R374-1)*IF(Skills!H8&gt;0,Skills!I8/Skills!H8,1)+IF(Skills!H8&gt;0,MIN(Skills!I8,MAX(0,MAX(0,Inputs!$B$44-B411)-((R374-1)*IF(Inputs!$B$39="pvp",15,MAX(0.1,Skills!D8-IF(Skills!E8=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Skills!E8=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Inputs!$B$3&gt;=72</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IFERROR(1/IF(Inputs!$B$39="pvp",15,MAX(0.1,Skills!D9-IF(Skills!E9=TRUE,Inputs!$B$32,0))),0)</f>
        <v/>
      </c>
      <c r="R375">
        <f>IF(AND(Inputs!$B$39&lt;&gt;"pvp",Inputs!$B$44&gt;0),IF(MAX(0,Inputs!$B$44-B411)&lt;=0,0,(INT(MAX(0,Inputs!$B$44-B411)/IF(Inputs!$B$39="pvp",15,MAX(0.1,Skills!D9-IF(Skills!E9=TRUE,Inputs!$B$32,0))))+1)),0)</f>
        <v/>
      </c>
      <c r="S375">
        <f>IFERROR(O375/N375,0)</f>
        <v/>
      </c>
      <c r="T375">
        <f>IF(C375,(H375*N375*IF(AND(Inputs!$B$39&lt;&gt;"pvp",Inputs!$B$44&gt;0),((Skills!G9*((R375-1)*IF(Skills!H9&gt;0,Skills!I9/Skills!H9,1)+IF(Skills!H9&gt;0,MIN(Skills!I9,MAX(0,MAX(0,Inputs!$B$44-B411)-((R375-1)*IF(Inputs!$B$39="pvp",15,MAX(0.1,Skills!D9-IF(Skills!E9=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Skills!E9=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IFERROR(1/IF(Inputs!$B$39="pvp",15,MAX(0.1,Skills!D12-IF(Skills!E12=TRUE,Inputs!$B$32,0))),0)</f>
        <v/>
      </c>
      <c r="R378">
        <f>IF(AND(Inputs!$B$39&lt;&gt;"pvp",Inputs!$B$44&gt;0),IF(MAX(0,Inputs!$B$44-B411)&lt;=0,0,(INT(MAX(0,Inputs!$B$44-B411)/IF(Inputs!$B$39="pvp",15,MAX(0.1,Skills!D12-IF(Skills!E12=TRUE,Inputs!$B$32,0))))+1)),0)</f>
        <v/>
      </c>
      <c r="S378">
        <f>IFERROR(O378/N378,0)</f>
        <v/>
      </c>
      <c r="T378">
        <f>IF(C378,(H378*N378*IF(AND(Inputs!$B$39&lt;&gt;"pvp",Inputs!$B$44&gt;0),((Skills!G12*((R378-1)*IF(Skills!H12&gt;0,Skills!I12/Skills!H12,1)+IF(Skills!H12&gt;0,MIN(Skills!I12,MAX(0,MAX(0,Inputs!$B$44-B411)-((R378-1)*IF(Inputs!$B$39="pvp",15,MAX(0.1,Skills!D12-IF(Skills!E12=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Skills!E12=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IFERROR(1/IF(Inputs!$B$39="pvp",15,MAX(0.1,Skills!D13-IF(Skills!E13=TRUE,Inputs!$B$32,0))),0)</f>
        <v/>
      </c>
      <c r="R379">
        <f>IF(AND(Inputs!$B$39&lt;&gt;"pvp",Inputs!$B$44&gt;0),IF(MAX(0,Inputs!$B$44-B411)&lt;=0,0,(INT(MAX(0,Inputs!$B$44-B411)/IF(Inputs!$B$39="pvp",15,MAX(0.1,Skills!D13-IF(Skills!E13=TRUE,Inputs!$B$32,0))))+1)),0)</f>
        <v/>
      </c>
      <c r="S379">
        <f>IFERROR(O379/N379,0)</f>
        <v/>
      </c>
      <c r="T379">
        <f>IF(C379,(H379*N379*IF(AND(Inputs!$B$39&lt;&gt;"pvp",Inputs!$B$44&gt;0),((Skills!G13*((R379-1)*IF(Skills!H13&gt;0,Skills!I13/Skills!H13,1)+IF(Skills!H13&gt;0,MIN(Skills!I13,MAX(0,MAX(0,Inputs!$B$44-B411)-((R379-1)*IF(Inputs!$B$39="pvp",15,MAX(0.1,Skills!D13-IF(Skills!E13=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Skills!E13=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IFERROR(1/IF(Inputs!$B$39="pvp",15,MAX(0.1,Skills!D14-IF(Skills!E14=TRUE,Inputs!$B$32,0))),0)</f>
        <v/>
      </c>
      <c r="R380">
        <f>IF(AND(Inputs!$B$39&lt;&gt;"pvp",Inputs!$B$44&gt;0),IF(MAX(0,Inputs!$B$44-B411)&lt;=0,0,(INT(MAX(0,Inputs!$B$44-B411)/IF(Inputs!$B$39="pvp",15,MAX(0.1,Skills!D14-IF(Skills!E14=TRUE,Inputs!$B$32,0))))+1)),0)</f>
        <v/>
      </c>
      <c r="S380">
        <f>IFERROR(O380/N380,0)</f>
        <v/>
      </c>
      <c r="T380">
        <f>IF(C380,(H380*N380*IF(AND(Inputs!$B$39&lt;&gt;"pvp",Inputs!$B$44&gt;0),((Skills!G14*((R380-1)*IF(Skills!H14&gt;0,Skills!I14/Skills!H14,1)+IF(Skills!H14&gt;0,MIN(Skills!I14,MAX(0,MAX(0,Inputs!$B$44-B411)-((R380-1)*IF(Inputs!$B$39="pvp",15,MAX(0.1,Skills!D14-IF(Skills!E14=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Skills!E14=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IFERROR(1/IF(Inputs!$B$39="pvp",15,MAX(0.1,Skills!D15-IF(Skills!E15=TRUE,Inputs!$B$32,0))),0)</f>
        <v/>
      </c>
      <c r="R381">
        <f>IF(AND(Inputs!$B$39&lt;&gt;"pvp",Inputs!$B$44&gt;0),IF(Inputs!$B$44&lt;=0,0,(INT(Inputs!$B$44/IF(Inputs!$B$39="pvp",15,MAX(0.1,Skills!D15-IF(Skills!E15=TRUE,Inputs!$B$32,0))))+1)),0)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IFERROR(1/IF(Inputs!$B$39="pvp",15,MAX(0.1,Skills!D16-IF(Skills!E16=TRUE,Inputs!$B$32,0))),0)</f>
        <v/>
      </c>
      <c r="R382">
        <f>IF(AND(Inputs!$B$39&lt;&gt;"pvp",Inputs!$B$44&gt;0),IF(Inputs!$B$44&lt;=0,0,(INT(Inputs!$B$44/IF(Inputs!$B$39="pvp",15,MAX(0.1,Skills!D16-IF(Skills!E16=TRUE,Inputs!$B$32,0))))+1)),0)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IFERROR(1/IF(Inputs!$B$39="pvp",15,MAX(0.1,Skills!D19-IF(Skills!E19=TRUE,Inputs!$B$32,0))),0)</f>
        <v/>
      </c>
      <c r="R385">
        <f>IF(AND(Inputs!$B$39&lt;&gt;"pvp",Inputs!$B$44&gt;0),IF(Inputs!$B$44&lt;=0,0,(INT(Inputs!$B$44/IF(Inputs!$B$39="pvp",15,MAX(0.1,Skills!D19-IF(Skills!E19=TRUE,Inputs!$B$32,0))))+1)),0)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IFERROR(1/IF(Inputs!$B$39="pvp",15,MAX(0.1,Skills!D20-IF(Skills!E20=TRUE,Inputs!$B$32,0))),0)</f>
        <v/>
      </c>
      <c r="R386">
        <f>IF(AND(Inputs!$B$39&lt;&gt;"pvp",Inputs!$B$44&gt;0),IF(Inputs!$B$44&lt;=0,0,(INT(Inputs!$B$44/IF(Inputs!$B$39="pvp",15,MAX(0.1,Skills!D20-IF(Skills!E20=TRUE,Inputs!$B$32,0))))+1)),0)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IFERROR(1/IF(Inputs!$B$39="pvp",15,MAX(0.1,Skills!D21-IF(Skills!E21=TRUE,Inputs!$B$32,0))),0)</f>
        <v/>
      </c>
      <c r="R387">
        <f>IF(AND(Inputs!$B$39&lt;&gt;"pvp",Inputs!$B$44&gt;0),IF(Inputs!$B$44&lt;=0,0,(INT(Inputs!$B$44/IF(Inputs!$B$39="pvp",15,MAX(0.1,Skills!D21-IF(Skills!E21=TRUE,Inputs!$B$32,0))))+1)),0)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Skills!Y19*(1+Inputs!$B$34/100))+MIN((Skills!Y19*(1+Inputs!$B$34/100)),MAX(0,Inputs!$B$44-((R385-1)*Skills!D19))))/Inputs!$B$44),IF(Inputs!$B$39="pvp",MIN((Skills!Y19*(1+Inputs!$B$34/100)),15)/15,(Skills!Y19*(1+Inputs!$B$34/100))/Skills!D19)))/150)))/100</f>
        <v/>
      </c>
    </row>
    <row r="400">
      <c r="A400" t="inlineStr">
        <is>
          <t>Alchemic Adrenaline Uptime</t>
        </is>
      </c>
      <c r="B400">
        <f>(Skills!Y6*(1+Inputs!$B$34/100))/((Skills!Y6*(1+Inputs!$B$34/100))+(5/B399))</f>
        <v/>
      </c>
    </row>
    <row r="401">
      <c r="A401" t="inlineStr">
        <is>
          <t>Attack Speed Buff Bonus %</t>
        </is>
      </c>
      <c r="B401">
        <f>((C385=TRUE)*F385*IF(AND(Inputs!$B$39&lt;&gt;"pvp",Inputs!$B$44&gt;0),(((R385-1)*(Skills!Y19*(1+Inputs!$B$34/100))+MIN((Skills!Y19*(1+Inputs!$B$34/100)),MAX(0,Inputs!$B$44-((R385-1)*Skills!D19))))/Inputs!$B$44),IF(Inputs!$B$39="pvp",MIN((Skills!Y19*(1+Inputs!$B$34/100)),15)/15,(Skills!Y19*(1+Inputs!$B$34/100))/Skills!D19)))+((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f>
        <v/>
      </c>
    </row>
    <row r="406">
      <c r="A406" t="inlineStr">
        <is>
          <t>Global Crit Rate Bonus %</t>
        </is>
      </c>
      <c r="B406">
        <f>IF(Inputs!$B$3&gt;=47,8,0)+((C386=TRUE)*F386*IF(AND(Inputs!$B$39&lt;&gt;"pvp",Inputs!$B$44&gt;0),(((R386-1)*(Skills!Y20*(1+Inputs!$B$34/100))+MIN((Skills!Y20*(1+Inputs!$B$34/100)),MAX(0,Inputs!$B$44-((R386-1)*Skills!D20))))/Inputs!$B$44),IF(Inputs!$B$39="pvp",MIN((Skills!Y20*(1+Inputs!$B$34/100)),15)/15,(Skills!Y20*(1+Inputs!$B$34/100))/Skills!D20)))</f>
        <v/>
      </c>
    </row>
    <row r="407">
      <c r="A407" t="inlineStr">
        <is>
          <t>Global Monster Damage-Taken Bonus %</t>
        </is>
      </c>
      <c r="B407">
        <f>IF(Inputs!$B$3&gt;=82,15,0)+((C382=TRUE)*F382*IF(AND(Inputs!$B$39&lt;&gt;"pvp",Inputs!$B$44&gt;0),(((R382-1)*(Skills!Y16*(1+Inputs!$B$34/100))+MIN((Skills!Y16*(1+Inputs!$B$34/100)),MAX(0,Inputs!$B$44-((R382-1)*Skills!D16))))/Inputs!$B$44),IF(Inputs!$B$39="pvp",MIN((Skills!Y16*(1+Inputs!$B$34/100)),15)/15,(Skills!Y16*(1+Inputs!$B$34/100))/Skills!D16)))</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Skills!Y16*(1+Inputs!$B$34/100))+MIN((Skills!Y16*(1+Inputs!$B$34/100)),MAX(0,Inputs!$B$44-((R382-1)*Skills!D16))))/Inputs!$B$44),IF(Inputs!$B$39="pvp",MIN((Skills!Y16*(1+Inputs!$B$34/100)),15)/15,(Skills!Y16*(1+Inputs!$B$34/100))/Skills!D16))</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IFERROR(1/IF(Inputs!$B$39="pvp",15,MAX(0.1,Skills!D3-IF(Skills!E3=TRUE,Inputs!$B$32,0))),0)</f>
        <v/>
      </c>
      <c r="R418">
        <f>IF(AND(Inputs!$B$39&lt;&gt;"pvp",Inputs!$B$44&gt;0),IF(MAX(0,Inputs!$B$44-B460)&lt;=0,0,(INT(MAX(0,Inputs!$B$44-B460)/IF(Inputs!$B$39="pvp",15,MAX(0.1,Skills!D3-IF(Skills!E3=TRUE,Inputs!$B$32,0))))+1)),0)</f>
        <v/>
      </c>
      <c r="S418">
        <f>IFERROR(O418/N418,0)</f>
        <v/>
      </c>
      <c r="T418">
        <f>IF(C418,(H418*N418*IF(AND(Inputs!$B$39&lt;&gt;"pvp",Inputs!$B$44&gt;0),((Skills!G3*((R418-1)*IF(Skills!H3&gt;0,Skills!I3/Skills!H3,1)+IF(Skills!H3&gt;0,MIN(Skills!I3,MAX(0,MAX(0,Inputs!$B$44-B460)-((R418-1)*IF(Inputs!$B$39="pvp",15,MAX(0.1,Skills!D3-IF(Skills!E3=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Skills!E3=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IFERROR(1/IF(Inputs!$B$39="pvp",15,MAX(0.1,Skills!D4-IF(Skills!E4=TRUE,Inputs!$B$32,0))),0)</f>
        <v/>
      </c>
      <c r="R419">
        <f>IF(AND(Inputs!$B$39&lt;&gt;"pvp",Inputs!$B$44&gt;0),IF(MAX(0,Inputs!$B$44-B460)&lt;=0,0,(INT(MAX(0,Inputs!$B$44-B460)/IF(Inputs!$B$39="pvp",15,MAX(0.1,Skills!D4-IF(Skills!E4=TRUE,Inputs!$B$32,0))))+1)),0)</f>
        <v/>
      </c>
      <c r="S419">
        <f>IFERROR(O419/N419,0)</f>
        <v/>
      </c>
      <c r="T419">
        <f>IF(C419,(H419*N419*IF(AND(Inputs!$B$39&lt;&gt;"pvp",Inputs!$B$44&gt;0),((Skills!G4*((R419-1)*IF(Skills!H4&gt;0,Skills!I4/Skills!H4,1)+IF(Skills!H4&gt;0,MIN(Skills!I4,MAX(0,MAX(0,Inputs!$B$44-B460)-((R419-1)*IF(Inputs!$B$39="pvp",15,MAX(0.1,Skills!D4-IF(Skills!E4=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Skills!E4=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IFERROR(1/IF(Inputs!$B$39="pvp",15,MAX(0.1,Skills!D5-IF(Skills!E5=TRUE,Inputs!$B$32,0))),0)</f>
        <v/>
      </c>
      <c r="R420">
        <f>IF(AND(Inputs!$B$39&lt;&gt;"pvp",Inputs!$B$44&gt;0),IF(MAX(0,Inputs!$B$44-B460)&lt;=0,0,(INT(MAX(0,Inputs!$B$44-B460)/IF(Inputs!$B$39="pvp",15,MAX(0.1,Skills!D5-IF(Skills!E5=TRUE,Inputs!$B$32,0))))+1)),0)</f>
        <v/>
      </c>
      <c r="S420">
        <f>IFERROR(O420/N420,0)</f>
        <v/>
      </c>
      <c r="T420">
        <f>IF(C420,(H420*N420*IF(AND(Inputs!$B$39&lt;&gt;"pvp",Inputs!$B$44&gt;0),((Skills!G5*((R420-1)*IF(Skills!H5&gt;0,Skills!I5/Skills!H5,1)+IF(Skills!H5&gt;0,MIN(Skills!I5,MAX(0,MAX(0,Inputs!$B$44-B460)-((R420-1)*IF(Inputs!$B$39="pvp",15,MAX(0.1,Skills!D5-IF(Skills!E5=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Skills!E5=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IFERROR(1/IF(Inputs!$B$39="pvp",15,MAX(0.1,Skills!D8-IF(Skills!E8=TRUE,Inputs!$B$32,0))),0)</f>
        <v/>
      </c>
      <c r="R423">
        <f>IF(AND(Inputs!$B$39&lt;&gt;"pvp",Inputs!$B$44&gt;0),IF(MAX(0,Inputs!$B$44-B460)&lt;=0,0,(INT(MAX(0,Inputs!$B$44-B460)/IF(Inputs!$B$39="pvp",15,MAX(0.1,Skills!D8-IF(Skills!E8=TRUE,Inputs!$B$32,0))))+1)),0)</f>
        <v/>
      </c>
      <c r="S423">
        <f>IFERROR(O423/N423,0)</f>
        <v/>
      </c>
      <c r="T423">
        <f>IF(C423,(H423*N423*IF(AND(Inputs!$B$39&lt;&gt;"pvp",Inputs!$B$44&gt;0),((Skills!G8*((R423-1)*IF(Skills!H8&gt;0,Skills!I8/Skills!H8,1)+IF(Skills!H8&gt;0,MIN(Skills!I8,MAX(0,MAX(0,Inputs!$B$44-B460)-((R423-1)*IF(Inputs!$B$39="pvp",15,MAX(0.1,Skills!D8-IF(Skills!E8=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Skills!E8=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Inputs!$B$3&gt;=72</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IFERROR(1/IF(Inputs!$B$39="pvp",15,MAX(0.1,Skills!D9-IF(Skills!E9=TRUE,Inputs!$B$32,0))),0)</f>
        <v/>
      </c>
      <c r="R424">
        <f>IF(AND(Inputs!$B$39&lt;&gt;"pvp",Inputs!$B$44&gt;0),IF(MAX(0,Inputs!$B$44-B460)&lt;=0,0,(INT(MAX(0,Inputs!$B$44-B460)/IF(Inputs!$B$39="pvp",15,MAX(0.1,Skills!D9-IF(Skills!E9=TRUE,Inputs!$B$32,0))))+1)),0)</f>
        <v/>
      </c>
      <c r="S424">
        <f>IFERROR(O424/N424,0)</f>
        <v/>
      </c>
      <c r="T424">
        <f>IF(C424,(H424*N424*IF(AND(Inputs!$B$39&lt;&gt;"pvp",Inputs!$B$44&gt;0),((Skills!G9*((R424-1)*IF(Skills!H9&gt;0,Skills!I9/Skills!H9,1)+IF(Skills!H9&gt;0,MIN(Skills!I9,MAX(0,MAX(0,Inputs!$B$44-B460)-((R424-1)*IF(Inputs!$B$39="pvp",15,MAX(0.1,Skills!D9-IF(Skills!E9=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Skills!E9=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IFERROR(1/IF(Inputs!$B$39="pvp",15,MAX(0.1,Skills!D12-IF(Skills!E12=TRUE,Inputs!$B$32,0))),0)</f>
        <v/>
      </c>
      <c r="R427">
        <f>IF(AND(Inputs!$B$39&lt;&gt;"pvp",Inputs!$B$44&gt;0),IF(MAX(0,Inputs!$B$44-B460)&lt;=0,0,(INT(MAX(0,Inputs!$B$44-B460)/IF(Inputs!$B$39="pvp",15,MAX(0.1,Skills!D12-IF(Skills!E12=TRUE,Inputs!$B$32,0))))+1)),0)</f>
        <v/>
      </c>
      <c r="S427">
        <f>IFERROR(O427/N427,0)</f>
        <v/>
      </c>
      <c r="T427">
        <f>IF(C427,(H427*N427*IF(AND(Inputs!$B$39&lt;&gt;"pvp",Inputs!$B$44&gt;0),((Skills!G12*((R427-1)*IF(Skills!H12&gt;0,Skills!I12/Skills!H12,1)+IF(Skills!H12&gt;0,MIN(Skills!I12,MAX(0,MAX(0,Inputs!$B$44-B460)-((R427-1)*IF(Inputs!$B$39="pvp",15,MAX(0.1,Skills!D12-IF(Skills!E12=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Skills!E12=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IFERROR(1/IF(Inputs!$B$39="pvp",15,MAX(0.1,Skills!D13-IF(Skills!E13=TRUE,Inputs!$B$32,0))),0)</f>
        <v/>
      </c>
      <c r="R428">
        <f>IF(AND(Inputs!$B$39&lt;&gt;"pvp",Inputs!$B$44&gt;0),IF(MAX(0,Inputs!$B$44-B460)&lt;=0,0,(INT(MAX(0,Inputs!$B$44-B460)/IF(Inputs!$B$39="pvp",15,MAX(0.1,Skills!D13-IF(Skills!E13=TRUE,Inputs!$B$32,0))))+1)),0)</f>
        <v/>
      </c>
      <c r="S428">
        <f>IFERROR(O428/N428,0)</f>
        <v/>
      </c>
      <c r="T428">
        <f>IF(C428,(H428*N428*IF(AND(Inputs!$B$39&lt;&gt;"pvp",Inputs!$B$44&gt;0),((Skills!G13*((R428-1)*IF(Skills!H13&gt;0,Skills!I13/Skills!H13,1)+IF(Skills!H13&gt;0,MIN(Skills!I13,MAX(0,MAX(0,Inputs!$B$44-B460)-((R428-1)*IF(Inputs!$B$39="pvp",15,MAX(0.1,Skills!D13-IF(Skills!E13=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Skills!E13=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IFERROR(1/IF(Inputs!$B$39="pvp",15,MAX(0.1,Skills!D14-IF(Skills!E14=TRUE,Inputs!$B$32,0))),0)</f>
        <v/>
      </c>
      <c r="R429">
        <f>IF(AND(Inputs!$B$39&lt;&gt;"pvp",Inputs!$B$44&gt;0),IF(MAX(0,Inputs!$B$44-B460)&lt;=0,0,(INT(MAX(0,Inputs!$B$44-B460)/IF(Inputs!$B$39="pvp",15,MAX(0.1,Skills!D14-IF(Skills!E14=TRUE,Inputs!$B$32,0))))+1)),0)</f>
        <v/>
      </c>
      <c r="S429">
        <f>IFERROR(O429/N429,0)</f>
        <v/>
      </c>
      <c r="T429">
        <f>IF(C429,(H429*N429*IF(AND(Inputs!$B$39&lt;&gt;"pvp",Inputs!$B$44&gt;0),((Skills!G14*((R429-1)*IF(Skills!H14&gt;0,Skills!I14/Skills!H14,1)+IF(Skills!H14&gt;0,MIN(Skills!I14,MAX(0,MAX(0,Inputs!$B$44-B460)-((R429-1)*IF(Inputs!$B$39="pvp",15,MAX(0.1,Skills!D14-IF(Skills!E14=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Skills!E14=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IFERROR(1/IF(Inputs!$B$39="pvp",15,MAX(0.1,Skills!D15-IF(Skills!E15=TRUE,Inputs!$B$32,0))),0)</f>
        <v/>
      </c>
      <c r="R430">
        <f>IF(AND(Inputs!$B$39&lt;&gt;"pvp",Inputs!$B$44&gt;0),IF(Inputs!$B$44&lt;=0,0,(INT(Inputs!$B$44/IF(Inputs!$B$39="pvp",15,MAX(0.1,Skills!D15-IF(Skills!E15=TRUE,Inputs!$B$32,0))))+1)),0)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IFERROR(1/IF(Inputs!$B$39="pvp",15,MAX(0.1,Skills!D16-IF(Skills!E16=TRUE,Inputs!$B$32,0))),0)</f>
        <v/>
      </c>
      <c r="R431">
        <f>IF(AND(Inputs!$B$39&lt;&gt;"pvp",Inputs!$B$44&gt;0),IF(Inputs!$B$44&lt;=0,0,(INT(Inputs!$B$44/IF(Inputs!$B$39="pvp",15,MAX(0.1,Skills!D16-IF(Skills!E16=TRUE,Inputs!$B$32,0))))+1)),0)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IFERROR(1/IF(Inputs!$B$39="pvp",15,MAX(0.1,Skills!D19-IF(Skills!E19=TRUE,Inputs!$B$32,0))),0)</f>
        <v/>
      </c>
      <c r="R434">
        <f>IF(AND(Inputs!$B$39&lt;&gt;"pvp",Inputs!$B$44&gt;0),IF(Inputs!$B$44&lt;=0,0,(INT(Inputs!$B$44/IF(Inputs!$B$39="pvp",15,MAX(0.1,Skills!D19-IF(Skills!E19=TRUE,Inputs!$B$32,0))))+1)),0)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IFERROR(1/IF(Inputs!$B$39="pvp",15,MAX(0.1,Skills!D20-IF(Skills!E20=TRUE,Inputs!$B$32,0))),0)</f>
        <v/>
      </c>
      <c r="R435">
        <f>IF(AND(Inputs!$B$39&lt;&gt;"pvp",Inputs!$B$44&gt;0),IF(Inputs!$B$44&lt;=0,0,(INT(Inputs!$B$44/IF(Inputs!$B$39="pvp",15,MAX(0.1,Skills!D20-IF(Skills!E20=TRUE,Inputs!$B$32,0))))+1)),0)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IFERROR(1/IF(Inputs!$B$39="pvp",15,MAX(0.1,Skills!D21-IF(Skills!E21=TRUE,Inputs!$B$32,0))),0)</f>
        <v/>
      </c>
      <c r="R436">
        <f>IF(AND(Inputs!$B$39&lt;&gt;"pvp",Inputs!$B$44&gt;0),IF(Inputs!$B$44&lt;=0,0,(INT(Inputs!$B$44/IF(Inputs!$B$39="pvp",15,MAX(0.1,Skills!D21-IF(Skills!E21=TRUE,Inputs!$B$32,0))))+1)),0)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Skills!Y19*(1+Inputs!$B$34/100))+MIN((Skills!Y19*(1+Inputs!$B$34/100)),MAX(0,Inputs!$B$44-((R434-1)*Skills!D19))))/Inputs!$B$44),IF(Inputs!$B$39="pvp",MIN((Skills!Y19*(1+Inputs!$B$34/100)),15)/15,(Skills!Y19*(1+Inputs!$B$34/100))/Skills!D19)))/150)))/100</f>
        <v/>
      </c>
    </row>
    <row r="449">
      <c r="A449" t="inlineStr">
        <is>
          <t>Alchemic Adrenaline Uptime</t>
        </is>
      </c>
      <c r="B449">
        <f>(Skills!Y6*(1+Inputs!$B$34/100))/((Skills!Y6*(1+Inputs!$B$34/100))+(5/B448))</f>
        <v/>
      </c>
    </row>
    <row r="450">
      <c r="A450" t="inlineStr">
        <is>
          <t>Attack Speed Buff Bonus %</t>
        </is>
      </c>
      <c r="B450">
        <f>((C434=TRUE)*F434*IF(AND(Inputs!$B$39&lt;&gt;"pvp",Inputs!$B$44&gt;0),(((R434-1)*(Skills!Y19*(1+Inputs!$B$34/100))+MIN((Skills!Y19*(1+Inputs!$B$34/100)),MAX(0,Inputs!$B$44-((R434-1)*Skills!D19))))/Inputs!$B$44),IF(Inputs!$B$39="pvp",MIN((Skills!Y19*(1+Inputs!$B$34/100)),15)/15,(Skills!Y19*(1+Inputs!$B$34/100))/Skills!D19)))+((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f>
        <v/>
      </c>
    </row>
    <row r="455">
      <c r="A455" t="inlineStr">
        <is>
          <t>Global Crit Rate Bonus %</t>
        </is>
      </c>
      <c r="B455">
        <f>IF(Inputs!$B$3&gt;=47,8,0)+((C435=TRUE)*F435*IF(AND(Inputs!$B$39&lt;&gt;"pvp",Inputs!$B$44&gt;0),(((R435-1)*(Skills!Y20*(1+Inputs!$B$34/100))+MIN((Skills!Y20*(1+Inputs!$B$34/100)),MAX(0,Inputs!$B$44-((R435-1)*Skills!D20))))/Inputs!$B$44),IF(Inputs!$B$39="pvp",MIN((Skills!Y20*(1+Inputs!$B$34/100)),15)/15,(Skills!Y20*(1+Inputs!$B$34/100))/Skills!D20)))</f>
        <v/>
      </c>
    </row>
    <row r="456">
      <c r="A456" t="inlineStr">
        <is>
          <t>Global Monster Damage-Taken Bonus %</t>
        </is>
      </c>
      <c r="B456">
        <f>IF(Inputs!$B$3&gt;=82,15,0)+((C431=TRUE)*F431*IF(AND(Inputs!$B$39&lt;&gt;"pvp",Inputs!$B$44&gt;0),(((R431-1)*(Skills!Y16*(1+Inputs!$B$34/100))+MIN((Skills!Y16*(1+Inputs!$B$34/100)),MAX(0,Inputs!$B$44-((R431-1)*Skills!D16))))/Inputs!$B$44),IF(Inputs!$B$39="pvp",MIN((Skills!Y16*(1+Inputs!$B$34/100)),15)/15,(Skills!Y16*(1+Inputs!$B$34/100))/Skills!D16)))</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Skills!Y16*(1+Inputs!$B$34/100))+MIN((Skills!Y16*(1+Inputs!$B$34/100)),MAX(0,Inputs!$B$44-((R431-1)*Skills!D16))))/Inputs!$B$44),IF(Inputs!$B$39="pvp",MIN((Skills!Y16*(1+Inputs!$B$34/100)),15)/15,(Skills!Y16*(1+Inputs!$B$34/100))/Skills!D16))</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IFERROR(1/IF(Inputs!$B$39="pvp",15,MAX(0.1,Skills!D3-IF(Skills!E3=TRUE,Inputs!$B$32,0))),0)</f>
        <v/>
      </c>
      <c r="R467">
        <f>IF(AND(Inputs!$B$39&lt;&gt;"pvp",Inputs!$B$44&gt;0),IF(MAX(0,Inputs!$B$44-B509)&lt;=0,0,(INT(MAX(0,Inputs!$B$44-B509)/IF(Inputs!$B$39="pvp",15,MAX(0.1,Skills!D3-IF(Skills!E3=TRUE,Inputs!$B$32,0))))+1)),0)</f>
        <v/>
      </c>
      <c r="S467">
        <f>IFERROR(O467/N467,0)</f>
        <v/>
      </c>
      <c r="T467">
        <f>IF(C467,(H467*N467*IF(AND(Inputs!$B$39&lt;&gt;"pvp",Inputs!$B$44&gt;0),((Skills!G3*((R467-1)*IF(Skills!H3&gt;0,Skills!I3/Skills!H3,1)+IF(Skills!H3&gt;0,MIN(Skills!I3,MAX(0,MAX(0,Inputs!$B$44-B509)-((R467-1)*IF(Inputs!$B$39="pvp",15,MAX(0.1,Skills!D3-IF(Skills!E3=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Skills!E3=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Inputs!$B$3&gt;=40</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IFERROR(1/IF(Inputs!$B$39="pvp",15,MAX(0.1,Skills!D4-IF(Skills!E4=TRUE,Inputs!$B$32,0))),0)</f>
        <v/>
      </c>
      <c r="R468">
        <f>IF(AND(Inputs!$B$39&lt;&gt;"pvp",Inputs!$B$44&gt;0),IF(MAX(0,Inputs!$B$44-B509)&lt;=0,0,(INT(MAX(0,Inputs!$B$44-B509)/IF(Inputs!$B$39="pvp",15,MAX(0.1,Skills!D4-IF(Skills!E4=TRUE,Inputs!$B$32,0))))+1)),0)</f>
        <v/>
      </c>
      <c r="S468">
        <f>IFERROR(O468/N468,0)</f>
        <v/>
      </c>
      <c r="T468">
        <f>IF(C468,(H468*N468*IF(AND(Inputs!$B$39&lt;&gt;"pvp",Inputs!$B$44&gt;0),((Skills!G4*((R468-1)*IF(Skills!H4&gt;0,Skills!I4/Skills!H4,1)+IF(Skills!H4&gt;0,MIN(Skills!I4,MAX(0,MAX(0,Inputs!$B$44-B509)-((R468-1)*IF(Inputs!$B$39="pvp",15,MAX(0.1,Skills!D4-IF(Skills!E4=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Skills!E4=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IFERROR(1/IF(Inputs!$B$39="pvp",15,MAX(0.1,Skills!D5-IF(Skills!E5=TRUE,Inputs!$B$32,0))),0)</f>
        <v/>
      </c>
      <c r="R469">
        <f>IF(AND(Inputs!$B$39&lt;&gt;"pvp",Inputs!$B$44&gt;0),IF(MAX(0,Inputs!$B$44-B509)&lt;=0,0,(INT(MAX(0,Inputs!$B$44-B509)/IF(Inputs!$B$39="pvp",15,MAX(0.1,Skills!D5-IF(Skills!E5=TRUE,Inputs!$B$32,0))))+1)),0)</f>
        <v/>
      </c>
      <c r="S469">
        <f>IFERROR(O469/N469,0)</f>
        <v/>
      </c>
      <c r="T469">
        <f>IF(C469,(H469*N469*IF(AND(Inputs!$B$39&lt;&gt;"pvp",Inputs!$B$44&gt;0),((Skills!G5*((R469-1)*IF(Skills!H5&gt;0,Skills!I5/Skills!H5,1)+IF(Skills!H5&gt;0,MIN(Skills!I5,MAX(0,MAX(0,Inputs!$B$44-B509)-((R469-1)*IF(Inputs!$B$39="pvp",15,MAX(0.1,Skills!D5-IF(Skills!E5=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Skills!E5=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IFERROR(1/IF(Inputs!$B$39="pvp",15,MAX(0.1,Skills!D8-IF(Skills!E8=TRUE,Inputs!$B$32,0))),0)</f>
        <v/>
      </c>
      <c r="R472">
        <f>IF(AND(Inputs!$B$39&lt;&gt;"pvp",Inputs!$B$44&gt;0),IF(MAX(0,Inputs!$B$44-B509)&lt;=0,0,(INT(MAX(0,Inputs!$B$44-B509)/IF(Inputs!$B$39="pvp",15,MAX(0.1,Skills!D8-IF(Skills!E8=TRUE,Inputs!$B$32,0))))+1)),0)</f>
        <v/>
      </c>
      <c r="S472">
        <f>IFERROR(O472/N472,0)</f>
        <v/>
      </c>
      <c r="T472">
        <f>IF(C472,(H472*N472*IF(AND(Inputs!$B$39&lt;&gt;"pvp",Inputs!$B$44&gt;0),((Skills!G8*((R472-1)*IF(Skills!H8&gt;0,Skills!I8/Skills!H8,1)+IF(Skills!H8&gt;0,MIN(Skills!I8,MAX(0,MAX(0,Inputs!$B$44-B509)-((R472-1)*IF(Inputs!$B$39="pvp",15,MAX(0.1,Skills!D8-IF(Skills!E8=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Skills!E8=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Inputs!$B$3&gt;=72</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IFERROR(1/IF(Inputs!$B$39="pvp",15,MAX(0.1,Skills!D9-IF(Skills!E9=TRUE,Inputs!$B$32,0))),0)</f>
        <v/>
      </c>
      <c r="R473">
        <f>IF(AND(Inputs!$B$39&lt;&gt;"pvp",Inputs!$B$44&gt;0),IF(MAX(0,Inputs!$B$44-B509)&lt;=0,0,(INT(MAX(0,Inputs!$B$44-B509)/IF(Inputs!$B$39="pvp",15,MAX(0.1,Skills!D9-IF(Skills!E9=TRUE,Inputs!$B$32,0))))+1)),0)</f>
        <v/>
      </c>
      <c r="S473">
        <f>IFERROR(O473/N473,0)</f>
        <v/>
      </c>
      <c r="T473">
        <f>IF(C473,(H473*N473*IF(AND(Inputs!$B$39&lt;&gt;"pvp",Inputs!$B$44&gt;0),((Skills!G9*((R473-1)*IF(Skills!H9&gt;0,Skills!I9/Skills!H9,1)+IF(Skills!H9&gt;0,MIN(Skills!I9,MAX(0,MAX(0,Inputs!$B$44-B509)-((R473-1)*IF(Inputs!$B$39="pvp",15,MAX(0.1,Skills!D9-IF(Skills!E9=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Skills!E9=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IFERROR(1/IF(Inputs!$B$39="pvp",15,MAX(0.1,Skills!D12-IF(Skills!E12=TRUE,Inputs!$B$32,0))),0)</f>
        <v/>
      </c>
      <c r="R476">
        <f>IF(AND(Inputs!$B$39&lt;&gt;"pvp",Inputs!$B$44&gt;0),IF(MAX(0,Inputs!$B$44-B509)&lt;=0,0,(INT(MAX(0,Inputs!$B$44-B509)/IF(Inputs!$B$39="pvp",15,MAX(0.1,Skills!D12-IF(Skills!E12=TRUE,Inputs!$B$32,0))))+1)),0)</f>
        <v/>
      </c>
      <c r="S476">
        <f>IFERROR(O476/N476,0)</f>
        <v/>
      </c>
      <c r="T476">
        <f>IF(C476,(H476*N476*IF(AND(Inputs!$B$39&lt;&gt;"pvp",Inputs!$B$44&gt;0),((Skills!G12*((R476-1)*IF(Skills!H12&gt;0,Skills!I12/Skills!H12,1)+IF(Skills!H12&gt;0,MIN(Skills!I12,MAX(0,MAX(0,Inputs!$B$44-B509)-((R476-1)*IF(Inputs!$B$39="pvp",15,MAX(0.1,Skills!D12-IF(Skills!E12=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Skills!E12=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IFERROR(1/IF(Inputs!$B$39="pvp",15,MAX(0.1,Skills!D13-IF(Skills!E13=TRUE,Inputs!$B$32,0))),0)</f>
        <v/>
      </c>
      <c r="R477">
        <f>IF(AND(Inputs!$B$39&lt;&gt;"pvp",Inputs!$B$44&gt;0),IF(MAX(0,Inputs!$B$44-B509)&lt;=0,0,(INT(MAX(0,Inputs!$B$44-B509)/IF(Inputs!$B$39="pvp",15,MAX(0.1,Skills!D13-IF(Skills!E13=TRUE,Inputs!$B$32,0))))+1)),0)</f>
        <v/>
      </c>
      <c r="S477">
        <f>IFERROR(O477/N477,0)</f>
        <v/>
      </c>
      <c r="T477">
        <f>IF(C477,(H477*N477*IF(AND(Inputs!$B$39&lt;&gt;"pvp",Inputs!$B$44&gt;0),((Skills!G13*((R477-1)*IF(Skills!H13&gt;0,Skills!I13/Skills!H13,1)+IF(Skills!H13&gt;0,MIN(Skills!I13,MAX(0,MAX(0,Inputs!$B$44-B509)-((R477-1)*IF(Inputs!$B$39="pvp",15,MAX(0.1,Skills!D13-IF(Skills!E13=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Skills!E13=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IFERROR(1/IF(Inputs!$B$39="pvp",15,MAX(0.1,Skills!D14-IF(Skills!E14=TRUE,Inputs!$B$32,0))),0)</f>
        <v/>
      </c>
      <c r="R478">
        <f>IF(AND(Inputs!$B$39&lt;&gt;"pvp",Inputs!$B$44&gt;0),IF(MAX(0,Inputs!$B$44-B509)&lt;=0,0,(INT(MAX(0,Inputs!$B$44-B509)/IF(Inputs!$B$39="pvp",15,MAX(0.1,Skills!D14-IF(Skills!E14=TRUE,Inputs!$B$32,0))))+1)),0)</f>
        <v/>
      </c>
      <c r="S478">
        <f>IFERROR(O478/N478,0)</f>
        <v/>
      </c>
      <c r="T478">
        <f>IF(C478,(H478*N478*IF(AND(Inputs!$B$39&lt;&gt;"pvp",Inputs!$B$44&gt;0),((Skills!G14*((R478-1)*IF(Skills!H14&gt;0,Skills!I14/Skills!H14,1)+IF(Skills!H14&gt;0,MIN(Skills!I14,MAX(0,MAX(0,Inputs!$B$44-B509)-((R478-1)*IF(Inputs!$B$39="pvp",15,MAX(0.1,Skills!D14-IF(Skills!E14=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Skills!E14=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IFERROR(1/IF(Inputs!$B$39="pvp",15,MAX(0.1,Skills!D15-IF(Skills!E15=TRUE,Inputs!$B$32,0))),0)</f>
        <v/>
      </c>
      <c r="R479">
        <f>IF(AND(Inputs!$B$39&lt;&gt;"pvp",Inputs!$B$44&gt;0),IF(Inputs!$B$44&lt;=0,0,(INT(Inputs!$B$44/IF(Inputs!$B$39="pvp",15,MAX(0.1,Skills!D15-IF(Skills!E15=TRUE,Inputs!$B$32,0))))+1)),0)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IFERROR(1/IF(Inputs!$B$39="pvp",15,MAX(0.1,Skills!D16-IF(Skills!E16=TRUE,Inputs!$B$32,0))),0)</f>
        <v/>
      </c>
      <c r="R480">
        <f>IF(AND(Inputs!$B$39&lt;&gt;"pvp",Inputs!$B$44&gt;0),IF(Inputs!$B$44&lt;=0,0,(INT(Inputs!$B$44/IF(Inputs!$B$39="pvp",15,MAX(0.1,Skills!D16-IF(Skills!E16=TRUE,Inputs!$B$32,0))))+1)),0)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IFERROR(1/IF(Inputs!$B$39="pvp",15,MAX(0.1,Skills!D19-IF(Skills!E19=TRUE,Inputs!$B$32,0))),0)</f>
        <v/>
      </c>
      <c r="R483">
        <f>IF(AND(Inputs!$B$39&lt;&gt;"pvp",Inputs!$B$44&gt;0),IF(Inputs!$B$44&lt;=0,0,(INT(Inputs!$B$44/IF(Inputs!$B$39="pvp",15,MAX(0.1,Skills!D19-IF(Skills!E19=TRUE,Inputs!$B$32,0))))+1)),0)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IFERROR(1/IF(Inputs!$B$39="pvp",15,MAX(0.1,Skills!D20-IF(Skills!E20=TRUE,Inputs!$B$32,0))),0)</f>
        <v/>
      </c>
      <c r="R484">
        <f>IF(AND(Inputs!$B$39&lt;&gt;"pvp",Inputs!$B$44&gt;0),IF(Inputs!$B$44&lt;=0,0,(INT(Inputs!$B$44/IF(Inputs!$B$39="pvp",15,MAX(0.1,Skills!D20-IF(Skills!E20=TRUE,Inputs!$B$32,0))))+1)),0)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IFERROR(1/IF(Inputs!$B$39="pvp",15,MAX(0.1,Skills!D21-IF(Skills!E21=TRUE,Inputs!$B$32,0))),0)</f>
        <v/>
      </c>
      <c r="R485">
        <f>IF(AND(Inputs!$B$39&lt;&gt;"pvp",Inputs!$B$44&gt;0),IF(Inputs!$B$44&lt;=0,0,(INT(Inputs!$B$44/IF(Inputs!$B$39="pvp",15,MAX(0.1,Skills!D21-IF(Skills!E21=TRUE,Inputs!$B$32,0))))+1)),0)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Skills!Y19*(1+Inputs!$B$34/100))+MIN((Skills!Y19*(1+Inputs!$B$34/100)),MAX(0,Inputs!$B$44-((R483-1)*Skills!D19))))/Inputs!$B$44),IF(Inputs!$B$39="pvp",MIN((Skills!Y19*(1+Inputs!$B$34/100)),15)/15,(Skills!Y19*(1+Inputs!$B$34/100))/Skills!D19)))/150)))/100</f>
        <v/>
      </c>
    </row>
    <row r="498">
      <c r="A498" t="inlineStr">
        <is>
          <t>Alchemic Adrenaline Uptime</t>
        </is>
      </c>
      <c r="B498">
        <f>(Skills!Y6*(1+Inputs!$B$34/100))/((Skills!Y6*(1+Inputs!$B$34/100))+(5/B497))</f>
        <v/>
      </c>
    </row>
    <row r="499">
      <c r="A499" t="inlineStr">
        <is>
          <t>Attack Speed Buff Bonus %</t>
        </is>
      </c>
      <c r="B499">
        <f>((C483=TRUE)*F483*IF(AND(Inputs!$B$39&lt;&gt;"pvp",Inputs!$B$44&gt;0),(((R483-1)*(Skills!Y19*(1+Inputs!$B$34/100))+MIN((Skills!Y19*(1+Inputs!$B$34/100)),MAX(0,Inputs!$B$44-((R483-1)*Skills!D19))))/Inputs!$B$44),IF(Inputs!$B$39="pvp",MIN((Skills!Y19*(1+Inputs!$B$34/100)),15)/15,(Skills!Y19*(1+Inputs!$B$34/100))/Skills!D19)))+((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f>
        <v/>
      </c>
    </row>
    <row r="504">
      <c r="A504" t="inlineStr">
        <is>
          <t>Global Crit Rate Bonus %</t>
        </is>
      </c>
      <c r="B504">
        <f>IF(Inputs!$B$3&gt;=47,8,0)+((C484=TRUE)*F484*IF(AND(Inputs!$B$39&lt;&gt;"pvp",Inputs!$B$44&gt;0),(((R484-1)*(Skills!Y20*(1+Inputs!$B$34/100))+MIN((Skills!Y20*(1+Inputs!$B$34/100)),MAX(0,Inputs!$B$44-((R484-1)*Skills!D20))))/Inputs!$B$44),IF(Inputs!$B$39="pvp",MIN((Skills!Y20*(1+Inputs!$B$34/100)),15)/15,(Skills!Y20*(1+Inputs!$B$34/100))/Skills!D20)))</f>
        <v/>
      </c>
    </row>
    <row r="505">
      <c r="A505" t="inlineStr">
        <is>
          <t>Global Monster Damage-Taken Bonus %</t>
        </is>
      </c>
      <c r="B505">
        <f>IF(Inputs!$B$3&gt;=82,15,0)+((C480=TRUE)*F480*IF(AND(Inputs!$B$39&lt;&gt;"pvp",Inputs!$B$44&gt;0),(((R480-1)*(Skills!Y16*(1+Inputs!$B$34/100))+MIN((Skills!Y16*(1+Inputs!$B$34/100)),MAX(0,Inputs!$B$44-((R480-1)*Skills!D16))))/Inputs!$B$44),IF(Inputs!$B$39="pvp",MIN((Skills!Y16*(1+Inputs!$B$34/100)),15)/15,(Skills!Y16*(1+Inputs!$B$34/100))/Skills!D16)))</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Skills!Y16*(1+Inputs!$B$34/100))+MIN((Skills!Y16*(1+Inputs!$B$34/100)),MAX(0,Inputs!$B$44-((R480-1)*Skills!D16))))/Inputs!$B$44),IF(Inputs!$B$39="pvp",MIN((Skills!Y16*(1+Inputs!$B$34/100)),15)/15,(Skills!Y16*(1+Inputs!$B$34/100))/Skills!D16))</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IFERROR(1/IF(Inputs!$B$39="pvp",15,MAX(0.1,Skills!D3-IF(Skills!E3=TRUE,Inputs!$B$32,0))),0)</f>
        <v/>
      </c>
      <c r="R516">
        <f>IF(AND(Inputs!$B$39&lt;&gt;"pvp",Inputs!$B$44&gt;0),IF(MAX(0,Inputs!$B$44-B558)&lt;=0,0,(INT(MAX(0,Inputs!$B$44-B558)/IF(Inputs!$B$39="pvp",15,MAX(0.1,Skills!D3-IF(Skills!E3=TRUE,Inputs!$B$32,0))))+1)),0)</f>
        <v/>
      </c>
      <c r="S516">
        <f>IFERROR(O516/N516,0)</f>
        <v/>
      </c>
      <c r="T516">
        <f>IF(C516,(H516*N516*IF(AND(Inputs!$B$39&lt;&gt;"pvp",Inputs!$B$44&gt;0),((Skills!G3*((R516-1)*IF(Skills!H3&gt;0,Skills!I3/Skills!H3,1)+IF(Skills!H3&gt;0,MIN(Skills!I3,MAX(0,MAX(0,Inputs!$B$44-B558)-((R516-1)*IF(Inputs!$B$39="pvp",15,MAX(0.1,Skills!D3-IF(Skills!E3=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Skills!E3=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IFERROR(1/IF(Inputs!$B$39="pvp",15,MAX(0.1,Skills!D4-IF(Skills!E4=TRUE,Inputs!$B$32,0))),0)</f>
        <v/>
      </c>
      <c r="R517">
        <f>IF(AND(Inputs!$B$39&lt;&gt;"pvp",Inputs!$B$44&gt;0),IF(MAX(0,Inputs!$B$44-B558)&lt;=0,0,(INT(MAX(0,Inputs!$B$44-B558)/IF(Inputs!$B$39="pvp",15,MAX(0.1,Skills!D4-IF(Skills!E4=TRUE,Inputs!$B$32,0))))+1)),0)</f>
        <v/>
      </c>
      <c r="S517">
        <f>IFERROR(O517/N517,0)</f>
        <v/>
      </c>
      <c r="T517">
        <f>IF(C517,(H517*N517*IF(AND(Inputs!$B$39&lt;&gt;"pvp",Inputs!$B$44&gt;0),((Skills!G4*((R517-1)*IF(Skills!H4&gt;0,Skills!I4/Skills!H4,1)+IF(Skills!H4&gt;0,MIN(Skills!I4,MAX(0,MAX(0,Inputs!$B$44-B558)-((R517-1)*IF(Inputs!$B$39="pvp",15,MAX(0.1,Skills!D4-IF(Skills!E4=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Skills!E4=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IFERROR(1/IF(Inputs!$B$39="pvp",15,MAX(0.1,Skills!D5-IF(Skills!E5=TRUE,Inputs!$B$32,0))),0)</f>
        <v/>
      </c>
      <c r="R518">
        <f>IF(AND(Inputs!$B$39&lt;&gt;"pvp",Inputs!$B$44&gt;0),IF(MAX(0,Inputs!$B$44-B558)&lt;=0,0,(INT(MAX(0,Inputs!$B$44-B558)/IF(Inputs!$B$39="pvp",15,MAX(0.1,Skills!D5-IF(Skills!E5=TRUE,Inputs!$B$32,0))))+1)),0)</f>
        <v/>
      </c>
      <c r="S518">
        <f>IFERROR(O518/N518,0)</f>
        <v/>
      </c>
      <c r="T518">
        <f>IF(C518,(H518*N518*IF(AND(Inputs!$B$39&lt;&gt;"pvp",Inputs!$B$44&gt;0),((Skills!G5*((R518-1)*IF(Skills!H5&gt;0,Skills!I5/Skills!H5,1)+IF(Skills!H5&gt;0,MIN(Skills!I5,MAX(0,MAX(0,Inputs!$B$44-B558)-((R518-1)*IF(Inputs!$B$39="pvp",15,MAX(0.1,Skills!D5-IF(Skills!E5=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Skills!E5=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IFERROR(1/IF(Inputs!$B$39="pvp",15,MAX(0.1,Skills!D8-IF(Skills!E8=TRUE,Inputs!$B$32,0))),0)</f>
        <v/>
      </c>
      <c r="R521">
        <f>IF(AND(Inputs!$B$39&lt;&gt;"pvp",Inputs!$B$44&gt;0),IF(MAX(0,Inputs!$B$44-B558)&lt;=0,0,(INT(MAX(0,Inputs!$B$44-B558)/IF(Inputs!$B$39="pvp",15,MAX(0.1,Skills!D8-IF(Skills!E8=TRUE,Inputs!$B$32,0))))+1)),0)</f>
        <v/>
      </c>
      <c r="S521">
        <f>IFERROR(O521/N521,0)</f>
        <v/>
      </c>
      <c r="T521">
        <f>IF(C521,(H521*N521*IF(AND(Inputs!$B$39&lt;&gt;"pvp",Inputs!$B$44&gt;0),((Skills!G8*((R521-1)*IF(Skills!H8&gt;0,Skills!I8/Skills!H8,1)+IF(Skills!H8&gt;0,MIN(Skills!I8,MAX(0,MAX(0,Inputs!$B$44-B558)-((R521-1)*IF(Inputs!$B$39="pvp",15,MAX(0.1,Skills!D8-IF(Skills!E8=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Skills!E8=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Inputs!$B$3&gt;=72</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IFERROR(1/IF(Inputs!$B$39="pvp",15,MAX(0.1,Skills!D9-IF(Skills!E9=TRUE,Inputs!$B$32,0))),0)</f>
        <v/>
      </c>
      <c r="R522">
        <f>IF(AND(Inputs!$B$39&lt;&gt;"pvp",Inputs!$B$44&gt;0),IF(MAX(0,Inputs!$B$44-B558)&lt;=0,0,(INT(MAX(0,Inputs!$B$44-B558)/IF(Inputs!$B$39="pvp",15,MAX(0.1,Skills!D9-IF(Skills!E9=TRUE,Inputs!$B$32,0))))+1)),0)</f>
        <v/>
      </c>
      <c r="S522">
        <f>IFERROR(O522/N522,0)</f>
        <v/>
      </c>
      <c r="T522">
        <f>IF(C522,(H522*N522*IF(AND(Inputs!$B$39&lt;&gt;"pvp",Inputs!$B$44&gt;0),((Skills!G9*((R522-1)*IF(Skills!H9&gt;0,Skills!I9/Skills!H9,1)+IF(Skills!H9&gt;0,MIN(Skills!I9,MAX(0,MAX(0,Inputs!$B$44-B558)-((R522-1)*IF(Inputs!$B$39="pvp",15,MAX(0.1,Skills!D9-IF(Skills!E9=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Skills!E9=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IFERROR(1/IF(Inputs!$B$39="pvp",15,MAX(0.1,Skills!D12-IF(Skills!E12=TRUE,Inputs!$B$32,0))),0)</f>
        <v/>
      </c>
      <c r="R525">
        <f>IF(AND(Inputs!$B$39&lt;&gt;"pvp",Inputs!$B$44&gt;0),IF(MAX(0,Inputs!$B$44-B558)&lt;=0,0,(INT(MAX(0,Inputs!$B$44-B558)/IF(Inputs!$B$39="pvp",15,MAX(0.1,Skills!D12-IF(Skills!E12=TRUE,Inputs!$B$32,0))))+1)),0)</f>
        <v/>
      </c>
      <c r="S525">
        <f>IFERROR(O525/N525,0)</f>
        <v/>
      </c>
      <c r="T525">
        <f>IF(C525,(H525*N525*IF(AND(Inputs!$B$39&lt;&gt;"pvp",Inputs!$B$44&gt;0),((Skills!G12*((R525-1)*IF(Skills!H12&gt;0,Skills!I12/Skills!H12,1)+IF(Skills!H12&gt;0,MIN(Skills!I12,MAX(0,MAX(0,Inputs!$B$44-B558)-((R525-1)*IF(Inputs!$B$39="pvp",15,MAX(0.1,Skills!D12-IF(Skills!E12=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Skills!E12=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IFERROR(1/IF(Inputs!$B$39="pvp",15,MAX(0.1,Skills!D13-IF(Skills!E13=TRUE,Inputs!$B$32,0))),0)</f>
        <v/>
      </c>
      <c r="R526">
        <f>IF(AND(Inputs!$B$39&lt;&gt;"pvp",Inputs!$B$44&gt;0),IF(MAX(0,Inputs!$B$44-B558)&lt;=0,0,(INT(MAX(0,Inputs!$B$44-B558)/IF(Inputs!$B$39="pvp",15,MAX(0.1,Skills!D13-IF(Skills!E13=TRUE,Inputs!$B$32,0))))+1)),0)</f>
        <v/>
      </c>
      <c r="S526">
        <f>IFERROR(O526/N526,0)</f>
        <v/>
      </c>
      <c r="T526">
        <f>IF(C526,(H526*N526*IF(AND(Inputs!$B$39&lt;&gt;"pvp",Inputs!$B$44&gt;0),((Skills!G13*((R526-1)*IF(Skills!H13&gt;0,Skills!I13/Skills!H13,1)+IF(Skills!H13&gt;0,MIN(Skills!I13,MAX(0,MAX(0,Inputs!$B$44-B558)-((R526-1)*IF(Inputs!$B$39="pvp",15,MAX(0.1,Skills!D13-IF(Skills!E13=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Skills!E13=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IFERROR(1/IF(Inputs!$B$39="pvp",15,MAX(0.1,Skills!D14-IF(Skills!E14=TRUE,Inputs!$B$32,0))),0)</f>
        <v/>
      </c>
      <c r="R527">
        <f>IF(AND(Inputs!$B$39&lt;&gt;"pvp",Inputs!$B$44&gt;0),IF(MAX(0,Inputs!$B$44-B558)&lt;=0,0,(INT(MAX(0,Inputs!$B$44-B558)/IF(Inputs!$B$39="pvp",15,MAX(0.1,Skills!D14-IF(Skills!E14=TRUE,Inputs!$B$32,0))))+1)),0)</f>
        <v/>
      </c>
      <c r="S527">
        <f>IFERROR(O527/N527,0)</f>
        <v/>
      </c>
      <c r="T527">
        <f>IF(C527,(H527*N527*IF(AND(Inputs!$B$39&lt;&gt;"pvp",Inputs!$B$44&gt;0),((Skills!G14*((R527-1)*IF(Skills!H14&gt;0,Skills!I14/Skills!H14,1)+IF(Skills!H14&gt;0,MIN(Skills!I14,MAX(0,MAX(0,Inputs!$B$44-B558)-((R527-1)*IF(Inputs!$B$39="pvp",15,MAX(0.1,Skills!D14-IF(Skills!E14=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Skills!E14=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IFERROR(1/IF(Inputs!$B$39="pvp",15,MAX(0.1,Skills!D15-IF(Skills!E15=TRUE,Inputs!$B$32,0))),0)</f>
        <v/>
      </c>
      <c r="R528">
        <f>IF(AND(Inputs!$B$39&lt;&gt;"pvp",Inputs!$B$44&gt;0),IF(Inputs!$B$44&lt;=0,0,(INT(Inputs!$B$44/IF(Inputs!$B$39="pvp",15,MAX(0.1,Skills!D15-IF(Skills!E15=TRUE,Inputs!$B$32,0))))+1)),0)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IFERROR(1/IF(Inputs!$B$39="pvp",15,MAX(0.1,Skills!D16-IF(Skills!E16=TRUE,Inputs!$B$32,0))),0)</f>
        <v/>
      </c>
      <c r="R529">
        <f>IF(AND(Inputs!$B$39&lt;&gt;"pvp",Inputs!$B$44&gt;0),IF(Inputs!$B$44&lt;=0,0,(INT(Inputs!$B$44/IF(Inputs!$B$39="pvp",15,MAX(0.1,Skills!D16-IF(Skills!E16=TRUE,Inputs!$B$32,0))))+1)),0)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IFERROR(1/IF(Inputs!$B$39="pvp",15,MAX(0.1,Skills!D19-IF(Skills!E19=TRUE,Inputs!$B$32,0))),0)</f>
        <v/>
      </c>
      <c r="R532">
        <f>IF(AND(Inputs!$B$39&lt;&gt;"pvp",Inputs!$B$44&gt;0),IF(Inputs!$B$44&lt;=0,0,(INT(Inputs!$B$44/IF(Inputs!$B$39="pvp",15,MAX(0.1,Skills!D19-IF(Skills!E19=TRUE,Inputs!$B$32,0))))+1)),0)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IFERROR(1/IF(Inputs!$B$39="pvp",15,MAX(0.1,Skills!D20-IF(Skills!E20=TRUE,Inputs!$B$32,0))),0)</f>
        <v/>
      </c>
      <c r="R533">
        <f>IF(AND(Inputs!$B$39&lt;&gt;"pvp",Inputs!$B$44&gt;0),IF(Inputs!$B$44&lt;=0,0,(INT(Inputs!$B$44/IF(Inputs!$B$39="pvp",15,MAX(0.1,Skills!D20-IF(Skills!E20=TRUE,Inputs!$B$32,0))))+1)),0)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IFERROR(1/IF(Inputs!$B$39="pvp",15,MAX(0.1,Skills!D21-IF(Skills!E21=TRUE,Inputs!$B$32,0))),0)</f>
        <v/>
      </c>
      <c r="R534">
        <f>IF(AND(Inputs!$B$39&lt;&gt;"pvp",Inputs!$B$44&gt;0),IF(Inputs!$B$44&lt;=0,0,(INT(Inputs!$B$44/IF(Inputs!$B$39="pvp",15,MAX(0.1,Skills!D21-IF(Skills!E21=TRUE,Inputs!$B$32,0))))+1)),0)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Skills!Y19*(1+Inputs!$B$34/100))+MIN((Skills!Y19*(1+Inputs!$B$34/100)),MAX(0,Inputs!$B$44-((R532-1)*Skills!D19))))/Inputs!$B$44),IF(Inputs!$B$39="pvp",MIN((Skills!Y19*(1+Inputs!$B$34/100)),15)/15,(Skills!Y19*(1+Inputs!$B$34/100))/Skills!D19)))/150)))/100</f>
        <v/>
      </c>
    </row>
    <row r="547">
      <c r="A547" t="inlineStr">
        <is>
          <t>Alchemic Adrenaline Uptime</t>
        </is>
      </c>
      <c r="B547">
        <f>(Skills!Y6*(1+Inputs!$B$34/100))/((Skills!Y6*(1+Inputs!$B$34/100))+(5/B546))</f>
        <v/>
      </c>
    </row>
    <row r="548">
      <c r="A548" t="inlineStr">
        <is>
          <t>Attack Speed Buff Bonus %</t>
        </is>
      </c>
      <c r="B548">
        <f>((C532=TRUE)*F532*IF(AND(Inputs!$B$39&lt;&gt;"pvp",Inputs!$B$44&gt;0),(((R532-1)*(Skills!Y19*(1+Inputs!$B$34/100))+MIN((Skills!Y19*(1+Inputs!$B$34/100)),MAX(0,Inputs!$B$44-((R532-1)*Skills!D19))))/Inputs!$B$44),IF(Inputs!$B$39="pvp",MIN((Skills!Y19*(1+Inputs!$B$34/100)),15)/15,(Skills!Y19*(1+Inputs!$B$34/100))/Skills!D19)))+((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f>
        <v/>
      </c>
    </row>
    <row r="553">
      <c r="A553" t="inlineStr">
        <is>
          <t>Global Crit Rate Bonus %</t>
        </is>
      </c>
      <c r="B553">
        <f>IF(Inputs!$B$3&gt;=47,8,0)+((C533=TRUE)*F533*IF(AND(Inputs!$B$39&lt;&gt;"pvp",Inputs!$B$44&gt;0),(((R533-1)*(Skills!Y20*(1+Inputs!$B$34/100))+MIN((Skills!Y20*(1+Inputs!$B$34/100)),MAX(0,Inputs!$B$44-((R533-1)*Skills!D20))))/Inputs!$B$44),IF(Inputs!$B$39="pvp",MIN((Skills!Y20*(1+Inputs!$B$34/100)),15)/15,(Skills!Y20*(1+Inputs!$B$34/100))/Skills!D20)))</f>
        <v/>
      </c>
    </row>
    <row r="554">
      <c r="A554" t="inlineStr">
        <is>
          <t>Global Monster Damage-Taken Bonus %</t>
        </is>
      </c>
      <c r="B554">
        <f>IF(Inputs!$B$3&gt;=82,15,0)+((C529=TRUE)*F529*IF(AND(Inputs!$B$39&lt;&gt;"pvp",Inputs!$B$44&gt;0),(((R529-1)*(Skills!Y16*(1+Inputs!$B$34/100))+MIN((Skills!Y16*(1+Inputs!$B$34/100)),MAX(0,Inputs!$B$44-((R529-1)*Skills!D16))))/Inputs!$B$44),IF(Inputs!$B$39="pvp",MIN((Skills!Y16*(1+Inputs!$B$34/100)),15)/15,(Skills!Y16*(1+Inputs!$B$34/100))/Skills!D16)))</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Skills!Y16*(1+Inputs!$B$34/100))+MIN((Skills!Y16*(1+Inputs!$B$34/100)),MAX(0,Inputs!$B$44-((R529-1)*Skills!D16))))/Inputs!$B$44),IF(Inputs!$B$39="pvp",MIN((Skills!Y16*(1+Inputs!$B$34/100)),15)/15,(Skills!Y16*(1+Inputs!$B$34/100))/Skills!D16))</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IFERROR(1/IF(Inputs!$B$39="pvp",15,MAX(0.1,Skills!D3-IF(Skills!E3=TRUE,Inputs!$B$32,0))),0)</f>
        <v/>
      </c>
      <c r="R565">
        <f>IF(AND(Inputs!$B$39&lt;&gt;"pvp",Inputs!$B$44&gt;0),IF(MAX(0,Inputs!$B$44-B607)&lt;=0,0,(INT(MAX(0,Inputs!$B$44-B607)/IF(Inputs!$B$39="pvp",15,MAX(0.1,Skills!D3-IF(Skills!E3=TRUE,Inputs!$B$32,0))))+1)),0)</f>
        <v/>
      </c>
      <c r="S565">
        <f>IFERROR(O565/N565,0)</f>
        <v/>
      </c>
      <c r="T565">
        <f>IF(C565,(H565*N565*IF(AND(Inputs!$B$39&lt;&gt;"pvp",Inputs!$B$44&gt;0),((Skills!G3*((R565-1)*IF(Skills!H3&gt;0,Skills!I3/Skills!H3,1)+IF(Skills!H3&gt;0,MIN(Skills!I3,MAX(0,MAX(0,Inputs!$B$44-B607)-((R565-1)*IF(Inputs!$B$39="pvp",15,MAX(0.1,Skills!D3-IF(Skills!E3=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Skills!E3=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IFERROR(1/IF(Inputs!$B$39="pvp",15,MAX(0.1,Skills!D4-IF(Skills!E4=TRUE,Inputs!$B$32,0))),0)</f>
        <v/>
      </c>
      <c r="R566">
        <f>IF(AND(Inputs!$B$39&lt;&gt;"pvp",Inputs!$B$44&gt;0),IF(MAX(0,Inputs!$B$44-B607)&lt;=0,0,(INT(MAX(0,Inputs!$B$44-B607)/IF(Inputs!$B$39="pvp",15,MAX(0.1,Skills!D4-IF(Skills!E4=TRUE,Inputs!$B$32,0))))+1)),0)</f>
        <v/>
      </c>
      <c r="S566">
        <f>IFERROR(O566/N566,0)</f>
        <v/>
      </c>
      <c r="T566">
        <f>IF(C566,(H566*N566*IF(AND(Inputs!$B$39&lt;&gt;"pvp",Inputs!$B$44&gt;0),((Skills!G4*((R566-1)*IF(Skills!H4&gt;0,Skills!I4/Skills!H4,1)+IF(Skills!H4&gt;0,MIN(Skills!I4,MAX(0,MAX(0,Inputs!$B$44-B607)-((R566-1)*IF(Inputs!$B$39="pvp",15,MAX(0.1,Skills!D4-IF(Skills!E4=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Skills!E4=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IFERROR(1/IF(Inputs!$B$39="pvp",15,MAX(0.1,Skills!D5-IF(Skills!E5=TRUE,Inputs!$B$32,0))),0)</f>
        <v/>
      </c>
      <c r="R567">
        <f>IF(AND(Inputs!$B$39&lt;&gt;"pvp",Inputs!$B$44&gt;0),IF(MAX(0,Inputs!$B$44-B607)&lt;=0,0,(INT(MAX(0,Inputs!$B$44-B607)/IF(Inputs!$B$39="pvp",15,MAX(0.1,Skills!D5-IF(Skills!E5=TRUE,Inputs!$B$32,0))))+1)),0)</f>
        <v/>
      </c>
      <c r="S567">
        <f>IFERROR(O567/N567,0)</f>
        <v/>
      </c>
      <c r="T567">
        <f>IF(C567,(H567*N567*IF(AND(Inputs!$B$39&lt;&gt;"pvp",Inputs!$B$44&gt;0),((Skills!G5*((R567-1)*IF(Skills!H5&gt;0,Skills!I5/Skills!H5,1)+IF(Skills!H5&gt;0,MIN(Skills!I5,MAX(0,MAX(0,Inputs!$B$44-B607)-((R567-1)*IF(Inputs!$B$39="pvp",15,MAX(0.1,Skills!D5-IF(Skills!E5=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Skills!E5=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IFERROR(1/IF(Inputs!$B$39="pvp",15,MAX(0.1,Skills!D8-IF(Skills!E8=TRUE,Inputs!$B$32,0))),0)</f>
        <v/>
      </c>
      <c r="R570">
        <f>IF(AND(Inputs!$B$39&lt;&gt;"pvp",Inputs!$B$44&gt;0),IF(MAX(0,Inputs!$B$44-B607)&lt;=0,0,(INT(MAX(0,Inputs!$B$44-B607)/IF(Inputs!$B$39="pvp",15,MAX(0.1,Skills!D8-IF(Skills!E8=TRUE,Inputs!$B$32,0))))+1)),0)</f>
        <v/>
      </c>
      <c r="S570">
        <f>IFERROR(O570/N570,0)</f>
        <v/>
      </c>
      <c r="T570">
        <f>IF(C570,(H570*N570*IF(AND(Inputs!$B$39&lt;&gt;"pvp",Inputs!$B$44&gt;0),((Skills!G8*((R570-1)*IF(Skills!H8&gt;0,Skills!I8/Skills!H8,1)+IF(Skills!H8&gt;0,MIN(Skills!I8,MAX(0,MAX(0,Inputs!$B$44-B607)-((R570-1)*IF(Inputs!$B$39="pvp",15,MAX(0.1,Skills!D8-IF(Skills!E8=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Skills!E8=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Inputs!$B$3&gt;=72</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IFERROR(1/IF(Inputs!$B$39="pvp",15,MAX(0.1,Skills!D9-IF(Skills!E9=TRUE,Inputs!$B$32,0))),0)</f>
        <v/>
      </c>
      <c r="R571">
        <f>IF(AND(Inputs!$B$39&lt;&gt;"pvp",Inputs!$B$44&gt;0),IF(MAX(0,Inputs!$B$44-B607)&lt;=0,0,(INT(MAX(0,Inputs!$B$44-B607)/IF(Inputs!$B$39="pvp",15,MAX(0.1,Skills!D9-IF(Skills!E9=TRUE,Inputs!$B$32,0))))+1)),0)</f>
        <v/>
      </c>
      <c r="S571">
        <f>IFERROR(O571/N571,0)</f>
        <v/>
      </c>
      <c r="T571">
        <f>IF(C571,(H571*N571*IF(AND(Inputs!$B$39&lt;&gt;"pvp",Inputs!$B$44&gt;0),((Skills!G9*((R571-1)*IF(Skills!H9&gt;0,Skills!I9/Skills!H9,1)+IF(Skills!H9&gt;0,MIN(Skills!I9,MAX(0,MAX(0,Inputs!$B$44-B607)-((R571-1)*IF(Inputs!$B$39="pvp",15,MAX(0.1,Skills!D9-IF(Skills!E9=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Skills!E9=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IFERROR(1/IF(Inputs!$B$39="pvp",15,MAX(0.1,Skills!D12-IF(Skills!E12=TRUE,Inputs!$B$32,0))),0)</f>
        <v/>
      </c>
      <c r="R574">
        <f>IF(AND(Inputs!$B$39&lt;&gt;"pvp",Inputs!$B$44&gt;0),IF(MAX(0,Inputs!$B$44-B607)&lt;=0,0,(INT(MAX(0,Inputs!$B$44-B607)/IF(Inputs!$B$39="pvp",15,MAX(0.1,Skills!D12-IF(Skills!E12=TRUE,Inputs!$B$32,0))))+1)),0)</f>
        <v/>
      </c>
      <c r="S574">
        <f>IFERROR(O574/N574,0)</f>
        <v/>
      </c>
      <c r="T574">
        <f>IF(C574,(H574*N574*IF(AND(Inputs!$B$39&lt;&gt;"pvp",Inputs!$B$44&gt;0),((Skills!G12*((R574-1)*IF(Skills!H12&gt;0,Skills!I12/Skills!H12,1)+IF(Skills!H12&gt;0,MIN(Skills!I12,MAX(0,MAX(0,Inputs!$B$44-B607)-((R574-1)*IF(Inputs!$B$39="pvp",15,MAX(0.1,Skills!D12-IF(Skills!E12=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Skills!E12=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IFERROR(1/IF(Inputs!$B$39="pvp",15,MAX(0.1,Skills!D13-IF(Skills!E13=TRUE,Inputs!$B$32,0))),0)</f>
        <v/>
      </c>
      <c r="R575">
        <f>IF(AND(Inputs!$B$39&lt;&gt;"pvp",Inputs!$B$44&gt;0),IF(MAX(0,Inputs!$B$44-B607)&lt;=0,0,(INT(MAX(0,Inputs!$B$44-B607)/IF(Inputs!$B$39="pvp",15,MAX(0.1,Skills!D13-IF(Skills!E13=TRUE,Inputs!$B$32,0))))+1)),0)</f>
        <v/>
      </c>
      <c r="S575">
        <f>IFERROR(O575/N575,0)</f>
        <v/>
      </c>
      <c r="T575">
        <f>IF(C575,(H575*N575*IF(AND(Inputs!$B$39&lt;&gt;"pvp",Inputs!$B$44&gt;0),((Skills!G13*((R575-1)*IF(Skills!H13&gt;0,Skills!I13/Skills!H13,1)+IF(Skills!H13&gt;0,MIN(Skills!I13,MAX(0,MAX(0,Inputs!$B$44-B607)-((R575-1)*IF(Inputs!$B$39="pvp",15,MAX(0.1,Skills!D13-IF(Skills!E13=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Skills!E13=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IFERROR(1/IF(Inputs!$B$39="pvp",15,MAX(0.1,Skills!D14-IF(Skills!E14=TRUE,Inputs!$B$32,0))),0)</f>
        <v/>
      </c>
      <c r="R576">
        <f>IF(AND(Inputs!$B$39&lt;&gt;"pvp",Inputs!$B$44&gt;0),IF(MAX(0,Inputs!$B$44-B607)&lt;=0,0,(INT(MAX(0,Inputs!$B$44-B607)/IF(Inputs!$B$39="pvp",15,MAX(0.1,Skills!D14-IF(Skills!E14=TRUE,Inputs!$B$32,0))))+1)),0)</f>
        <v/>
      </c>
      <c r="S576">
        <f>IFERROR(O576/N576,0)</f>
        <v/>
      </c>
      <c r="T576">
        <f>IF(C576,(H576*N576*IF(AND(Inputs!$B$39&lt;&gt;"pvp",Inputs!$B$44&gt;0),((Skills!G14*((R576-1)*IF(Skills!H14&gt;0,Skills!I14/Skills!H14,1)+IF(Skills!H14&gt;0,MIN(Skills!I14,MAX(0,MAX(0,Inputs!$B$44-B607)-((R576-1)*IF(Inputs!$B$39="pvp",15,MAX(0.1,Skills!D14-IF(Skills!E14=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Skills!E14=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IFERROR(1/IF(Inputs!$B$39="pvp",15,MAX(0.1,Skills!D15-IF(Skills!E15=TRUE,Inputs!$B$32,0))),0)</f>
        <v/>
      </c>
      <c r="R577">
        <f>IF(AND(Inputs!$B$39&lt;&gt;"pvp",Inputs!$B$44&gt;0),IF(Inputs!$B$44&lt;=0,0,(INT(Inputs!$B$44/IF(Inputs!$B$39="pvp",15,MAX(0.1,Skills!D15-IF(Skills!E15=TRUE,Inputs!$B$32,0))))+1)),0)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IFERROR(1/IF(Inputs!$B$39="pvp",15,MAX(0.1,Skills!D16-IF(Skills!E16=TRUE,Inputs!$B$32,0))),0)</f>
        <v/>
      </c>
      <c r="R578">
        <f>IF(AND(Inputs!$B$39&lt;&gt;"pvp",Inputs!$B$44&gt;0),IF(Inputs!$B$44&lt;=0,0,(INT(Inputs!$B$44/IF(Inputs!$B$39="pvp",15,MAX(0.1,Skills!D16-IF(Skills!E16=TRUE,Inputs!$B$32,0))))+1)),0)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IFERROR(1/IF(Inputs!$B$39="pvp",15,MAX(0.1,Skills!D19-IF(Skills!E19=TRUE,Inputs!$B$32,0))),0)</f>
        <v/>
      </c>
      <c r="R581">
        <f>IF(AND(Inputs!$B$39&lt;&gt;"pvp",Inputs!$B$44&gt;0),IF(Inputs!$B$44&lt;=0,0,(INT(Inputs!$B$44/IF(Inputs!$B$39="pvp",15,MAX(0.1,Skills!D19-IF(Skills!E19=TRUE,Inputs!$B$32,0))))+1)),0)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IFERROR(1/IF(Inputs!$B$39="pvp",15,MAX(0.1,Skills!D20-IF(Skills!E20=TRUE,Inputs!$B$32,0))),0)</f>
        <v/>
      </c>
      <c r="R582">
        <f>IF(AND(Inputs!$B$39&lt;&gt;"pvp",Inputs!$B$44&gt;0),IF(Inputs!$B$44&lt;=0,0,(INT(Inputs!$B$44/IF(Inputs!$B$39="pvp",15,MAX(0.1,Skills!D20-IF(Skills!E20=TRUE,Inputs!$B$32,0))))+1)),0)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IFERROR(1/IF(Inputs!$B$39="pvp",15,MAX(0.1,Skills!D21-IF(Skills!E21=TRUE,Inputs!$B$32,0))),0)</f>
        <v/>
      </c>
      <c r="R583">
        <f>IF(AND(Inputs!$B$39&lt;&gt;"pvp",Inputs!$B$44&gt;0),IF(Inputs!$B$44&lt;=0,0,(INT(Inputs!$B$44/IF(Inputs!$B$39="pvp",15,MAX(0.1,Skills!D21-IF(Skills!E21=TRUE,Inputs!$B$32,0))))+1)),0)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Skills!Y19*(1+Inputs!$B$34/100))+MIN((Skills!Y19*(1+Inputs!$B$34/100)),MAX(0,Inputs!$B$44-((R581-1)*Skills!D19))))/Inputs!$B$44),IF(Inputs!$B$39="pvp",MIN((Skills!Y19*(1+Inputs!$B$34/100)),15)/15,(Skills!Y19*(1+Inputs!$B$34/100))/Skills!D19)))/150)))/100</f>
        <v/>
      </c>
    </row>
    <row r="596">
      <c r="A596" t="inlineStr">
        <is>
          <t>Alchemic Adrenaline Uptime</t>
        </is>
      </c>
      <c r="B596">
        <f>(Skills!Y6*(1+Inputs!$B$34/100))/((Skills!Y6*(1+Inputs!$B$34/100))+(5/B595))</f>
        <v/>
      </c>
    </row>
    <row r="597">
      <c r="A597" t="inlineStr">
        <is>
          <t>Attack Speed Buff Bonus %</t>
        </is>
      </c>
      <c r="B597">
        <f>((C581=TRUE)*F581*IF(AND(Inputs!$B$39&lt;&gt;"pvp",Inputs!$B$44&gt;0),(((R581-1)*(Skills!Y19*(1+Inputs!$B$34/100))+MIN((Skills!Y19*(1+Inputs!$B$34/100)),MAX(0,Inputs!$B$44-((R581-1)*Skills!D19))))/Inputs!$B$44),IF(Inputs!$B$39="pvp",MIN((Skills!Y19*(1+Inputs!$B$34/100)),15)/15,(Skills!Y19*(1+Inputs!$B$34/100))/Skills!D19)))+((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f>
        <v/>
      </c>
    </row>
    <row r="602">
      <c r="A602" t="inlineStr">
        <is>
          <t>Global Crit Rate Bonus %</t>
        </is>
      </c>
      <c r="B602">
        <f>IF(Inputs!$B$3&gt;=47,8,0)+((C582=TRUE)*F582*IF(AND(Inputs!$B$39&lt;&gt;"pvp",Inputs!$B$44&gt;0),(((R582-1)*(Skills!Y20*(1+Inputs!$B$34/100))+MIN((Skills!Y20*(1+Inputs!$B$34/100)),MAX(0,Inputs!$B$44-((R582-1)*Skills!D20))))/Inputs!$B$44),IF(Inputs!$B$39="pvp",MIN((Skills!Y20*(1+Inputs!$B$34/100)),15)/15,(Skills!Y20*(1+Inputs!$B$34/100))/Skills!D20)))</f>
        <v/>
      </c>
    </row>
    <row r="603">
      <c r="A603" t="inlineStr">
        <is>
          <t>Global Monster Damage-Taken Bonus %</t>
        </is>
      </c>
      <c r="B603">
        <f>IF(Inputs!$B$3&gt;=82,15,0)+((C578=TRUE)*F578*IF(AND(Inputs!$B$39&lt;&gt;"pvp",Inputs!$B$44&gt;0),(((R578-1)*(Skills!Y16*(1+Inputs!$B$34/100))+MIN((Skills!Y16*(1+Inputs!$B$34/100)),MAX(0,Inputs!$B$44-((R578-1)*Skills!D16))))/Inputs!$B$44),IF(Inputs!$B$39="pvp",MIN((Skills!Y16*(1+Inputs!$B$34/100)),15)/15,(Skills!Y16*(1+Inputs!$B$34/100))/Skills!D16)))</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Skills!Y16*(1+Inputs!$B$34/100))+MIN((Skills!Y16*(1+Inputs!$B$34/100)),MAX(0,Inputs!$B$44-((R578-1)*Skills!D16))))/Inputs!$B$44),IF(Inputs!$B$39="pvp",MIN((Skills!Y16*(1+Inputs!$B$34/100)),15)/15,(Skills!Y16*(1+Inputs!$B$34/100))/Skills!D16))</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IFERROR(1/IF(Inputs!$B$39="pvp",15,MAX(0.1,Skills!D3-IF(Skills!E3=TRUE,Inputs!$B$32,0))),0)</f>
        <v/>
      </c>
      <c r="R614">
        <f>IF(AND(Inputs!$B$39&lt;&gt;"pvp",Inputs!$B$44&gt;0),IF(MAX(0,Inputs!$B$44-B656)&lt;=0,0,(INT(MAX(0,Inputs!$B$44-B656)/IF(Inputs!$B$39="pvp",15,MAX(0.1,Skills!D3-IF(Skills!E3=TRUE,Inputs!$B$32,0))))+1)),0)</f>
        <v/>
      </c>
      <c r="S614">
        <f>IFERROR(O614/N614,0)</f>
        <v/>
      </c>
      <c r="T614">
        <f>IF(C614,(H614*N614*IF(AND(Inputs!$B$39&lt;&gt;"pvp",Inputs!$B$44&gt;0),((Skills!G3*((R614-1)*IF(Skills!H3&gt;0,Skills!I3/Skills!H3,1)+IF(Skills!H3&gt;0,MIN(Skills!I3,MAX(0,MAX(0,Inputs!$B$44-B656)-((R614-1)*IF(Inputs!$B$39="pvp",15,MAX(0.1,Skills!D3-IF(Skills!E3=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Skills!E3=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Inputs!$B$3&gt;=40</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IFERROR(1/IF(Inputs!$B$39="pvp",15,MAX(0.1,Skills!D4-IF(Skills!E4=TRUE,Inputs!$B$32,0))),0)</f>
        <v/>
      </c>
      <c r="R615">
        <f>IF(AND(Inputs!$B$39&lt;&gt;"pvp",Inputs!$B$44&gt;0),IF(MAX(0,Inputs!$B$44-B656)&lt;=0,0,(INT(MAX(0,Inputs!$B$44-B656)/IF(Inputs!$B$39="pvp",15,MAX(0.1,Skills!D4-IF(Skills!E4=TRUE,Inputs!$B$32,0))))+1)),0)</f>
        <v/>
      </c>
      <c r="S615">
        <f>IFERROR(O615/N615,0)</f>
        <v/>
      </c>
      <c r="T615">
        <f>IF(C615,(H615*N615*IF(AND(Inputs!$B$39&lt;&gt;"pvp",Inputs!$B$44&gt;0),((Skills!G4*((R615-1)*IF(Skills!H4&gt;0,Skills!I4/Skills!H4,1)+IF(Skills!H4&gt;0,MIN(Skills!I4,MAX(0,MAX(0,Inputs!$B$44-B656)-((R615-1)*IF(Inputs!$B$39="pvp",15,MAX(0.1,Skills!D4-IF(Skills!E4=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Skills!E4=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IFERROR(1/IF(Inputs!$B$39="pvp",15,MAX(0.1,Skills!D5-IF(Skills!E5=TRUE,Inputs!$B$32,0))),0)</f>
        <v/>
      </c>
      <c r="R616">
        <f>IF(AND(Inputs!$B$39&lt;&gt;"pvp",Inputs!$B$44&gt;0),IF(MAX(0,Inputs!$B$44-B656)&lt;=0,0,(INT(MAX(0,Inputs!$B$44-B656)/IF(Inputs!$B$39="pvp",15,MAX(0.1,Skills!D5-IF(Skills!E5=TRUE,Inputs!$B$32,0))))+1)),0)</f>
        <v/>
      </c>
      <c r="S616">
        <f>IFERROR(O616/N616,0)</f>
        <v/>
      </c>
      <c r="T616">
        <f>IF(C616,(H616*N616*IF(AND(Inputs!$B$39&lt;&gt;"pvp",Inputs!$B$44&gt;0),((Skills!G5*((R616-1)*IF(Skills!H5&gt;0,Skills!I5/Skills!H5,1)+IF(Skills!H5&gt;0,MIN(Skills!I5,MAX(0,MAX(0,Inputs!$B$44-B656)-((R616-1)*IF(Inputs!$B$39="pvp",15,MAX(0.1,Skills!D5-IF(Skills!E5=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Skills!E5=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IFERROR(1/IF(Inputs!$B$39="pvp",15,MAX(0.1,Skills!D8-IF(Skills!E8=TRUE,Inputs!$B$32,0))),0)</f>
        <v/>
      </c>
      <c r="R619">
        <f>IF(AND(Inputs!$B$39&lt;&gt;"pvp",Inputs!$B$44&gt;0),IF(MAX(0,Inputs!$B$44-B656)&lt;=0,0,(INT(MAX(0,Inputs!$B$44-B656)/IF(Inputs!$B$39="pvp",15,MAX(0.1,Skills!D8-IF(Skills!E8=TRUE,Inputs!$B$32,0))))+1)),0)</f>
        <v/>
      </c>
      <c r="S619">
        <f>IFERROR(O619/N619,0)</f>
        <v/>
      </c>
      <c r="T619">
        <f>IF(C619,(H619*N619*IF(AND(Inputs!$B$39&lt;&gt;"pvp",Inputs!$B$44&gt;0),((Skills!G8*((R619-1)*IF(Skills!H8&gt;0,Skills!I8/Skills!H8,1)+IF(Skills!H8&gt;0,MIN(Skills!I8,MAX(0,MAX(0,Inputs!$B$44-B656)-((R619-1)*IF(Inputs!$B$39="pvp",15,MAX(0.1,Skills!D8-IF(Skills!E8=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Skills!E8=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Inputs!$B$3&gt;=72</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IFERROR(1/IF(Inputs!$B$39="pvp",15,MAX(0.1,Skills!D9-IF(Skills!E9=TRUE,Inputs!$B$32,0))),0)</f>
        <v/>
      </c>
      <c r="R620">
        <f>IF(AND(Inputs!$B$39&lt;&gt;"pvp",Inputs!$B$44&gt;0),IF(MAX(0,Inputs!$B$44-B656)&lt;=0,0,(INT(MAX(0,Inputs!$B$44-B656)/IF(Inputs!$B$39="pvp",15,MAX(0.1,Skills!D9-IF(Skills!E9=TRUE,Inputs!$B$32,0))))+1)),0)</f>
        <v/>
      </c>
      <c r="S620">
        <f>IFERROR(O620/N620,0)</f>
        <v/>
      </c>
      <c r="T620">
        <f>IF(C620,(H620*N620*IF(AND(Inputs!$B$39&lt;&gt;"pvp",Inputs!$B$44&gt;0),((Skills!G9*((R620-1)*IF(Skills!H9&gt;0,Skills!I9/Skills!H9,1)+IF(Skills!H9&gt;0,MIN(Skills!I9,MAX(0,MAX(0,Inputs!$B$44-B656)-((R620-1)*IF(Inputs!$B$39="pvp",15,MAX(0.1,Skills!D9-IF(Skills!E9=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Skills!E9=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IFERROR(1/IF(Inputs!$B$39="pvp",15,MAX(0.1,Skills!D12-IF(Skills!E12=TRUE,Inputs!$B$32,0))),0)</f>
        <v/>
      </c>
      <c r="R623">
        <f>IF(AND(Inputs!$B$39&lt;&gt;"pvp",Inputs!$B$44&gt;0),IF(MAX(0,Inputs!$B$44-B656)&lt;=0,0,(INT(MAX(0,Inputs!$B$44-B656)/IF(Inputs!$B$39="pvp",15,MAX(0.1,Skills!D12-IF(Skills!E12=TRUE,Inputs!$B$32,0))))+1)),0)</f>
        <v/>
      </c>
      <c r="S623">
        <f>IFERROR(O623/N623,0)</f>
        <v/>
      </c>
      <c r="T623">
        <f>IF(C623,(H623*N623*IF(AND(Inputs!$B$39&lt;&gt;"pvp",Inputs!$B$44&gt;0),((Skills!G12*((R623-1)*IF(Skills!H12&gt;0,Skills!I12/Skills!H12,1)+IF(Skills!H12&gt;0,MIN(Skills!I12,MAX(0,MAX(0,Inputs!$B$44-B656)-((R623-1)*IF(Inputs!$B$39="pvp",15,MAX(0.1,Skills!D12-IF(Skills!E12=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Skills!E12=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IFERROR(1/IF(Inputs!$B$39="pvp",15,MAX(0.1,Skills!D13-IF(Skills!E13=TRUE,Inputs!$B$32,0))),0)</f>
        <v/>
      </c>
      <c r="R624">
        <f>IF(AND(Inputs!$B$39&lt;&gt;"pvp",Inputs!$B$44&gt;0),IF(MAX(0,Inputs!$B$44-B656)&lt;=0,0,(INT(MAX(0,Inputs!$B$44-B656)/IF(Inputs!$B$39="pvp",15,MAX(0.1,Skills!D13-IF(Skills!E13=TRUE,Inputs!$B$32,0))))+1)),0)</f>
        <v/>
      </c>
      <c r="S624">
        <f>IFERROR(O624/N624,0)</f>
        <v/>
      </c>
      <c r="T624">
        <f>IF(C624,(H624*N624*IF(AND(Inputs!$B$39&lt;&gt;"pvp",Inputs!$B$44&gt;0),((Skills!G13*((R624-1)*IF(Skills!H13&gt;0,Skills!I13/Skills!H13,1)+IF(Skills!H13&gt;0,MIN(Skills!I13,MAX(0,MAX(0,Inputs!$B$44-B656)-((R624-1)*IF(Inputs!$B$39="pvp",15,MAX(0.1,Skills!D13-IF(Skills!E13=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Skills!E13=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IFERROR(1/IF(Inputs!$B$39="pvp",15,MAX(0.1,Skills!D14-IF(Skills!E14=TRUE,Inputs!$B$32,0))),0)</f>
        <v/>
      </c>
      <c r="R625">
        <f>IF(AND(Inputs!$B$39&lt;&gt;"pvp",Inputs!$B$44&gt;0),IF(MAX(0,Inputs!$B$44-B656)&lt;=0,0,(INT(MAX(0,Inputs!$B$44-B656)/IF(Inputs!$B$39="pvp",15,MAX(0.1,Skills!D14-IF(Skills!E14=TRUE,Inputs!$B$32,0))))+1)),0)</f>
        <v/>
      </c>
      <c r="S625">
        <f>IFERROR(O625/N625,0)</f>
        <v/>
      </c>
      <c r="T625">
        <f>IF(C625,(H625*N625*IF(AND(Inputs!$B$39&lt;&gt;"pvp",Inputs!$B$44&gt;0),((Skills!G14*((R625-1)*IF(Skills!H14&gt;0,Skills!I14/Skills!H14,1)+IF(Skills!H14&gt;0,MIN(Skills!I14,MAX(0,MAX(0,Inputs!$B$44-B656)-((R625-1)*IF(Inputs!$B$39="pvp",15,MAX(0.1,Skills!D14-IF(Skills!E14=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Skills!E14=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IFERROR(1/IF(Inputs!$B$39="pvp",15,MAX(0.1,Skills!D15-IF(Skills!E15=TRUE,Inputs!$B$32,0))),0)</f>
        <v/>
      </c>
      <c r="R626">
        <f>IF(AND(Inputs!$B$39&lt;&gt;"pvp",Inputs!$B$44&gt;0),IF(Inputs!$B$44&lt;=0,0,(INT(Inputs!$B$44/IF(Inputs!$B$39="pvp",15,MAX(0.1,Skills!D15-IF(Skills!E15=TRUE,Inputs!$B$32,0))))+1)),0)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IFERROR(1/IF(Inputs!$B$39="pvp",15,MAX(0.1,Skills!D16-IF(Skills!E16=TRUE,Inputs!$B$32,0))),0)</f>
        <v/>
      </c>
      <c r="R627">
        <f>IF(AND(Inputs!$B$39&lt;&gt;"pvp",Inputs!$B$44&gt;0),IF(Inputs!$B$44&lt;=0,0,(INT(Inputs!$B$44/IF(Inputs!$B$39="pvp",15,MAX(0.1,Skills!D16-IF(Skills!E16=TRUE,Inputs!$B$32,0))))+1)),0)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IFERROR(1/IF(Inputs!$B$39="pvp",15,MAX(0.1,Skills!D19-IF(Skills!E19=TRUE,Inputs!$B$32,0))),0)</f>
        <v/>
      </c>
      <c r="R630">
        <f>IF(AND(Inputs!$B$39&lt;&gt;"pvp",Inputs!$B$44&gt;0),IF(Inputs!$B$44&lt;=0,0,(INT(Inputs!$B$44/IF(Inputs!$B$39="pvp",15,MAX(0.1,Skills!D19-IF(Skills!E19=TRUE,Inputs!$B$32,0))))+1)),0)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IFERROR(1/IF(Inputs!$B$39="pvp",15,MAX(0.1,Skills!D20-IF(Skills!E20=TRUE,Inputs!$B$32,0))),0)</f>
        <v/>
      </c>
      <c r="R631">
        <f>IF(AND(Inputs!$B$39&lt;&gt;"pvp",Inputs!$B$44&gt;0),IF(Inputs!$B$44&lt;=0,0,(INT(Inputs!$B$44/IF(Inputs!$B$39="pvp",15,MAX(0.1,Skills!D20-IF(Skills!E20=TRUE,Inputs!$B$32,0))))+1)),0)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IFERROR(1/IF(Inputs!$B$39="pvp",15,MAX(0.1,Skills!D21-IF(Skills!E21=TRUE,Inputs!$B$32,0))),0)</f>
        <v/>
      </c>
      <c r="R632">
        <f>IF(AND(Inputs!$B$39&lt;&gt;"pvp",Inputs!$B$44&gt;0),IF(Inputs!$B$44&lt;=0,0,(INT(Inputs!$B$44/IF(Inputs!$B$39="pvp",15,MAX(0.1,Skills!D21-IF(Skills!E21=TRUE,Inputs!$B$32,0))))+1)),0)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Skills!Y19*(1+Inputs!$B$34/100))+MIN((Skills!Y19*(1+Inputs!$B$34/100)),MAX(0,Inputs!$B$44-((R630-1)*Skills!D19))))/Inputs!$B$44),IF(Inputs!$B$39="pvp",MIN((Skills!Y19*(1+Inputs!$B$34/100)),15)/15,(Skills!Y19*(1+Inputs!$B$34/100))/Skills!D19)))/150)))/100</f>
        <v/>
      </c>
    </row>
    <row r="645">
      <c r="A645" t="inlineStr">
        <is>
          <t>Alchemic Adrenaline Uptime</t>
        </is>
      </c>
      <c r="B645">
        <f>(Skills!Y6*(1+Inputs!$B$34/100))/((Skills!Y6*(1+Inputs!$B$34/100))+(5/B644))</f>
        <v/>
      </c>
    </row>
    <row r="646">
      <c r="A646" t="inlineStr">
        <is>
          <t>Attack Speed Buff Bonus %</t>
        </is>
      </c>
      <c r="B646">
        <f>((C630=TRUE)*F630*IF(AND(Inputs!$B$39&lt;&gt;"pvp",Inputs!$B$44&gt;0),(((R630-1)*(Skills!Y19*(1+Inputs!$B$34/100))+MIN((Skills!Y19*(1+Inputs!$B$34/100)),MAX(0,Inputs!$B$44-((R630-1)*Skills!D19))))/Inputs!$B$44),IF(Inputs!$B$39="pvp",MIN((Skills!Y19*(1+Inputs!$B$34/100)),15)/15,(Skills!Y19*(1+Inputs!$B$34/100))/Skills!D19)))+((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f>
        <v/>
      </c>
    </row>
    <row r="651">
      <c r="A651" t="inlineStr">
        <is>
          <t>Global Crit Rate Bonus %</t>
        </is>
      </c>
      <c r="B651">
        <f>IF(Inputs!$B$3&gt;=47,8,0)+((C631=TRUE)*F631*IF(AND(Inputs!$B$39&lt;&gt;"pvp",Inputs!$B$44&gt;0),(((R631-1)*(Skills!Y20*(1+Inputs!$B$34/100))+MIN((Skills!Y20*(1+Inputs!$B$34/100)),MAX(0,Inputs!$B$44-((R631-1)*Skills!D20))))/Inputs!$B$44),IF(Inputs!$B$39="pvp",MIN((Skills!Y20*(1+Inputs!$B$34/100)),15)/15,(Skills!Y20*(1+Inputs!$B$34/100))/Skills!D20)))</f>
        <v/>
      </c>
    </row>
    <row r="652">
      <c r="A652" t="inlineStr">
        <is>
          <t>Global Monster Damage-Taken Bonus %</t>
        </is>
      </c>
      <c r="B652">
        <f>IF(Inputs!$B$3&gt;=82,15,0)+((C627=TRUE)*F627*IF(AND(Inputs!$B$39&lt;&gt;"pvp",Inputs!$B$44&gt;0),(((R627-1)*(Skills!Y16*(1+Inputs!$B$34/100))+MIN((Skills!Y16*(1+Inputs!$B$34/100)),MAX(0,Inputs!$B$44-((R627-1)*Skills!D16))))/Inputs!$B$44),IF(Inputs!$B$39="pvp",MIN((Skills!Y16*(1+Inputs!$B$34/100)),15)/15,(Skills!Y16*(1+Inputs!$B$34/100))/Skills!D16)))</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Skills!Y16*(1+Inputs!$B$34/100))+MIN((Skills!Y16*(1+Inputs!$B$34/100)),MAX(0,Inputs!$B$44-((R627-1)*Skills!D16))))/Inputs!$B$44),IF(Inputs!$B$39="pvp",MIN((Skills!Y16*(1+Inputs!$B$34/100)),15)/15,(Skills!Y16*(1+Inputs!$B$34/100))/Skills!D16))</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IFERROR(1/IF(Inputs!$B$39="pvp",15,MAX(0.1,Skills!D3-IF(Skills!E3=TRUE,Inputs!$B$32,0))),0)</f>
        <v/>
      </c>
      <c r="R663">
        <f>IF(AND(Inputs!$B$39&lt;&gt;"pvp",Inputs!$B$44&gt;0),IF(MAX(0,Inputs!$B$44-B705)&lt;=0,0,(INT(MAX(0,Inputs!$B$44-B705)/IF(Inputs!$B$39="pvp",15,MAX(0.1,Skills!D3-IF(Skills!E3=TRUE,Inputs!$B$32,0))))+1)),0)</f>
        <v/>
      </c>
      <c r="S663">
        <f>IFERROR(O663/N663,0)</f>
        <v/>
      </c>
      <c r="T663">
        <f>IF(C663,(H663*N663*IF(AND(Inputs!$B$39&lt;&gt;"pvp",Inputs!$B$44&gt;0),((Skills!G3*((R663-1)*IF(Skills!H3&gt;0,Skills!I3/Skills!H3,1)+IF(Skills!H3&gt;0,MIN(Skills!I3,MAX(0,MAX(0,Inputs!$B$44-B705)-((R663-1)*IF(Inputs!$B$39="pvp",15,MAX(0.1,Skills!D3-IF(Skills!E3=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Skills!E3=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Inputs!$B$3&gt;=40</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IFERROR(1/IF(Inputs!$B$39="pvp",15,MAX(0.1,Skills!D4-IF(Skills!E4=TRUE,Inputs!$B$32,0))),0)</f>
        <v/>
      </c>
      <c r="R664">
        <f>IF(AND(Inputs!$B$39&lt;&gt;"pvp",Inputs!$B$44&gt;0),IF(MAX(0,Inputs!$B$44-B705)&lt;=0,0,(INT(MAX(0,Inputs!$B$44-B705)/IF(Inputs!$B$39="pvp",15,MAX(0.1,Skills!D4-IF(Skills!E4=TRUE,Inputs!$B$32,0))))+1)),0)</f>
        <v/>
      </c>
      <c r="S664">
        <f>IFERROR(O664/N664,0)</f>
        <v/>
      </c>
      <c r="T664">
        <f>IF(C664,(H664*N664*IF(AND(Inputs!$B$39&lt;&gt;"pvp",Inputs!$B$44&gt;0),((Skills!G4*((R664-1)*IF(Skills!H4&gt;0,Skills!I4/Skills!H4,1)+IF(Skills!H4&gt;0,MIN(Skills!I4,MAX(0,MAX(0,Inputs!$B$44-B705)-((R664-1)*IF(Inputs!$B$39="pvp",15,MAX(0.1,Skills!D4-IF(Skills!E4=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Skills!E4=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IFERROR(1/IF(Inputs!$B$39="pvp",15,MAX(0.1,Skills!D5-IF(Skills!E5=TRUE,Inputs!$B$32,0))),0)</f>
        <v/>
      </c>
      <c r="R665">
        <f>IF(AND(Inputs!$B$39&lt;&gt;"pvp",Inputs!$B$44&gt;0),IF(MAX(0,Inputs!$B$44-B705)&lt;=0,0,(INT(MAX(0,Inputs!$B$44-B705)/IF(Inputs!$B$39="pvp",15,MAX(0.1,Skills!D5-IF(Skills!E5=TRUE,Inputs!$B$32,0))))+1)),0)</f>
        <v/>
      </c>
      <c r="S665">
        <f>IFERROR(O665/N665,0)</f>
        <v/>
      </c>
      <c r="T665">
        <f>IF(C665,(H665*N665*IF(AND(Inputs!$B$39&lt;&gt;"pvp",Inputs!$B$44&gt;0),((Skills!G5*((R665-1)*IF(Skills!H5&gt;0,Skills!I5/Skills!H5,1)+IF(Skills!H5&gt;0,MIN(Skills!I5,MAX(0,MAX(0,Inputs!$B$44-B705)-((R665-1)*IF(Inputs!$B$39="pvp",15,MAX(0.1,Skills!D5-IF(Skills!E5=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Skills!E5=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IFERROR(1/IF(Inputs!$B$39="pvp",15,MAX(0.1,Skills!D8-IF(Skills!E8=TRUE,Inputs!$B$32,0))),0)</f>
        <v/>
      </c>
      <c r="R668">
        <f>IF(AND(Inputs!$B$39&lt;&gt;"pvp",Inputs!$B$44&gt;0),IF(MAX(0,Inputs!$B$44-B705)&lt;=0,0,(INT(MAX(0,Inputs!$B$44-B705)/IF(Inputs!$B$39="pvp",15,MAX(0.1,Skills!D8-IF(Skills!E8=TRUE,Inputs!$B$32,0))))+1)),0)</f>
        <v/>
      </c>
      <c r="S668">
        <f>IFERROR(O668/N668,0)</f>
        <v/>
      </c>
      <c r="T668">
        <f>IF(C668,(H668*N668*IF(AND(Inputs!$B$39&lt;&gt;"pvp",Inputs!$B$44&gt;0),((Skills!G8*((R668-1)*IF(Skills!H8&gt;0,Skills!I8/Skills!H8,1)+IF(Skills!H8&gt;0,MIN(Skills!I8,MAX(0,MAX(0,Inputs!$B$44-B705)-((R668-1)*IF(Inputs!$B$39="pvp",15,MAX(0.1,Skills!D8-IF(Skills!E8=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Skills!E8=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Inputs!$B$3&gt;=72</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IFERROR(1/IF(Inputs!$B$39="pvp",15,MAX(0.1,Skills!D9-IF(Skills!E9=TRUE,Inputs!$B$32,0))),0)</f>
        <v/>
      </c>
      <c r="R669">
        <f>IF(AND(Inputs!$B$39&lt;&gt;"pvp",Inputs!$B$44&gt;0),IF(MAX(0,Inputs!$B$44-B705)&lt;=0,0,(INT(MAX(0,Inputs!$B$44-B705)/IF(Inputs!$B$39="pvp",15,MAX(0.1,Skills!D9-IF(Skills!E9=TRUE,Inputs!$B$32,0))))+1)),0)</f>
        <v/>
      </c>
      <c r="S669">
        <f>IFERROR(O669/N669,0)</f>
        <v/>
      </c>
      <c r="T669">
        <f>IF(C669,(H669*N669*IF(AND(Inputs!$B$39&lt;&gt;"pvp",Inputs!$B$44&gt;0),((Skills!G9*((R669-1)*IF(Skills!H9&gt;0,Skills!I9/Skills!H9,1)+IF(Skills!H9&gt;0,MIN(Skills!I9,MAX(0,MAX(0,Inputs!$B$44-B705)-((R669-1)*IF(Inputs!$B$39="pvp",15,MAX(0.1,Skills!D9-IF(Skills!E9=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Skills!E9=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IFERROR(1/IF(Inputs!$B$39="pvp",15,MAX(0.1,Skills!D12-IF(Skills!E12=TRUE,Inputs!$B$32,0))),0)</f>
        <v/>
      </c>
      <c r="R672">
        <f>IF(AND(Inputs!$B$39&lt;&gt;"pvp",Inputs!$B$44&gt;0),IF(MAX(0,Inputs!$B$44-B705)&lt;=0,0,(INT(MAX(0,Inputs!$B$44-B705)/IF(Inputs!$B$39="pvp",15,MAX(0.1,Skills!D12-IF(Skills!E12=TRUE,Inputs!$B$32,0))))+1)),0)</f>
        <v/>
      </c>
      <c r="S672">
        <f>IFERROR(O672/N672,0)</f>
        <v/>
      </c>
      <c r="T672">
        <f>IF(C672,(H672*N672*IF(AND(Inputs!$B$39&lt;&gt;"pvp",Inputs!$B$44&gt;0),((Skills!G12*((R672-1)*IF(Skills!H12&gt;0,Skills!I12/Skills!H12,1)+IF(Skills!H12&gt;0,MIN(Skills!I12,MAX(0,MAX(0,Inputs!$B$44-B705)-((R672-1)*IF(Inputs!$B$39="pvp",15,MAX(0.1,Skills!D12-IF(Skills!E12=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Skills!E12=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IFERROR(1/IF(Inputs!$B$39="pvp",15,MAX(0.1,Skills!D13-IF(Skills!E13=TRUE,Inputs!$B$32,0))),0)</f>
        <v/>
      </c>
      <c r="R673">
        <f>IF(AND(Inputs!$B$39&lt;&gt;"pvp",Inputs!$B$44&gt;0),IF(MAX(0,Inputs!$B$44-B705)&lt;=0,0,(INT(MAX(0,Inputs!$B$44-B705)/IF(Inputs!$B$39="pvp",15,MAX(0.1,Skills!D13-IF(Skills!E13=TRUE,Inputs!$B$32,0))))+1)),0)</f>
        <v/>
      </c>
      <c r="S673">
        <f>IFERROR(O673/N673,0)</f>
        <v/>
      </c>
      <c r="T673">
        <f>IF(C673,(H673*N673*IF(AND(Inputs!$B$39&lt;&gt;"pvp",Inputs!$B$44&gt;0),((Skills!G13*((R673-1)*IF(Skills!H13&gt;0,Skills!I13/Skills!H13,1)+IF(Skills!H13&gt;0,MIN(Skills!I13,MAX(0,MAX(0,Inputs!$B$44-B705)-((R673-1)*IF(Inputs!$B$39="pvp",15,MAX(0.1,Skills!D13-IF(Skills!E13=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Skills!E13=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IFERROR(1/IF(Inputs!$B$39="pvp",15,MAX(0.1,Skills!D14-IF(Skills!E14=TRUE,Inputs!$B$32,0))),0)</f>
        <v/>
      </c>
      <c r="R674">
        <f>IF(AND(Inputs!$B$39&lt;&gt;"pvp",Inputs!$B$44&gt;0),IF(MAX(0,Inputs!$B$44-B705)&lt;=0,0,(INT(MAX(0,Inputs!$B$44-B705)/IF(Inputs!$B$39="pvp",15,MAX(0.1,Skills!D14-IF(Skills!E14=TRUE,Inputs!$B$32,0))))+1)),0)</f>
        <v/>
      </c>
      <c r="S674">
        <f>IFERROR(O674/N674,0)</f>
        <v/>
      </c>
      <c r="T674">
        <f>IF(C674,(H674*N674*IF(AND(Inputs!$B$39&lt;&gt;"pvp",Inputs!$B$44&gt;0),((Skills!G14*((R674-1)*IF(Skills!H14&gt;0,Skills!I14/Skills!H14,1)+IF(Skills!H14&gt;0,MIN(Skills!I14,MAX(0,MAX(0,Inputs!$B$44-B705)-((R674-1)*IF(Inputs!$B$39="pvp",15,MAX(0.1,Skills!D14-IF(Skills!E14=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Skills!E14=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IFERROR(1/IF(Inputs!$B$39="pvp",15,MAX(0.1,Skills!D15-IF(Skills!E15=TRUE,Inputs!$B$32,0))),0)</f>
        <v/>
      </c>
      <c r="R675">
        <f>IF(AND(Inputs!$B$39&lt;&gt;"pvp",Inputs!$B$44&gt;0),IF(Inputs!$B$44&lt;=0,0,(INT(Inputs!$B$44/IF(Inputs!$B$39="pvp",15,MAX(0.1,Skills!D15-IF(Skills!E15=TRUE,Inputs!$B$32,0))))+1)),0)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IFERROR(1/IF(Inputs!$B$39="pvp",15,MAX(0.1,Skills!D16-IF(Skills!E16=TRUE,Inputs!$B$32,0))),0)</f>
        <v/>
      </c>
      <c r="R676">
        <f>IF(AND(Inputs!$B$39&lt;&gt;"pvp",Inputs!$B$44&gt;0),IF(Inputs!$B$44&lt;=0,0,(INT(Inputs!$B$44/IF(Inputs!$B$39="pvp",15,MAX(0.1,Skills!D16-IF(Skills!E16=TRUE,Inputs!$B$32,0))))+1)),0)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IFERROR(1/IF(Inputs!$B$39="pvp",15,MAX(0.1,Skills!D19-IF(Skills!E19=TRUE,Inputs!$B$32,0))),0)</f>
        <v/>
      </c>
      <c r="R679">
        <f>IF(AND(Inputs!$B$39&lt;&gt;"pvp",Inputs!$B$44&gt;0),IF(Inputs!$B$44&lt;=0,0,(INT(Inputs!$B$44/IF(Inputs!$B$39="pvp",15,MAX(0.1,Skills!D19-IF(Skills!E19=TRUE,Inputs!$B$32,0))))+1)),0)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IFERROR(1/IF(Inputs!$B$39="pvp",15,MAX(0.1,Skills!D20-IF(Skills!E20=TRUE,Inputs!$B$32,0))),0)</f>
        <v/>
      </c>
      <c r="R680">
        <f>IF(AND(Inputs!$B$39&lt;&gt;"pvp",Inputs!$B$44&gt;0),IF(Inputs!$B$44&lt;=0,0,(INT(Inputs!$B$44/IF(Inputs!$B$39="pvp",15,MAX(0.1,Skills!D20-IF(Skills!E20=TRUE,Inputs!$B$32,0))))+1)),0)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IFERROR(1/IF(Inputs!$B$39="pvp",15,MAX(0.1,Skills!D21-IF(Skills!E21=TRUE,Inputs!$B$32,0))),0)</f>
        <v/>
      </c>
      <c r="R681">
        <f>IF(AND(Inputs!$B$39&lt;&gt;"pvp",Inputs!$B$44&gt;0),IF(Inputs!$B$44&lt;=0,0,(INT(Inputs!$B$44/IF(Inputs!$B$39="pvp",15,MAX(0.1,Skills!D21-IF(Skills!E21=TRUE,Inputs!$B$32,0))))+1)),0)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Skills!Y19*(1+Inputs!$B$34/100))+MIN((Skills!Y19*(1+Inputs!$B$34/100)),MAX(0,Inputs!$B$44-((R679-1)*Skills!D19))))/Inputs!$B$44),IF(Inputs!$B$39="pvp",MIN((Skills!Y19*(1+Inputs!$B$34/100)),15)/15,(Skills!Y19*(1+Inputs!$B$34/100))/Skills!D19)))/150)))/100</f>
        <v/>
      </c>
    </row>
    <row r="694">
      <c r="A694" t="inlineStr">
        <is>
          <t>Alchemic Adrenaline Uptime</t>
        </is>
      </c>
      <c r="B694">
        <f>(Skills!Y6*(1+Inputs!$B$34/100))/((Skills!Y6*(1+Inputs!$B$34/100))+(5/B693))</f>
        <v/>
      </c>
    </row>
    <row r="695">
      <c r="A695" t="inlineStr">
        <is>
          <t>Attack Speed Buff Bonus %</t>
        </is>
      </c>
      <c r="B695">
        <f>((C679=TRUE)*F679*IF(AND(Inputs!$B$39&lt;&gt;"pvp",Inputs!$B$44&gt;0),(((R679-1)*(Skills!Y19*(1+Inputs!$B$34/100))+MIN((Skills!Y19*(1+Inputs!$B$34/100)),MAX(0,Inputs!$B$44-((R679-1)*Skills!D19))))/Inputs!$B$44),IF(Inputs!$B$39="pvp",MIN((Skills!Y19*(1+Inputs!$B$34/100)),15)/15,(Skills!Y19*(1+Inputs!$B$34/100))/Skills!D19)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f>
        <v/>
      </c>
    </row>
    <row r="700">
      <c r="A700" t="inlineStr">
        <is>
          <t>Global Crit Rate Bonus %</t>
        </is>
      </c>
      <c r="B700">
        <f>IF(Inputs!$B$3&gt;=47,8,0)+((C680=TRUE)*F680*IF(AND(Inputs!$B$39&lt;&gt;"pvp",Inputs!$B$44&gt;0),(((R680-1)*(Skills!Y20*(1+Inputs!$B$34/100))+MIN((Skills!Y20*(1+Inputs!$B$34/100)),MAX(0,Inputs!$B$44-((R680-1)*Skills!D20))))/Inputs!$B$44),IF(Inputs!$B$39="pvp",MIN((Skills!Y20*(1+Inputs!$B$34/100)),15)/15,(Skills!Y20*(1+Inputs!$B$34/100))/Skills!D20)))</f>
        <v/>
      </c>
    </row>
    <row r="701">
      <c r="A701" t="inlineStr">
        <is>
          <t>Global Monster Damage-Taken Bonus %</t>
        </is>
      </c>
      <c r="B701">
        <f>IF(Inputs!$B$3&gt;=82,15,0)+((C676=TRUE)*F676*IF(AND(Inputs!$B$39&lt;&gt;"pvp",Inputs!$B$44&gt;0),(((R676-1)*(Skills!Y16*(1+Inputs!$B$34/100))+MIN((Skills!Y16*(1+Inputs!$B$34/100)),MAX(0,Inputs!$B$44-((R676-1)*Skills!D16))))/Inputs!$B$44),IF(Inputs!$B$39="pvp",MIN((Skills!Y16*(1+Inputs!$B$34/100)),15)/15,(Skills!Y16*(1+Inputs!$B$34/100))/Skills!D16)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Skills!Y16*(1+Inputs!$B$34/100))+MIN((Skills!Y16*(1+Inputs!$B$34/100)),MAX(0,Inputs!$B$44-((R676-1)*Skills!D16))))/Inputs!$B$44),IF(Inputs!$B$39="pvp",MIN((Skills!Y16*(1+Inputs!$B$34/100)),15)/15,(Skills!Y16*(1+Inputs!$B$34/100))/Skills!D16)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IFERROR(1/IF(Inputs!$B$39="pvp",15,MAX(0.1,Skills!D3-IF(Skills!E3=TRUE,Inputs!$B$32,0))),0)</f>
        <v/>
      </c>
      <c r="R712">
        <f>IF(AND(Inputs!$B$39&lt;&gt;"pvp",Inputs!$B$44&gt;0),IF(MAX(0,Inputs!$B$44-B754)&lt;=0,0,(INT(MAX(0,Inputs!$B$44-B754)/IF(Inputs!$B$39="pvp",15,MAX(0.1,Skills!D3-IF(Skills!E3=TRUE,Inputs!$B$32,0))))+1)),0)</f>
        <v/>
      </c>
      <c r="S712">
        <f>IFERROR(O712/N712,0)</f>
        <v/>
      </c>
      <c r="T712">
        <f>IF(C712,(H712*N712*IF(AND(Inputs!$B$39&lt;&gt;"pvp",Inputs!$B$44&gt;0),((Skills!G3*((R712-1)*IF(Skills!H3&gt;0,Skills!I3/Skills!H3,1)+IF(Skills!H3&gt;0,MIN(Skills!I3,MAX(0,MAX(0,Inputs!$B$44-B754)-((R712-1)*IF(Inputs!$B$39="pvp",15,MAX(0.1,Skills!D3-IF(Skills!E3=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Skills!E3=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Inputs!$B$3&gt;=40</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IFERROR(1/IF(Inputs!$B$39="pvp",15,MAX(0.1,Skills!D4-IF(Skills!E4=TRUE,Inputs!$B$32,0))),0)</f>
        <v/>
      </c>
      <c r="R713">
        <f>IF(AND(Inputs!$B$39&lt;&gt;"pvp",Inputs!$B$44&gt;0),IF(MAX(0,Inputs!$B$44-B754)&lt;=0,0,(INT(MAX(0,Inputs!$B$44-B754)/IF(Inputs!$B$39="pvp",15,MAX(0.1,Skills!D4-IF(Skills!E4=TRUE,Inputs!$B$32,0))))+1)),0)</f>
        <v/>
      </c>
      <c r="S713">
        <f>IFERROR(O713/N713,0)</f>
        <v/>
      </c>
      <c r="T713">
        <f>IF(C713,(H713*N713*IF(AND(Inputs!$B$39&lt;&gt;"pvp",Inputs!$B$44&gt;0),((Skills!G4*((R713-1)*IF(Skills!H4&gt;0,Skills!I4/Skills!H4,1)+IF(Skills!H4&gt;0,MIN(Skills!I4,MAX(0,MAX(0,Inputs!$B$44-B754)-((R713-1)*IF(Inputs!$B$39="pvp",15,MAX(0.1,Skills!D4-IF(Skills!E4=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Skills!E4=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IFERROR(1/IF(Inputs!$B$39="pvp",15,MAX(0.1,Skills!D5-IF(Skills!E5=TRUE,Inputs!$B$32,0))),0)</f>
        <v/>
      </c>
      <c r="R714">
        <f>IF(AND(Inputs!$B$39&lt;&gt;"pvp",Inputs!$B$44&gt;0),IF(MAX(0,Inputs!$B$44-B754)&lt;=0,0,(INT(MAX(0,Inputs!$B$44-B754)/IF(Inputs!$B$39="pvp",15,MAX(0.1,Skills!D5-IF(Skills!E5=TRUE,Inputs!$B$32,0))))+1)),0)</f>
        <v/>
      </c>
      <c r="S714">
        <f>IFERROR(O714/N714,0)</f>
        <v/>
      </c>
      <c r="T714">
        <f>IF(C714,(H714*N714*IF(AND(Inputs!$B$39&lt;&gt;"pvp",Inputs!$B$44&gt;0),((Skills!G5*((R714-1)*IF(Skills!H5&gt;0,Skills!I5/Skills!H5,1)+IF(Skills!H5&gt;0,MIN(Skills!I5,MAX(0,MAX(0,Inputs!$B$44-B754)-((R714-1)*IF(Inputs!$B$39="pvp",15,MAX(0.1,Skills!D5-IF(Skills!E5=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Skills!E5=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IFERROR(1/IF(Inputs!$B$39="pvp",15,MAX(0.1,Skills!D8-IF(Skills!E8=TRUE,Inputs!$B$32,0))),0)</f>
        <v/>
      </c>
      <c r="R717">
        <f>IF(AND(Inputs!$B$39&lt;&gt;"pvp",Inputs!$B$44&gt;0),IF(MAX(0,Inputs!$B$44-B754)&lt;=0,0,(INT(MAX(0,Inputs!$B$44-B754)/IF(Inputs!$B$39="pvp",15,MAX(0.1,Skills!D8-IF(Skills!E8=TRUE,Inputs!$B$32,0))))+1)),0)</f>
        <v/>
      </c>
      <c r="S717">
        <f>IFERROR(O717/N717,0)</f>
        <v/>
      </c>
      <c r="T717">
        <f>IF(C717,(H717*N717*IF(AND(Inputs!$B$39&lt;&gt;"pvp",Inputs!$B$44&gt;0),((Skills!G8*((R717-1)*IF(Skills!H8&gt;0,Skills!I8/Skills!H8,1)+IF(Skills!H8&gt;0,MIN(Skills!I8,MAX(0,MAX(0,Inputs!$B$44-B754)-((R717-1)*IF(Inputs!$B$39="pvp",15,MAX(0.1,Skills!D8-IF(Skills!E8=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Skills!E8=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Inputs!$B$3&gt;=72</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IFERROR(1/IF(Inputs!$B$39="pvp",15,MAX(0.1,Skills!D9-IF(Skills!E9=TRUE,Inputs!$B$32,0))),0)</f>
        <v/>
      </c>
      <c r="R718">
        <f>IF(AND(Inputs!$B$39&lt;&gt;"pvp",Inputs!$B$44&gt;0),IF(MAX(0,Inputs!$B$44-B754)&lt;=0,0,(INT(MAX(0,Inputs!$B$44-B754)/IF(Inputs!$B$39="pvp",15,MAX(0.1,Skills!D9-IF(Skills!E9=TRUE,Inputs!$B$32,0))))+1)),0)</f>
        <v/>
      </c>
      <c r="S718">
        <f>IFERROR(O718/N718,0)</f>
        <v/>
      </c>
      <c r="T718">
        <f>IF(C718,(H718*N718*IF(AND(Inputs!$B$39&lt;&gt;"pvp",Inputs!$B$44&gt;0),((Skills!G9*((R718-1)*IF(Skills!H9&gt;0,Skills!I9/Skills!H9,1)+IF(Skills!H9&gt;0,MIN(Skills!I9,MAX(0,MAX(0,Inputs!$B$44-B754)-((R718-1)*IF(Inputs!$B$39="pvp",15,MAX(0.1,Skills!D9-IF(Skills!E9=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Skills!E9=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IFERROR(1/IF(Inputs!$B$39="pvp",15,MAX(0.1,Skills!D12-IF(Skills!E12=TRUE,Inputs!$B$32,0))),0)</f>
        <v/>
      </c>
      <c r="R721">
        <f>IF(AND(Inputs!$B$39&lt;&gt;"pvp",Inputs!$B$44&gt;0),IF(MAX(0,Inputs!$B$44-B754)&lt;=0,0,(INT(MAX(0,Inputs!$B$44-B754)/IF(Inputs!$B$39="pvp",15,MAX(0.1,Skills!D12-IF(Skills!E12=TRUE,Inputs!$B$32,0))))+1)),0)</f>
        <v/>
      </c>
      <c r="S721">
        <f>IFERROR(O721/N721,0)</f>
        <v/>
      </c>
      <c r="T721">
        <f>IF(C721,(H721*N721*IF(AND(Inputs!$B$39&lt;&gt;"pvp",Inputs!$B$44&gt;0),((Skills!G12*((R721-1)*IF(Skills!H12&gt;0,Skills!I12/Skills!H12,1)+IF(Skills!H12&gt;0,MIN(Skills!I12,MAX(0,MAX(0,Inputs!$B$44-B754)-((R721-1)*IF(Inputs!$B$39="pvp",15,MAX(0.1,Skills!D12-IF(Skills!E12=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Skills!E12=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IFERROR(1/IF(Inputs!$B$39="pvp",15,MAX(0.1,Skills!D13-IF(Skills!E13=TRUE,Inputs!$B$32,0))),0)</f>
        <v/>
      </c>
      <c r="R722">
        <f>IF(AND(Inputs!$B$39&lt;&gt;"pvp",Inputs!$B$44&gt;0),IF(MAX(0,Inputs!$B$44-B754)&lt;=0,0,(INT(MAX(0,Inputs!$B$44-B754)/IF(Inputs!$B$39="pvp",15,MAX(0.1,Skills!D13-IF(Skills!E13=TRUE,Inputs!$B$32,0))))+1)),0)</f>
        <v/>
      </c>
      <c r="S722">
        <f>IFERROR(O722/N722,0)</f>
        <v/>
      </c>
      <c r="T722">
        <f>IF(C722,(H722*N722*IF(AND(Inputs!$B$39&lt;&gt;"pvp",Inputs!$B$44&gt;0),((Skills!G13*((R722-1)*IF(Skills!H13&gt;0,Skills!I13/Skills!H13,1)+IF(Skills!H13&gt;0,MIN(Skills!I13,MAX(0,MAX(0,Inputs!$B$44-B754)-((R722-1)*IF(Inputs!$B$39="pvp",15,MAX(0.1,Skills!D13-IF(Skills!E13=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Skills!E13=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IFERROR(1/IF(Inputs!$B$39="pvp",15,MAX(0.1,Skills!D14-IF(Skills!E14=TRUE,Inputs!$B$32,0))),0)</f>
        <v/>
      </c>
      <c r="R723">
        <f>IF(AND(Inputs!$B$39&lt;&gt;"pvp",Inputs!$B$44&gt;0),IF(MAX(0,Inputs!$B$44-B754)&lt;=0,0,(INT(MAX(0,Inputs!$B$44-B754)/IF(Inputs!$B$39="pvp",15,MAX(0.1,Skills!D14-IF(Skills!E14=TRUE,Inputs!$B$32,0))))+1)),0)</f>
        <v/>
      </c>
      <c r="S723">
        <f>IFERROR(O723/N723,0)</f>
        <v/>
      </c>
      <c r="T723">
        <f>IF(C723,(H723*N723*IF(AND(Inputs!$B$39&lt;&gt;"pvp",Inputs!$B$44&gt;0),((Skills!G14*((R723-1)*IF(Skills!H14&gt;0,Skills!I14/Skills!H14,1)+IF(Skills!H14&gt;0,MIN(Skills!I14,MAX(0,MAX(0,Inputs!$B$44-B754)-((R723-1)*IF(Inputs!$B$39="pvp",15,MAX(0.1,Skills!D14-IF(Skills!E14=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Skills!E14=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IFERROR(1/IF(Inputs!$B$39="pvp",15,MAX(0.1,Skills!D15-IF(Skills!E15=TRUE,Inputs!$B$32,0))),0)</f>
        <v/>
      </c>
      <c r="R724">
        <f>IF(AND(Inputs!$B$39&lt;&gt;"pvp",Inputs!$B$44&gt;0),IF(Inputs!$B$44&lt;=0,0,(INT(Inputs!$B$44/IF(Inputs!$B$39="pvp",15,MAX(0.1,Skills!D15-IF(Skills!E15=TRUE,Inputs!$B$32,0))))+1)),0)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IFERROR(1/IF(Inputs!$B$39="pvp",15,MAX(0.1,Skills!D16-IF(Skills!E16=TRUE,Inputs!$B$32,0))),0)</f>
        <v/>
      </c>
      <c r="R725">
        <f>IF(AND(Inputs!$B$39&lt;&gt;"pvp",Inputs!$B$44&gt;0),IF(Inputs!$B$44&lt;=0,0,(INT(Inputs!$B$44/IF(Inputs!$B$39="pvp",15,MAX(0.1,Skills!D16-IF(Skills!E16=TRUE,Inputs!$B$32,0))))+1)),0)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IFERROR(1/IF(Inputs!$B$39="pvp",15,MAX(0.1,Skills!D19-IF(Skills!E19=TRUE,Inputs!$B$32,0))),0)</f>
        <v/>
      </c>
      <c r="R728">
        <f>IF(AND(Inputs!$B$39&lt;&gt;"pvp",Inputs!$B$44&gt;0),IF(Inputs!$B$44&lt;=0,0,(INT(Inputs!$B$44/IF(Inputs!$B$39="pvp",15,MAX(0.1,Skills!D19-IF(Skills!E19=TRUE,Inputs!$B$32,0))))+1)),0)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IFERROR(1/IF(Inputs!$B$39="pvp",15,MAX(0.1,Skills!D20-IF(Skills!E20=TRUE,Inputs!$B$32,0))),0)</f>
        <v/>
      </c>
      <c r="R729">
        <f>IF(AND(Inputs!$B$39&lt;&gt;"pvp",Inputs!$B$44&gt;0),IF(Inputs!$B$44&lt;=0,0,(INT(Inputs!$B$44/IF(Inputs!$B$39="pvp",15,MAX(0.1,Skills!D20-IF(Skills!E20=TRUE,Inputs!$B$32,0))))+1)),0)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IFERROR(1/IF(Inputs!$B$39="pvp",15,MAX(0.1,Skills!D21-IF(Skills!E21=TRUE,Inputs!$B$32,0))),0)</f>
        <v/>
      </c>
      <c r="R730">
        <f>IF(AND(Inputs!$B$39&lt;&gt;"pvp",Inputs!$B$44&gt;0),IF(Inputs!$B$44&lt;=0,0,(INT(Inputs!$B$44/IF(Inputs!$B$39="pvp",15,MAX(0.1,Skills!D21-IF(Skills!E21=TRUE,Inputs!$B$32,0))))+1)),0)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Skills!Y19*(1+Inputs!$B$34/100))+MIN((Skills!Y19*(1+Inputs!$B$34/100)),MAX(0,Inputs!$B$44-((R728-1)*Skills!D19))))/Inputs!$B$44),IF(Inputs!$B$39="pvp",MIN((Skills!Y19*(1+Inputs!$B$34/100)),15)/15,(Skills!Y19*(1+Inputs!$B$34/100))/Skills!D19)))/150)))/100</f>
        <v/>
      </c>
    </row>
    <row r="743">
      <c r="A743" t="inlineStr">
        <is>
          <t>Alchemic Adrenaline Uptime</t>
        </is>
      </c>
      <c r="B743">
        <f>(Skills!Y6*(1+Inputs!$B$34/100))/((Skills!Y6*(1+Inputs!$B$34/100))+(5/B742))</f>
        <v/>
      </c>
    </row>
    <row r="744">
      <c r="A744" t="inlineStr">
        <is>
          <t>Attack Speed Buff Bonus %</t>
        </is>
      </c>
      <c r="B744">
        <f>((C728=TRUE)*F728*IF(AND(Inputs!$B$39&lt;&gt;"pvp",Inputs!$B$44&gt;0),(((R728-1)*(Skills!Y19*(1+Inputs!$B$34/100))+MIN((Skills!Y19*(1+Inputs!$B$34/100)),MAX(0,Inputs!$B$44-((R728-1)*Skills!D19))))/Inputs!$B$44),IF(Inputs!$B$39="pvp",MIN((Skills!Y19*(1+Inputs!$B$34/100)),15)/15,(Skills!Y19*(1+Inputs!$B$34/100))/Skills!D19)))+((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f>
        <v/>
      </c>
    </row>
    <row r="749">
      <c r="A749" t="inlineStr">
        <is>
          <t>Global Crit Rate Bonus %</t>
        </is>
      </c>
      <c r="B749">
        <f>IF(Inputs!$B$3&gt;=47,8,0)+((C729=TRUE)*F729*IF(AND(Inputs!$B$39&lt;&gt;"pvp",Inputs!$B$44&gt;0),(((R729-1)*(Skills!Y20*(1+Inputs!$B$34/100))+MIN((Skills!Y20*(1+Inputs!$B$34/100)),MAX(0,Inputs!$B$44-((R729-1)*Skills!D20))))/Inputs!$B$44),IF(Inputs!$B$39="pvp",MIN((Skills!Y20*(1+Inputs!$B$34/100)),15)/15,(Skills!Y20*(1+Inputs!$B$34/100))/Skills!D20)))</f>
        <v/>
      </c>
    </row>
    <row r="750">
      <c r="A750" t="inlineStr">
        <is>
          <t>Global Monster Damage-Taken Bonus %</t>
        </is>
      </c>
      <c r="B750">
        <f>IF(Inputs!$B$3&gt;=82,15,0)+((C725=TRUE)*F725*IF(AND(Inputs!$B$39&lt;&gt;"pvp",Inputs!$B$44&gt;0),(((R725-1)*(Skills!Y16*(1+Inputs!$B$34/100))+MIN((Skills!Y16*(1+Inputs!$B$34/100)),MAX(0,Inputs!$B$44-((R725-1)*Skills!D16))))/Inputs!$B$44),IF(Inputs!$B$39="pvp",MIN((Skills!Y16*(1+Inputs!$B$34/100)),15)/15,(Skills!Y16*(1+Inputs!$B$34/100))/Skills!D16)))</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Skills!Y16*(1+Inputs!$B$34/100))+MIN((Skills!Y16*(1+Inputs!$B$34/100)),MAX(0,Inputs!$B$44-((R725-1)*Skills!D16))))/Inputs!$B$44),IF(Inputs!$B$39="pvp",MIN((Skills!Y16*(1+Inputs!$B$34/100)),15)/15,(Skills!Y16*(1+Inputs!$B$34/100))/Skills!D16))</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IFERROR(1/IF(Inputs!$B$39="pvp",15,MAX(0.1,Skills!D3-IF(Skills!E3=TRUE,Inputs!$B$32,0))),0)</f>
        <v/>
      </c>
      <c r="R761">
        <f>IF(AND(Inputs!$B$39&lt;&gt;"pvp",Inputs!$B$44&gt;0),IF(MAX(0,Inputs!$B$44-B803)&lt;=0,0,(INT(MAX(0,Inputs!$B$44-B803)/IF(Inputs!$B$39="pvp",15,MAX(0.1,Skills!D3-IF(Skills!E3=TRUE,Inputs!$B$32,0))))+1)),0)</f>
        <v/>
      </c>
      <c r="S761">
        <f>IFERROR(O761/N761,0)</f>
        <v/>
      </c>
      <c r="T761">
        <f>IF(C761,(H761*N761*IF(AND(Inputs!$B$39&lt;&gt;"pvp",Inputs!$B$44&gt;0),((Skills!G3*((R761-1)*IF(Skills!H3&gt;0,Skills!I3/Skills!H3,1)+IF(Skills!H3&gt;0,MIN(Skills!I3,MAX(0,MAX(0,Inputs!$B$44-B803)-((R761-1)*IF(Inputs!$B$39="pvp",15,MAX(0.1,Skills!D3-IF(Skills!E3=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Skills!E3=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Inputs!$B$3&gt;=40</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IFERROR(1/IF(Inputs!$B$39="pvp",15,MAX(0.1,Skills!D4-IF(Skills!E4=TRUE,Inputs!$B$32,0))),0)</f>
        <v/>
      </c>
      <c r="R762">
        <f>IF(AND(Inputs!$B$39&lt;&gt;"pvp",Inputs!$B$44&gt;0),IF(MAX(0,Inputs!$B$44-B803)&lt;=0,0,(INT(MAX(0,Inputs!$B$44-B803)/IF(Inputs!$B$39="pvp",15,MAX(0.1,Skills!D4-IF(Skills!E4=TRUE,Inputs!$B$32,0))))+1)),0)</f>
        <v/>
      </c>
      <c r="S762">
        <f>IFERROR(O762/N762,0)</f>
        <v/>
      </c>
      <c r="T762">
        <f>IF(C762,(H762*N762*IF(AND(Inputs!$B$39&lt;&gt;"pvp",Inputs!$B$44&gt;0),((Skills!G4*((R762-1)*IF(Skills!H4&gt;0,Skills!I4/Skills!H4,1)+IF(Skills!H4&gt;0,MIN(Skills!I4,MAX(0,MAX(0,Inputs!$B$44-B803)-((R762-1)*IF(Inputs!$B$39="pvp",15,MAX(0.1,Skills!D4-IF(Skills!E4=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Skills!E4=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IFERROR(1/IF(Inputs!$B$39="pvp",15,MAX(0.1,Skills!D5-IF(Skills!E5=TRUE,Inputs!$B$32,0))),0)</f>
        <v/>
      </c>
      <c r="R763">
        <f>IF(AND(Inputs!$B$39&lt;&gt;"pvp",Inputs!$B$44&gt;0),IF(MAX(0,Inputs!$B$44-B803)&lt;=0,0,(INT(MAX(0,Inputs!$B$44-B803)/IF(Inputs!$B$39="pvp",15,MAX(0.1,Skills!D5-IF(Skills!E5=TRUE,Inputs!$B$32,0))))+1)),0)</f>
        <v/>
      </c>
      <c r="S763">
        <f>IFERROR(O763/N763,0)</f>
        <v/>
      </c>
      <c r="T763">
        <f>IF(C763,(H763*N763*IF(AND(Inputs!$B$39&lt;&gt;"pvp",Inputs!$B$44&gt;0),((Skills!G5*((R763-1)*IF(Skills!H5&gt;0,Skills!I5/Skills!H5,1)+IF(Skills!H5&gt;0,MIN(Skills!I5,MAX(0,MAX(0,Inputs!$B$44-B803)-((R763-1)*IF(Inputs!$B$39="pvp",15,MAX(0.1,Skills!D5-IF(Skills!E5=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Skills!E5=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IFERROR(1/IF(Inputs!$B$39="pvp",15,MAX(0.1,Skills!D8-IF(Skills!E8=TRUE,Inputs!$B$32,0))),0)</f>
        <v/>
      </c>
      <c r="R766">
        <f>IF(AND(Inputs!$B$39&lt;&gt;"pvp",Inputs!$B$44&gt;0),IF(MAX(0,Inputs!$B$44-B803)&lt;=0,0,(INT(MAX(0,Inputs!$B$44-B803)/IF(Inputs!$B$39="pvp",15,MAX(0.1,Skills!D8-IF(Skills!E8=TRUE,Inputs!$B$32,0))))+1)),0)</f>
        <v/>
      </c>
      <c r="S766">
        <f>IFERROR(O766/N766,0)</f>
        <v/>
      </c>
      <c r="T766">
        <f>IF(C766,(H766*N766*IF(AND(Inputs!$B$39&lt;&gt;"pvp",Inputs!$B$44&gt;0),((Skills!G8*((R766-1)*IF(Skills!H8&gt;0,Skills!I8/Skills!H8,1)+IF(Skills!H8&gt;0,MIN(Skills!I8,MAX(0,MAX(0,Inputs!$B$44-B803)-((R766-1)*IF(Inputs!$B$39="pvp",15,MAX(0.1,Skills!D8-IF(Skills!E8=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Skills!E8=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Inputs!$B$3&gt;=72</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IFERROR(1/IF(Inputs!$B$39="pvp",15,MAX(0.1,Skills!D9-IF(Skills!E9=TRUE,Inputs!$B$32,0))),0)</f>
        <v/>
      </c>
      <c r="R767">
        <f>IF(AND(Inputs!$B$39&lt;&gt;"pvp",Inputs!$B$44&gt;0),IF(MAX(0,Inputs!$B$44-B803)&lt;=0,0,(INT(MAX(0,Inputs!$B$44-B803)/IF(Inputs!$B$39="pvp",15,MAX(0.1,Skills!D9-IF(Skills!E9=TRUE,Inputs!$B$32,0))))+1)),0)</f>
        <v/>
      </c>
      <c r="S767">
        <f>IFERROR(O767/N767,0)</f>
        <v/>
      </c>
      <c r="T767">
        <f>IF(C767,(H767*N767*IF(AND(Inputs!$B$39&lt;&gt;"pvp",Inputs!$B$44&gt;0),((Skills!G9*((R767-1)*IF(Skills!H9&gt;0,Skills!I9/Skills!H9,1)+IF(Skills!H9&gt;0,MIN(Skills!I9,MAX(0,MAX(0,Inputs!$B$44-B803)-((R767-1)*IF(Inputs!$B$39="pvp",15,MAX(0.1,Skills!D9-IF(Skills!E9=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Skills!E9=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IFERROR(1/IF(Inputs!$B$39="pvp",15,MAX(0.1,Skills!D12-IF(Skills!E12=TRUE,Inputs!$B$32,0))),0)</f>
        <v/>
      </c>
      <c r="R770">
        <f>IF(AND(Inputs!$B$39&lt;&gt;"pvp",Inputs!$B$44&gt;0),IF(MAX(0,Inputs!$B$44-B803)&lt;=0,0,(INT(MAX(0,Inputs!$B$44-B803)/IF(Inputs!$B$39="pvp",15,MAX(0.1,Skills!D12-IF(Skills!E12=TRUE,Inputs!$B$32,0))))+1)),0)</f>
        <v/>
      </c>
      <c r="S770">
        <f>IFERROR(O770/N770,0)</f>
        <v/>
      </c>
      <c r="T770">
        <f>IF(C770,(H770*N770*IF(AND(Inputs!$B$39&lt;&gt;"pvp",Inputs!$B$44&gt;0),((Skills!G12*((R770-1)*IF(Skills!H12&gt;0,Skills!I12/Skills!H12,1)+IF(Skills!H12&gt;0,MIN(Skills!I12,MAX(0,MAX(0,Inputs!$B$44-B803)-((R770-1)*IF(Inputs!$B$39="pvp",15,MAX(0.1,Skills!D12-IF(Skills!E12=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Skills!E12=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IFERROR(1/IF(Inputs!$B$39="pvp",15,MAX(0.1,Skills!D13-IF(Skills!E13=TRUE,Inputs!$B$32,0))),0)</f>
        <v/>
      </c>
      <c r="R771">
        <f>IF(AND(Inputs!$B$39&lt;&gt;"pvp",Inputs!$B$44&gt;0),IF(MAX(0,Inputs!$B$44-B803)&lt;=0,0,(INT(MAX(0,Inputs!$B$44-B803)/IF(Inputs!$B$39="pvp",15,MAX(0.1,Skills!D13-IF(Skills!E13=TRUE,Inputs!$B$32,0))))+1)),0)</f>
        <v/>
      </c>
      <c r="S771">
        <f>IFERROR(O771/N771,0)</f>
        <v/>
      </c>
      <c r="T771">
        <f>IF(C771,(H771*N771*IF(AND(Inputs!$B$39&lt;&gt;"pvp",Inputs!$B$44&gt;0),((Skills!G13*((R771-1)*IF(Skills!H13&gt;0,Skills!I13/Skills!H13,1)+IF(Skills!H13&gt;0,MIN(Skills!I13,MAX(0,MAX(0,Inputs!$B$44-B803)-((R771-1)*IF(Inputs!$B$39="pvp",15,MAX(0.1,Skills!D13-IF(Skills!E13=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Skills!E13=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IFERROR(1/IF(Inputs!$B$39="pvp",15,MAX(0.1,Skills!D14-IF(Skills!E14=TRUE,Inputs!$B$32,0))),0)</f>
        <v/>
      </c>
      <c r="R772">
        <f>IF(AND(Inputs!$B$39&lt;&gt;"pvp",Inputs!$B$44&gt;0),IF(MAX(0,Inputs!$B$44-B803)&lt;=0,0,(INT(MAX(0,Inputs!$B$44-B803)/IF(Inputs!$B$39="pvp",15,MAX(0.1,Skills!D14-IF(Skills!E14=TRUE,Inputs!$B$32,0))))+1)),0)</f>
        <v/>
      </c>
      <c r="S772">
        <f>IFERROR(O772/N772,0)</f>
        <v/>
      </c>
      <c r="T772">
        <f>IF(C772,(H772*N772*IF(AND(Inputs!$B$39&lt;&gt;"pvp",Inputs!$B$44&gt;0),((Skills!G14*((R772-1)*IF(Skills!H14&gt;0,Skills!I14/Skills!H14,1)+IF(Skills!H14&gt;0,MIN(Skills!I14,MAX(0,MAX(0,Inputs!$B$44-B803)-((R772-1)*IF(Inputs!$B$39="pvp",15,MAX(0.1,Skills!D14-IF(Skills!E14=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Skills!E14=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IFERROR(1/IF(Inputs!$B$39="pvp",15,MAX(0.1,Skills!D15-IF(Skills!E15=TRUE,Inputs!$B$32,0))),0)</f>
        <v/>
      </c>
      <c r="R773">
        <f>IF(AND(Inputs!$B$39&lt;&gt;"pvp",Inputs!$B$44&gt;0),IF(Inputs!$B$44&lt;=0,0,(INT(Inputs!$B$44/IF(Inputs!$B$39="pvp",15,MAX(0.1,Skills!D15-IF(Skills!E15=TRUE,Inputs!$B$32,0))))+1)),0)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IFERROR(1/IF(Inputs!$B$39="pvp",15,MAX(0.1,Skills!D16-IF(Skills!E16=TRUE,Inputs!$B$32,0))),0)</f>
        <v/>
      </c>
      <c r="R774">
        <f>IF(AND(Inputs!$B$39&lt;&gt;"pvp",Inputs!$B$44&gt;0),IF(Inputs!$B$44&lt;=0,0,(INT(Inputs!$B$44/IF(Inputs!$B$39="pvp",15,MAX(0.1,Skills!D16-IF(Skills!E16=TRUE,Inputs!$B$32,0))))+1)),0)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IFERROR(1/IF(Inputs!$B$39="pvp",15,MAX(0.1,Skills!D19-IF(Skills!E19=TRUE,Inputs!$B$32,0))),0)</f>
        <v/>
      </c>
      <c r="R777">
        <f>IF(AND(Inputs!$B$39&lt;&gt;"pvp",Inputs!$B$44&gt;0),IF(Inputs!$B$44&lt;=0,0,(INT(Inputs!$B$44/IF(Inputs!$B$39="pvp",15,MAX(0.1,Skills!D19-IF(Skills!E19=TRUE,Inputs!$B$32,0))))+1)),0)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IFERROR(1/IF(Inputs!$B$39="pvp",15,MAX(0.1,Skills!D20-IF(Skills!E20=TRUE,Inputs!$B$32,0))),0)</f>
        <v/>
      </c>
      <c r="R778">
        <f>IF(AND(Inputs!$B$39&lt;&gt;"pvp",Inputs!$B$44&gt;0),IF(Inputs!$B$44&lt;=0,0,(INT(Inputs!$B$44/IF(Inputs!$B$39="pvp",15,MAX(0.1,Skills!D20-IF(Skills!E20=TRUE,Inputs!$B$32,0))))+1)),0)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IFERROR(1/IF(Inputs!$B$39="pvp",15,MAX(0.1,Skills!D21-IF(Skills!E21=TRUE,Inputs!$B$32,0))),0)</f>
        <v/>
      </c>
      <c r="R779">
        <f>IF(AND(Inputs!$B$39&lt;&gt;"pvp",Inputs!$B$44&gt;0),IF(Inputs!$B$44&lt;=0,0,(INT(Inputs!$B$44/IF(Inputs!$B$39="pvp",15,MAX(0.1,Skills!D21-IF(Skills!E21=TRUE,Inputs!$B$32,0))))+1)),0)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Skills!Y19*(1+Inputs!$B$34/100))+MIN((Skills!Y19*(1+Inputs!$B$34/100)),MAX(0,Inputs!$B$44-((R777-1)*Skills!D19))))/Inputs!$B$44),IF(Inputs!$B$39="pvp",MIN((Skills!Y19*(1+Inputs!$B$34/100)),15)/15,(Skills!Y19*(1+Inputs!$B$34/100))/Skills!D19)))/150)))/100</f>
        <v/>
      </c>
    </row>
    <row r="792">
      <c r="A792" t="inlineStr">
        <is>
          <t>Alchemic Adrenaline Uptime</t>
        </is>
      </c>
      <c r="B792">
        <f>(Skills!Y6*(1+Inputs!$B$34/100))/((Skills!Y6*(1+Inputs!$B$34/100))+(5/B791))</f>
        <v/>
      </c>
    </row>
    <row r="793">
      <c r="A793" t="inlineStr">
        <is>
          <t>Attack Speed Buff Bonus %</t>
        </is>
      </c>
      <c r="B793">
        <f>((C777=TRUE)*F777*IF(AND(Inputs!$B$39&lt;&gt;"pvp",Inputs!$B$44&gt;0),(((R777-1)*(Skills!Y19*(1+Inputs!$B$34/100))+MIN((Skills!Y19*(1+Inputs!$B$34/100)),MAX(0,Inputs!$B$44-((R777-1)*Skills!D19))))/Inputs!$B$44),IF(Inputs!$B$39="pvp",MIN((Skills!Y19*(1+Inputs!$B$34/100)),15)/15,(Skills!Y19*(1+Inputs!$B$34/100))/Skills!D19)))+((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f>
        <v/>
      </c>
    </row>
    <row r="798">
      <c r="A798" t="inlineStr">
        <is>
          <t>Global Crit Rate Bonus %</t>
        </is>
      </c>
      <c r="B798">
        <f>IF(Inputs!$B$3&gt;=47,8,0)+((C778=TRUE)*F778*IF(AND(Inputs!$B$39&lt;&gt;"pvp",Inputs!$B$44&gt;0),(((R778-1)*(Skills!Y20*(1+Inputs!$B$34/100))+MIN((Skills!Y20*(1+Inputs!$B$34/100)),MAX(0,Inputs!$B$44-((R778-1)*Skills!D20))))/Inputs!$B$44),IF(Inputs!$B$39="pvp",MIN((Skills!Y20*(1+Inputs!$B$34/100)),15)/15,(Skills!Y20*(1+Inputs!$B$34/100))/Skills!D20)))</f>
        <v/>
      </c>
    </row>
    <row r="799">
      <c r="A799" t="inlineStr">
        <is>
          <t>Global Monster Damage-Taken Bonus %</t>
        </is>
      </c>
      <c r="B799">
        <f>IF(Inputs!$B$3&gt;=82,15,0)+((C774=TRUE)*F774*IF(AND(Inputs!$B$39&lt;&gt;"pvp",Inputs!$B$44&gt;0),(((R774-1)*(Skills!Y16*(1+Inputs!$B$34/100))+MIN((Skills!Y16*(1+Inputs!$B$34/100)),MAX(0,Inputs!$B$44-((R774-1)*Skills!D16))))/Inputs!$B$44),IF(Inputs!$B$39="pvp",MIN((Skills!Y16*(1+Inputs!$B$34/100)),15)/15,(Skills!Y16*(1+Inputs!$B$34/100))/Skills!D16)))</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Skills!Y16*(1+Inputs!$B$34/100))+MIN((Skills!Y16*(1+Inputs!$B$34/100)),MAX(0,Inputs!$B$44-((R774-1)*Skills!D16))))/Inputs!$B$44),IF(Inputs!$B$39="pvp",MIN((Skills!Y16*(1+Inputs!$B$34/100)),15)/15,(Skills!Y16*(1+Inputs!$B$34/100))/Skills!D16))</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IFERROR(1/IF(Inputs!$B$39="pvp",15,MAX(0.1,Skills!D3-IF(Skills!E3=TRUE,Inputs!$B$32,0))),0)</f>
        <v/>
      </c>
      <c r="R810">
        <f>IF(AND(Inputs!$B$39&lt;&gt;"pvp",Inputs!$B$44&gt;0),IF(MAX(0,Inputs!$B$44-B852)&lt;=0,0,(INT(MAX(0,Inputs!$B$44-B852)/IF(Inputs!$B$39="pvp",15,MAX(0.1,Skills!D3-IF(Skills!E3=TRUE,Inputs!$B$32,0))))+1)),0)</f>
        <v/>
      </c>
      <c r="S810">
        <f>IFERROR(O810/N810,0)</f>
        <v/>
      </c>
      <c r="T810">
        <f>IF(C810,(H810*N810*IF(AND(Inputs!$B$39&lt;&gt;"pvp",Inputs!$B$44&gt;0),((Skills!G3*((R810-1)*IF(Skills!H3&gt;0,Skills!I3/Skills!H3,1)+IF(Skills!H3&gt;0,MIN(Skills!I3,MAX(0,MAX(0,Inputs!$B$44-B852)-((R810-1)*IF(Inputs!$B$39="pvp",15,MAX(0.1,Skills!D3-IF(Skills!E3=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Skills!E3=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Inputs!$B$3&gt;=40</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IFERROR(1/IF(Inputs!$B$39="pvp",15,MAX(0.1,Skills!D4-IF(Skills!E4=TRUE,Inputs!$B$32,0))),0)</f>
        <v/>
      </c>
      <c r="R811">
        <f>IF(AND(Inputs!$B$39&lt;&gt;"pvp",Inputs!$B$44&gt;0),IF(MAX(0,Inputs!$B$44-B852)&lt;=0,0,(INT(MAX(0,Inputs!$B$44-B852)/IF(Inputs!$B$39="pvp",15,MAX(0.1,Skills!D4-IF(Skills!E4=TRUE,Inputs!$B$32,0))))+1)),0)</f>
        <v/>
      </c>
      <c r="S811">
        <f>IFERROR(O811/N811,0)</f>
        <v/>
      </c>
      <c r="T811">
        <f>IF(C811,(H811*N811*IF(AND(Inputs!$B$39&lt;&gt;"pvp",Inputs!$B$44&gt;0),((Skills!G4*((R811-1)*IF(Skills!H4&gt;0,Skills!I4/Skills!H4,1)+IF(Skills!H4&gt;0,MIN(Skills!I4,MAX(0,MAX(0,Inputs!$B$44-B852)-((R811-1)*IF(Inputs!$B$39="pvp",15,MAX(0.1,Skills!D4-IF(Skills!E4=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Skills!E4=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IFERROR(1/IF(Inputs!$B$39="pvp",15,MAX(0.1,Skills!D5-IF(Skills!E5=TRUE,Inputs!$B$32,0))),0)</f>
        <v/>
      </c>
      <c r="R812">
        <f>IF(AND(Inputs!$B$39&lt;&gt;"pvp",Inputs!$B$44&gt;0),IF(MAX(0,Inputs!$B$44-B852)&lt;=0,0,(INT(MAX(0,Inputs!$B$44-B852)/IF(Inputs!$B$39="pvp",15,MAX(0.1,Skills!D5-IF(Skills!E5=TRUE,Inputs!$B$32,0))))+1)),0)</f>
        <v/>
      </c>
      <c r="S812">
        <f>IFERROR(O812/N812,0)</f>
        <v/>
      </c>
      <c r="T812">
        <f>IF(C812,(H812*N812*IF(AND(Inputs!$B$39&lt;&gt;"pvp",Inputs!$B$44&gt;0),((Skills!G5*((R812-1)*IF(Skills!H5&gt;0,Skills!I5/Skills!H5,1)+IF(Skills!H5&gt;0,MIN(Skills!I5,MAX(0,MAX(0,Inputs!$B$44-B852)-((R812-1)*IF(Inputs!$B$39="pvp",15,MAX(0.1,Skills!D5-IF(Skills!E5=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Skills!E5=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IFERROR(1/IF(Inputs!$B$39="pvp",15,MAX(0.1,Skills!D8-IF(Skills!E8=TRUE,Inputs!$B$32,0))),0)</f>
        <v/>
      </c>
      <c r="R815">
        <f>IF(AND(Inputs!$B$39&lt;&gt;"pvp",Inputs!$B$44&gt;0),IF(MAX(0,Inputs!$B$44-B852)&lt;=0,0,(INT(MAX(0,Inputs!$B$44-B852)/IF(Inputs!$B$39="pvp",15,MAX(0.1,Skills!D8-IF(Skills!E8=TRUE,Inputs!$B$32,0))))+1)),0)</f>
        <v/>
      </c>
      <c r="S815">
        <f>IFERROR(O815/N815,0)</f>
        <v/>
      </c>
      <c r="T815">
        <f>IF(C815,(H815*N815*IF(AND(Inputs!$B$39&lt;&gt;"pvp",Inputs!$B$44&gt;0),((Skills!G8*((R815-1)*IF(Skills!H8&gt;0,Skills!I8/Skills!H8,1)+IF(Skills!H8&gt;0,MIN(Skills!I8,MAX(0,MAX(0,Inputs!$B$44-B852)-((R815-1)*IF(Inputs!$B$39="pvp",15,MAX(0.1,Skills!D8-IF(Skills!E8=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Skills!E8=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Inputs!$B$3&gt;=72</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IFERROR(1/IF(Inputs!$B$39="pvp",15,MAX(0.1,Skills!D9-IF(Skills!E9=TRUE,Inputs!$B$32,0))),0)</f>
        <v/>
      </c>
      <c r="R816">
        <f>IF(AND(Inputs!$B$39&lt;&gt;"pvp",Inputs!$B$44&gt;0),IF(MAX(0,Inputs!$B$44-B852)&lt;=0,0,(INT(MAX(0,Inputs!$B$44-B852)/IF(Inputs!$B$39="pvp",15,MAX(0.1,Skills!D9-IF(Skills!E9=TRUE,Inputs!$B$32,0))))+1)),0)</f>
        <v/>
      </c>
      <c r="S816">
        <f>IFERROR(O816/N816,0)</f>
        <v/>
      </c>
      <c r="T816">
        <f>IF(C816,(H816*N816*IF(AND(Inputs!$B$39&lt;&gt;"pvp",Inputs!$B$44&gt;0),((Skills!G9*((R816-1)*IF(Skills!H9&gt;0,Skills!I9/Skills!H9,1)+IF(Skills!H9&gt;0,MIN(Skills!I9,MAX(0,MAX(0,Inputs!$B$44-B852)-((R816-1)*IF(Inputs!$B$39="pvp",15,MAX(0.1,Skills!D9-IF(Skills!E9=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Skills!E9=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IFERROR(1/IF(Inputs!$B$39="pvp",15,MAX(0.1,Skills!D12-IF(Skills!E12=TRUE,Inputs!$B$32,0))),0)</f>
        <v/>
      </c>
      <c r="R819">
        <f>IF(AND(Inputs!$B$39&lt;&gt;"pvp",Inputs!$B$44&gt;0),IF(MAX(0,Inputs!$B$44-B852)&lt;=0,0,(INT(MAX(0,Inputs!$B$44-B852)/IF(Inputs!$B$39="pvp",15,MAX(0.1,Skills!D12-IF(Skills!E12=TRUE,Inputs!$B$32,0))))+1)),0)</f>
        <v/>
      </c>
      <c r="S819">
        <f>IFERROR(O819/N819,0)</f>
        <v/>
      </c>
      <c r="T819">
        <f>IF(C819,(H819*N819*IF(AND(Inputs!$B$39&lt;&gt;"pvp",Inputs!$B$44&gt;0),((Skills!G12*((R819-1)*IF(Skills!H12&gt;0,Skills!I12/Skills!H12,1)+IF(Skills!H12&gt;0,MIN(Skills!I12,MAX(0,MAX(0,Inputs!$B$44-B852)-((R819-1)*IF(Inputs!$B$39="pvp",15,MAX(0.1,Skills!D12-IF(Skills!E12=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Skills!E12=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IFERROR(1/IF(Inputs!$B$39="pvp",15,MAX(0.1,Skills!D13-IF(Skills!E13=TRUE,Inputs!$B$32,0))),0)</f>
        <v/>
      </c>
      <c r="R820">
        <f>IF(AND(Inputs!$B$39&lt;&gt;"pvp",Inputs!$B$44&gt;0),IF(MAX(0,Inputs!$B$44-B852)&lt;=0,0,(INT(MAX(0,Inputs!$B$44-B852)/IF(Inputs!$B$39="pvp",15,MAX(0.1,Skills!D13-IF(Skills!E13=TRUE,Inputs!$B$32,0))))+1)),0)</f>
        <v/>
      </c>
      <c r="S820">
        <f>IFERROR(O820/N820,0)</f>
        <v/>
      </c>
      <c r="T820">
        <f>IF(C820,(H820*N820*IF(AND(Inputs!$B$39&lt;&gt;"pvp",Inputs!$B$44&gt;0),((Skills!G13*((R820-1)*IF(Skills!H13&gt;0,Skills!I13/Skills!H13,1)+IF(Skills!H13&gt;0,MIN(Skills!I13,MAX(0,MAX(0,Inputs!$B$44-B852)-((R820-1)*IF(Inputs!$B$39="pvp",15,MAX(0.1,Skills!D13-IF(Skills!E13=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Skills!E13=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IFERROR(1/IF(Inputs!$B$39="pvp",15,MAX(0.1,Skills!D14-IF(Skills!E14=TRUE,Inputs!$B$32,0))),0)</f>
        <v/>
      </c>
      <c r="R821">
        <f>IF(AND(Inputs!$B$39&lt;&gt;"pvp",Inputs!$B$44&gt;0),IF(MAX(0,Inputs!$B$44-B852)&lt;=0,0,(INT(MAX(0,Inputs!$B$44-B852)/IF(Inputs!$B$39="pvp",15,MAX(0.1,Skills!D14-IF(Skills!E14=TRUE,Inputs!$B$32,0))))+1)),0)</f>
        <v/>
      </c>
      <c r="S821">
        <f>IFERROR(O821/N821,0)</f>
        <v/>
      </c>
      <c r="T821">
        <f>IF(C821,(H821*N821*IF(AND(Inputs!$B$39&lt;&gt;"pvp",Inputs!$B$44&gt;0),((Skills!G14*((R821-1)*IF(Skills!H14&gt;0,Skills!I14/Skills!H14,1)+IF(Skills!H14&gt;0,MIN(Skills!I14,MAX(0,MAX(0,Inputs!$B$44-B852)-((R821-1)*IF(Inputs!$B$39="pvp",15,MAX(0.1,Skills!D14-IF(Skills!E14=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Skills!E14=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IFERROR(1/IF(Inputs!$B$39="pvp",15,MAX(0.1,Skills!D15-IF(Skills!E15=TRUE,Inputs!$B$32,0))),0)</f>
        <v/>
      </c>
      <c r="R822">
        <f>IF(AND(Inputs!$B$39&lt;&gt;"pvp",Inputs!$B$44&gt;0),IF(Inputs!$B$44&lt;=0,0,(INT(Inputs!$B$44/IF(Inputs!$B$39="pvp",15,MAX(0.1,Skills!D15-IF(Skills!E15=TRUE,Inputs!$B$32,0))))+1)),0)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IFERROR(1/IF(Inputs!$B$39="pvp",15,MAX(0.1,Skills!D16-IF(Skills!E16=TRUE,Inputs!$B$32,0))),0)</f>
        <v/>
      </c>
      <c r="R823">
        <f>IF(AND(Inputs!$B$39&lt;&gt;"pvp",Inputs!$B$44&gt;0),IF(Inputs!$B$44&lt;=0,0,(INT(Inputs!$B$44/IF(Inputs!$B$39="pvp",15,MAX(0.1,Skills!D16-IF(Skills!E16=TRUE,Inputs!$B$32,0))))+1)),0)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IFERROR(1/IF(Inputs!$B$39="pvp",15,MAX(0.1,Skills!D19-IF(Skills!E19=TRUE,Inputs!$B$32,0))),0)</f>
        <v/>
      </c>
      <c r="R826">
        <f>IF(AND(Inputs!$B$39&lt;&gt;"pvp",Inputs!$B$44&gt;0),IF(Inputs!$B$44&lt;=0,0,(INT(Inputs!$B$44/IF(Inputs!$B$39="pvp",15,MAX(0.1,Skills!D19-IF(Skills!E19=TRUE,Inputs!$B$32,0))))+1)),0)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IFERROR(1/IF(Inputs!$B$39="pvp",15,MAX(0.1,Skills!D20-IF(Skills!E20=TRUE,Inputs!$B$32,0))),0)</f>
        <v/>
      </c>
      <c r="R827">
        <f>IF(AND(Inputs!$B$39&lt;&gt;"pvp",Inputs!$B$44&gt;0),IF(Inputs!$B$44&lt;=0,0,(INT(Inputs!$B$44/IF(Inputs!$B$39="pvp",15,MAX(0.1,Skills!D20-IF(Skills!E20=TRUE,Inputs!$B$32,0))))+1)),0)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IFERROR(1/IF(Inputs!$B$39="pvp",15,MAX(0.1,Skills!D21-IF(Skills!E21=TRUE,Inputs!$B$32,0))),0)</f>
        <v/>
      </c>
      <c r="R828">
        <f>IF(AND(Inputs!$B$39&lt;&gt;"pvp",Inputs!$B$44&gt;0),IF(Inputs!$B$44&lt;=0,0,(INT(Inputs!$B$44/IF(Inputs!$B$39="pvp",15,MAX(0.1,Skills!D21-IF(Skills!E21=TRUE,Inputs!$B$32,0))))+1)),0)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Skills!Y19*(1+Inputs!$B$34/100))+MIN((Skills!Y19*(1+Inputs!$B$34/100)),MAX(0,Inputs!$B$44-((R826-1)*Skills!D19))))/Inputs!$B$44),IF(Inputs!$B$39="pvp",MIN((Skills!Y19*(1+Inputs!$B$34/100)),15)/15,(Skills!Y19*(1+Inputs!$B$34/100))/Skills!D19)))/150)))/100</f>
        <v/>
      </c>
    </row>
    <row r="841">
      <c r="A841" t="inlineStr">
        <is>
          <t>Alchemic Adrenaline Uptime</t>
        </is>
      </c>
      <c r="B841">
        <f>(Skills!Y6*(1+Inputs!$B$34/100))/((Skills!Y6*(1+Inputs!$B$34/100))+(5/B840))</f>
        <v/>
      </c>
    </row>
    <row r="842">
      <c r="A842" t="inlineStr">
        <is>
          <t>Attack Speed Buff Bonus %</t>
        </is>
      </c>
      <c r="B842">
        <f>((C826=TRUE)*F826*IF(AND(Inputs!$B$39&lt;&gt;"pvp",Inputs!$B$44&gt;0),(((R826-1)*(Skills!Y19*(1+Inputs!$B$34/100))+MIN((Skills!Y19*(1+Inputs!$B$34/100)),MAX(0,Inputs!$B$44-((R826-1)*Skills!D19))))/Inputs!$B$44),IF(Inputs!$B$39="pvp",MIN((Skills!Y19*(1+Inputs!$B$34/100)),15)/15,(Skills!Y19*(1+Inputs!$B$34/100))/Skills!D19)))+((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f>
        <v/>
      </c>
    </row>
    <row r="847">
      <c r="A847" t="inlineStr">
        <is>
          <t>Global Crit Rate Bonus %</t>
        </is>
      </c>
      <c r="B847">
        <f>IF(Inputs!$B$3&gt;=47,8,0)+((C827=TRUE)*F827*IF(AND(Inputs!$B$39&lt;&gt;"pvp",Inputs!$B$44&gt;0),(((R827-1)*(Skills!Y20*(1+Inputs!$B$34/100))+MIN((Skills!Y20*(1+Inputs!$B$34/100)),MAX(0,Inputs!$B$44-((R827-1)*Skills!D20))))/Inputs!$B$44),IF(Inputs!$B$39="pvp",MIN((Skills!Y20*(1+Inputs!$B$34/100)),15)/15,(Skills!Y20*(1+Inputs!$B$34/100))/Skills!D20)))</f>
        <v/>
      </c>
    </row>
    <row r="848">
      <c r="A848" t="inlineStr">
        <is>
          <t>Global Monster Damage-Taken Bonus %</t>
        </is>
      </c>
      <c r="B848">
        <f>IF(Inputs!$B$3&gt;=82,15,0)+((C823=TRUE)*F823*IF(AND(Inputs!$B$39&lt;&gt;"pvp",Inputs!$B$44&gt;0),(((R823-1)*(Skills!Y16*(1+Inputs!$B$34/100))+MIN((Skills!Y16*(1+Inputs!$B$34/100)),MAX(0,Inputs!$B$44-((R823-1)*Skills!D16))))/Inputs!$B$44),IF(Inputs!$B$39="pvp",MIN((Skills!Y16*(1+Inputs!$B$34/100)),15)/15,(Skills!Y16*(1+Inputs!$B$34/100))/Skills!D16)))</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Skills!Y16*(1+Inputs!$B$34/100))+MIN((Skills!Y16*(1+Inputs!$B$34/100)),MAX(0,Inputs!$B$44-((R823-1)*Skills!D16))))/Inputs!$B$44),IF(Inputs!$B$39="pvp",MIN((Skills!Y16*(1+Inputs!$B$34/100)),15)/15,(Skills!Y16*(1+Inputs!$B$34/100))/Skills!D16))</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IFERROR(1/IF(Inputs!$B$39="pvp",15,MAX(0.1,Skills!D3-IF(Skills!E3=TRUE,Inputs!$B$32,0))),0)</f>
        <v/>
      </c>
      <c r="R859">
        <f>IF(AND(Inputs!$B$39&lt;&gt;"pvp",Inputs!$B$44&gt;0),IF(MAX(0,Inputs!$B$44-B901)&lt;=0,0,(INT(MAX(0,Inputs!$B$44-B901)/IF(Inputs!$B$39="pvp",15,MAX(0.1,Skills!D3-IF(Skills!E3=TRUE,Inputs!$B$32,0))))+1)),0)</f>
        <v/>
      </c>
      <c r="S859">
        <f>IFERROR(O859/N859,0)</f>
        <v/>
      </c>
      <c r="T859">
        <f>IF(C859,(H859*N859*IF(AND(Inputs!$B$39&lt;&gt;"pvp",Inputs!$B$44&gt;0),((Skills!G3*((R859-1)*IF(Skills!H3&gt;0,Skills!I3/Skills!H3,1)+IF(Skills!H3&gt;0,MIN(Skills!I3,MAX(0,MAX(0,Inputs!$B$44-B901)-((R859-1)*IF(Inputs!$B$39="pvp",15,MAX(0.1,Skills!D3-IF(Skills!E3=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Skills!E3=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Inputs!$B$3&gt;=40</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IFERROR(1/IF(Inputs!$B$39="pvp",15,MAX(0.1,Skills!D4-IF(Skills!E4=TRUE,Inputs!$B$32,0))),0)</f>
        <v/>
      </c>
      <c r="R860">
        <f>IF(AND(Inputs!$B$39&lt;&gt;"pvp",Inputs!$B$44&gt;0),IF(MAX(0,Inputs!$B$44-B901)&lt;=0,0,(INT(MAX(0,Inputs!$B$44-B901)/IF(Inputs!$B$39="pvp",15,MAX(0.1,Skills!D4-IF(Skills!E4=TRUE,Inputs!$B$32,0))))+1)),0)</f>
        <v/>
      </c>
      <c r="S860">
        <f>IFERROR(O860/N860,0)</f>
        <v/>
      </c>
      <c r="T860">
        <f>IF(C860,(H860*N860*IF(AND(Inputs!$B$39&lt;&gt;"pvp",Inputs!$B$44&gt;0),((Skills!G4*((R860-1)*IF(Skills!H4&gt;0,Skills!I4/Skills!H4,1)+IF(Skills!H4&gt;0,MIN(Skills!I4,MAX(0,MAX(0,Inputs!$B$44-B901)-((R860-1)*IF(Inputs!$B$39="pvp",15,MAX(0.1,Skills!D4-IF(Skills!E4=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Skills!E4=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IFERROR(1/IF(Inputs!$B$39="pvp",15,MAX(0.1,Skills!D5-IF(Skills!E5=TRUE,Inputs!$B$32,0))),0)</f>
        <v/>
      </c>
      <c r="R861">
        <f>IF(AND(Inputs!$B$39&lt;&gt;"pvp",Inputs!$B$44&gt;0),IF(MAX(0,Inputs!$B$44-B901)&lt;=0,0,(INT(MAX(0,Inputs!$B$44-B901)/IF(Inputs!$B$39="pvp",15,MAX(0.1,Skills!D5-IF(Skills!E5=TRUE,Inputs!$B$32,0))))+1)),0)</f>
        <v/>
      </c>
      <c r="S861">
        <f>IFERROR(O861/N861,0)</f>
        <v/>
      </c>
      <c r="T861">
        <f>IF(C861,(H861*N861*IF(AND(Inputs!$B$39&lt;&gt;"pvp",Inputs!$B$44&gt;0),((Skills!G5*((R861-1)*IF(Skills!H5&gt;0,Skills!I5/Skills!H5,1)+IF(Skills!H5&gt;0,MIN(Skills!I5,MAX(0,MAX(0,Inputs!$B$44-B901)-((R861-1)*IF(Inputs!$B$39="pvp",15,MAX(0.1,Skills!D5-IF(Skills!E5=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Skills!E5=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IFERROR(1/IF(Inputs!$B$39="pvp",15,MAX(0.1,Skills!D8-IF(Skills!E8=TRUE,Inputs!$B$32,0))),0)</f>
        <v/>
      </c>
      <c r="R864">
        <f>IF(AND(Inputs!$B$39&lt;&gt;"pvp",Inputs!$B$44&gt;0),IF(MAX(0,Inputs!$B$44-B901)&lt;=0,0,(INT(MAX(0,Inputs!$B$44-B901)/IF(Inputs!$B$39="pvp",15,MAX(0.1,Skills!D8-IF(Skills!E8=TRUE,Inputs!$B$32,0))))+1)),0)</f>
        <v/>
      </c>
      <c r="S864">
        <f>IFERROR(O864/N864,0)</f>
        <v/>
      </c>
      <c r="T864">
        <f>IF(C864,(H864*N864*IF(AND(Inputs!$B$39&lt;&gt;"pvp",Inputs!$B$44&gt;0),((Skills!G8*((R864-1)*IF(Skills!H8&gt;0,Skills!I8/Skills!H8,1)+IF(Skills!H8&gt;0,MIN(Skills!I8,MAX(0,MAX(0,Inputs!$B$44-B901)-((R864-1)*IF(Inputs!$B$39="pvp",15,MAX(0.1,Skills!D8-IF(Skills!E8=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Skills!E8=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Inputs!$B$3&gt;=72</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IFERROR(1/IF(Inputs!$B$39="pvp",15,MAX(0.1,Skills!D9-IF(Skills!E9=TRUE,Inputs!$B$32,0))),0)</f>
        <v/>
      </c>
      <c r="R865">
        <f>IF(AND(Inputs!$B$39&lt;&gt;"pvp",Inputs!$B$44&gt;0),IF(MAX(0,Inputs!$B$44-B901)&lt;=0,0,(INT(MAX(0,Inputs!$B$44-B901)/IF(Inputs!$B$39="pvp",15,MAX(0.1,Skills!D9-IF(Skills!E9=TRUE,Inputs!$B$32,0))))+1)),0)</f>
        <v/>
      </c>
      <c r="S865">
        <f>IFERROR(O865/N865,0)</f>
        <v/>
      </c>
      <c r="T865">
        <f>IF(C865,(H865*N865*IF(AND(Inputs!$B$39&lt;&gt;"pvp",Inputs!$B$44&gt;0),((Skills!G9*((R865-1)*IF(Skills!H9&gt;0,Skills!I9/Skills!H9,1)+IF(Skills!H9&gt;0,MIN(Skills!I9,MAX(0,MAX(0,Inputs!$B$44-B901)-((R865-1)*IF(Inputs!$B$39="pvp",15,MAX(0.1,Skills!D9-IF(Skills!E9=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Skills!E9=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IFERROR(1/IF(Inputs!$B$39="pvp",15,MAX(0.1,Skills!D12-IF(Skills!E12=TRUE,Inputs!$B$32,0))),0)</f>
        <v/>
      </c>
      <c r="R868">
        <f>IF(AND(Inputs!$B$39&lt;&gt;"pvp",Inputs!$B$44&gt;0),IF(MAX(0,Inputs!$B$44-B901)&lt;=0,0,(INT(MAX(0,Inputs!$B$44-B901)/IF(Inputs!$B$39="pvp",15,MAX(0.1,Skills!D12-IF(Skills!E12=TRUE,Inputs!$B$32,0))))+1)),0)</f>
        <v/>
      </c>
      <c r="S868">
        <f>IFERROR(O868/N868,0)</f>
        <v/>
      </c>
      <c r="T868">
        <f>IF(C868,(H868*N868*IF(AND(Inputs!$B$39&lt;&gt;"pvp",Inputs!$B$44&gt;0),((Skills!G12*((R868-1)*IF(Skills!H12&gt;0,Skills!I12/Skills!H12,1)+IF(Skills!H12&gt;0,MIN(Skills!I12,MAX(0,MAX(0,Inputs!$B$44-B901)-((R868-1)*IF(Inputs!$B$39="pvp",15,MAX(0.1,Skills!D12-IF(Skills!E12=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Skills!E12=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IFERROR(1/IF(Inputs!$B$39="pvp",15,MAX(0.1,Skills!D13-IF(Skills!E13=TRUE,Inputs!$B$32,0))),0)</f>
        <v/>
      </c>
      <c r="R869">
        <f>IF(AND(Inputs!$B$39&lt;&gt;"pvp",Inputs!$B$44&gt;0),IF(MAX(0,Inputs!$B$44-B901)&lt;=0,0,(INT(MAX(0,Inputs!$B$44-B901)/IF(Inputs!$B$39="pvp",15,MAX(0.1,Skills!D13-IF(Skills!E13=TRUE,Inputs!$B$32,0))))+1)),0)</f>
        <v/>
      </c>
      <c r="S869">
        <f>IFERROR(O869/N869,0)</f>
        <v/>
      </c>
      <c r="T869">
        <f>IF(C869,(H869*N869*IF(AND(Inputs!$B$39&lt;&gt;"pvp",Inputs!$B$44&gt;0),((Skills!G13*((R869-1)*IF(Skills!H13&gt;0,Skills!I13/Skills!H13,1)+IF(Skills!H13&gt;0,MIN(Skills!I13,MAX(0,MAX(0,Inputs!$B$44-B901)-((R869-1)*IF(Inputs!$B$39="pvp",15,MAX(0.1,Skills!D13-IF(Skills!E13=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Skills!E13=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IFERROR(1/IF(Inputs!$B$39="pvp",15,MAX(0.1,Skills!D14-IF(Skills!E14=TRUE,Inputs!$B$32,0))),0)</f>
        <v/>
      </c>
      <c r="R870">
        <f>IF(AND(Inputs!$B$39&lt;&gt;"pvp",Inputs!$B$44&gt;0),IF(MAX(0,Inputs!$B$44-B901)&lt;=0,0,(INT(MAX(0,Inputs!$B$44-B901)/IF(Inputs!$B$39="pvp",15,MAX(0.1,Skills!D14-IF(Skills!E14=TRUE,Inputs!$B$32,0))))+1)),0)</f>
        <v/>
      </c>
      <c r="S870">
        <f>IFERROR(O870/N870,0)</f>
        <v/>
      </c>
      <c r="T870">
        <f>IF(C870,(H870*N870*IF(AND(Inputs!$B$39&lt;&gt;"pvp",Inputs!$B$44&gt;0),((Skills!G14*((R870-1)*IF(Skills!H14&gt;0,Skills!I14/Skills!H14,1)+IF(Skills!H14&gt;0,MIN(Skills!I14,MAX(0,MAX(0,Inputs!$B$44-B901)-((R870-1)*IF(Inputs!$B$39="pvp",15,MAX(0.1,Skills!D14-IF(Skills!E14=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Skills!E14=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IFERROR(1/IF(Inputs!$B$39="pvp",15,MAX(0.1,Skills!D15-IF(Skills!E15=TRUE,Inputs!$B$32,0))),0)</f>
        <v/>
      </c>
      <c r="R871">
        <f>IF(AND(Inputs!$B$39&lt;&gt;"pvp",Inputs!$B$44&gt;0),IF(Inputs!$B$44&lt;=0,0,(INT(Inputs!$B$44/IF(Inputs!$B$39="pvp",15,MAX(0.1,Skills!D15-IF(Skills!E15=TRUE,Inputs!$B$32,0))))+1)),0)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IFERROR(1/IF(Inputs!$B$39="pvp",15,MAX(0.1,Skills!D16-IF(Skills!E16=TRUE,Inputs!$B$32,0))),0)</f>
        <v/>
      </c>
      <c r="R872">
        <f>IF(AND(Inputs!$B$39&lt;&gt;"pvp",Inputs!$B$44&gt;0),IF(Inputs!$B$44&lt;=0,0,(INT(Inputs!$B$44/IF(Inputs!$B$39="pvp",15,MAX(0.1,Skills!D16-IF(Skills!E16=TRUE,Inputs!$B$32,0))))+1)),0)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IFERROR(1/IF(Inputs!$B$39="pvp",15,MAX(0.1,Skills!D19-IF(Skills!E19=TRUE,Inputs!$B$32,0))),0)</f>
        <v/>
      </c>
      <c r="R875">
        <f>IF(AND(Inputs!$B$39&lt;&gt;"pvp",Inputs!$B$44&gt;0),IF(Inputs!$B$44&lt;=0,0,(INT(Inputs!$B$44/IF(Inputs!$B$39="pvp",15,MAX(0.1,Skills!D19-IF(Skills!E19=TRUE,Inputs!$B$32,0))))+1)),0)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IFERROR(1/IF(Inputs!$B$39="pvp",15,MAX(0.1,Skills!D20-IF(Skills!E20=TRUE,Inputs!$B$32,0))),0)</f>
        <v/>
      </c>
      <c r="R876">
        <f>IF(AND(Inputs!$B$39&lt;&gt;"pvp",Inputs!$B$44&gt;0),IF(Inputs!$B$44&lt;=0,0,(INT(Inputs!$B$44/IF(Inputs!$B$39="pvp",15,MAX(0.1,Skills!D20-IF(Skills!E20=TRUE,Inputs!$B$32,0))))+1)),0)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IFERROR(1/IF(Inputs!$B$39="pvp",15,MAX(0.1,Skills!D21-IF(Skills!E21=TRUE,Inputs!$B$32,0))),0)</f>
        <v/>
      </c>
      <c r="R877">
        <f>IF(AND(Inputs!$B$39&lt;&gt;"pvp",Inputs!$B$44&gt;0),IF(Inputs!$B$44&lt;=0,0,(INT(Inputs!$B$44/IF(Inputs!$B$39="pvp",15,MAX(0.1,Skills!D21-IF(Skills!E21=TRUE,Inputs!$B$32,0))))+1)),0)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Skills!Y19*(1+Inputs!$B$34/100))+MIN((Skills!Y19*(1+Inputs!$B$34/100)),MAX(0,Inputs!$B$44-((R875-1)*Skills!D19))))/Inputs!$B$44),IF(Inputs!$B$39="pvp",MIN((Skills!Y19*(1+Inputs!$B$34/100)),15)/15,(Skills!Y19*(1+Inputs!$B$34/100))/Skills!D19)))/150)))/100</f>
        <v/>
      </c>
    </row>
    <row r="890">
      <c r="A890" t="inlineStr">
        <is>
          <t>Alchemic Adrenaline Uptime</t>
        </is>
      </c>
      <c r="B890">
        <f>(Skills!Y6*(1+Inputs!$B$34/100))/((Skills!Y6*(1+Inputs!$B$34/100))+(5/B889))</f>
        <v/>
      </c>
    </row>
    <row r="891">
      <c r="A891" t="inlineStr">
        <is>
          <t>Attack Speed Buff Bonus %</t>
        </is>
      </c>
      <c r="B891">
        <f>((C875=TRUE)*F875*IF(AND(Inputs!$B$39&lt;&gt;"pvp",Inputs!$B$44&gt;0),(((R875-1)*(Skills!Y19*(1+Inputs!$B$34/100))+MIN((Skills!Y19*(1+Inputs!$B$34/100)),MAX(0,Inputs!$B$44-((R875-1)*Skills!D19))))/Inputs!$B$44),IF(Inputs!$B$39="pvp",MIN((Skills!Y19*(1+Inputs!$B$34/100)),15)/15,(Skills!Y19*(1+Inputs!$B$34/100))/Skills!D19)))+((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f>
        <v/>
      </c>
    </row>
    <row r="896">
      <c r="A896" t="inlineStr">
        <is>
          <t>Global Crit Rate Bonus %</t>
        </is>
      </c>
      <c r="B896">
        <f>IF(Inputs!$B$3&gt;=47,8,0)+((C876=TRUE)*F876*IF(AND(Inputs!$B$39&lt;&gt;"pvp",Inputs!$B$44&gt;0),(((R876-1)*(Skills!Y20*(1+Inputs!$B$34/100))+MIN((Skills!Y20*(1+Inputs!$B$34/100)),MAX(0,Inputs!$B$44-((R876-1)*Skills!D20))))/Inputs!$B$44),IF(Inputs!$B$39="pvp",MIN((Skills!Y20*(1+Inputs!$B$34/100)),15)/15,(Skills!Y20*(1+Inputs!$B$34/100))/Skills!D20)))</f>
        <v/>
      </c>
    </row>
    <row r="897">
      <c r="A897" t="inlineStr">
        <is>
          <t>Global Monster Damage-Taken Bonus %</t>
        </is>
      </c>
      <c r="B897">
        <f>IF(Inputs!$B$3&gt;=82,15,0)+((C872=TRUE)*F872*IF(AND(Inputs!$B$39&lt;&gt;"pvp",Inputs!$B$44&gt;0),(((R872-1)*(Skills!Y16*(1+Inputs!$B$34/100))+MIN((Skills!Y16*(1+Inputs!$B$34/100)),MAX(0,Inputs!$B$44-((R872-1)*Skills!D16))))/Inputs!$B$44),IF(Inputs!$B$39="pvp",MIN((Skills!Y16*(1+Inputs!$B$34/100)),15)/15,(Skills!Y16*(1+Inputs!$B$34/100))/Skills!D16)))</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Skills!Y16*(1+Inputs!$B$34/100))+MIN((Skills!Y16*(1+Inputs!$B$34/100)),MAX(0,Inputs!$B$44-((R872-1)*Skills!D16))))/Inputs!$B$44),IF(Inputs!$B$39="pvp",MIN((Skills!Y16*(1+Inputs!$B$34/100)),15)/15,(Skills!Y16*(1+Inputs!$B$34/100))/Skills!D16))</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IFERROR(1/IF(Inputs!$B$39="pvp",15,MAX(0.1,Skills!D3-IF(Skills!E3=TRUE,Inputs!$B$32,0))),0)</f>
        <v/>
      </c>
      <c r="R908">
        <f>IF(AND(Inputs!$B$39&lt;&gt;"pvp",Inputs!$B$44&gt;0),IF(MAX(0,Inputs!$B$44-B950)&lt;=0,0,(INT(MAX(0,Inputs!$B$44-B950)/IF(Inputs!$B$39="pvp",15,MAX(0.1,Skills!D3-IF(Skills!E3=TRUE,Inputs!$B$32,0))))+1)),0)</f>
        <v/>
      </c>
      <c r="S908">
        <f>IFERROR(O908/N908,0)</f>
        <v/>
      </c>
      <c r="T908">
        <f>IF(C908,(H908*N908*IF(AND(Inputs!$B$39&lt;&gt;"pvp",Inputs!$B$44&gt;0),((Skills!G3*((R908-1)*IF(Skills!H3&gt;0,Skills!I3/Skills!H3,1)+IF(Skills!H3&gt;0,MIN(Skills!I3,MAX(0,MAX(0,Inputs!$B$44-B950)-((R908-1)*IF(Inputs!$B$39="pvp",15,MAX(0.1,Skills!D3-IF(Skills!E3=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Skills!E3=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Inputs!$B$3&gt;=40</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IFERROR(1/IF(Inputs!$B$39="pvp",15,MAX(0.1,Skills!D4-IF(Skills!E4=TRUE,Inputs!$B$32,0))),0)</f>
        <v/>
      </c>
      <c r="R909">
        <f>IF(AND(Inputs!$B$39&lt;&gt;"pvp",Inputs!$B$44&gt;0),IF(MAX(0,Inputs!$B$44-B950)&lt;=0,0,(INT(MAX(0,Inputs!$B$44-B950)/IF(Inputs!$B$39="pvp",15,MAX(0.1,Skills!D4-IF(Skills!E4=TRUE,Inputs!$B$32,0))))+1)),0)</f>
        <v/>
      </c>
      <c r="S909">
        <f>IFERROR(O909/N909,0)</f>
        <v/>
      </c>
      <c r="T909">
        <f>IF(C909,(H909*N909*IF(AND(Inputs!$B$39&lt;&gt;"pvp",Inputs!$B$44&gt;0),((Skills!G4*((R909-1)*IF(Skills!H4&gt;0,Skills!I4/Skills!H4,1)+IF(Skills!H4&gt;0,MIN(Skills!I4,MAX(0,MAX(0,Inputs!$B$44-B950)-((R909-1)*IF(Inputs!$B$39="pvp",15,MAX(0.1,Skills!D4-IF(Skills!E4=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Skills!E4=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IFERROR(1/IF(Inputs!$B$39="pvp",15,MAX(0.1,Skills!D5-IF(Skills!E5=TRUE,Inputs!$B$32,0))),0)</f>
        <v/>
      </c>
      <c r="R910">
        <f>IF(AND(Inputs!$B$39&lt;&gt;"pvp",Inputs!$B$44&gt;0),IF(MAX(0,Inputs!$B$44-B950)&lt;=0,0,(INT(MAX(0,Inputs!$B$44-B950)/IF(Inputs!$B$39="pvp",15,MAX(0.1,Skills!D5-IF(Skills!E5=TRUE,Inputs!$B$32,0))))+1)),0)</f>
        <v/>
      </c>
      <c r="S910">
        <f>IFERROR(O910/N910,0)</f>
        <v/>
      </c>
      <c r="T910">
        <f>IF(C910,(H910*N910*IF(AND(Inputs!$B$39&lt;&gt;"pvp",Inputs!$B$44&gt;0),((Skills!G5*((R910-1)*IF(Skills!H5&gt;0,Skills!I5/Skills!H5,1)+IF(Skills!H5&gt;0,MIN(Skills!I5,MAX(0,MAX(0,Inputs!$B$44-B950)-((R910-1)*IF(Inputs!$B$39="pvp",15,MAX(0.1,Skills!D5-IF(Skills!E5=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Skills!E5=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IFERROR(1/IF(Inputs!$B$39="pvp",15,MAX(0.1,Skills!D8-IF(Skills!E8=TRUE,Inputs!$B$32,0))),0)</f>
        <v/>
      </c>
      <c r="R913">
        <f>IF(AND(Inputs!$B$39&lt;&gt;"pvp",Inputs!$B$44&gt;0),IF(MAX(0,Inputs!$B$44-B950)&lt;=0,0,(INT(MAX(0,Inputs!$B$44-B950)/IF(Inputs!$B$39="pvp",15,MAX(0.1,Skills!D8-IF(Skills!E8=TRUE,Inputs!$B$32,0))))+1)),0)</f>
        <v/>
      </c>
      <c r="S913">
        <f>IFERROR(O913/N913,0)</f>
        <v/>
      </c>
      <c r="T913">
        <f>IF(C913,(H913*N913*IF(AND(Inputs!$B$39&lt;&gt;"pvp",Inputs!$B$44&gt;0),((Skills!G8*((R913-1)*IF(Skills!H8&gt;0,Skills!I8/Skills!H8,1)+IF(Skills!H8&gt;0,MIN(Skills!I8,MAX(0,MAX(0,Inputs!$B$44-B950)-((R913-1)*IF(Inputs!$B$39="pvp",15,MAX(0.1,Skills!D8-IF(Skills!E8=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Skills!E8=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Inputs!$B$3&gt;=72</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IFERROR(1/IF(Inputs!$B$39="pvp",15,MAX(0.1,Skills!D9-IF(Skills!E9=TRUE,Inputs!$B$32,0))),0)</f>
        <v/>
      </c>
      <c r="R914">
        <f>IF(AND(Inputs!$B$39&lt;&gt;"pvp",Inputs!$B$44&gt;0),IF(MAX(0,Inputs!$B$44-B950)&lt;=0,0,(INT(MAX(0,Inputs!$B$44-B950)/IF(Inputs!$B$39="pvp",15,MAX(0.1,Skills!D9-IF(Skills!E9=TRUE,Inputs!$B$32,0))))+1)),0)</f>
        <v/>
      </c>
      <c r="S914">
        <f>IFERROR(O914/N914,0)</f>
        <v/>
      </c>
      <c r="T914">
        <f>IF(C914,(H914*N914*IF(AND(Inputs!$B$39&lt;&gt;"pvp",Inputs!$B$44&gt;0),((Skills!G9*((R914-1)*IF(Skills!H9&gt;0,Skills!I9/Skills!H9,1)+IF(Skills!H9&gt;0,MIN(Skills!I9,MAX(0,MAX(0,Inputs!$B$44-B950)-((R914-1)*IF(Inputs!$B$39="pvp",15,MAX(0.1,Skills!D9-IF(Skills!E9=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Skills!E9=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IFERROR(1/IF(Inputs!$B$39="pvp",15,MAX(0.1,Skills!D12-IF(Skills!E12=TRUE,Inputs!$B$32,0))),0)</f>
        <v/>
      </c>
      <c r="R917">
        <f>IF(AND(Inputs!$B$39&lt;&gt;"pvp",Inputs!$B$44&gt;0),IF(MAX(0,Inputs!$B$44-B950)&lt;=0,0,(INT(MAX(0,Inputs!$B$44-B950)/IF(Inputs!$B$39="pvp",15,MAX(0.1,Skills!D12-IF(Skills!E12=TRUE,Inputs!$B$32,0))))+1)),0)</f>
        <v/>
      </c>
      <c r="S917">
        <f>IFERROR(O917/N917,0)</f>
        <v/>
      </c>
      <c r="T917">
        <f>IF(C917,(H917*N917*IF(AND(Inputs!$B$39&lt;&gt;"pvp",Inputs!$B$44&gt;0),((Skills!G12*((R917-1)*IF(Skills!H12&gt;0,Skills!I12/Skills!H12,1)+IF(Skills!H12&gt;0,MIN(Skills!I12,MAX(0,MAX(0,Inputs!$B$44-B950)-((R917-1)*IF(Inputs!$B$39="pvp",15,MAX(0.1,Skills!D12-IF(Skills!E12=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Skills!E12=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IFERROR(1/IF(Inputs!$B$39="pvp",15,MAX(0.1,Skills!D13-IF(Skills!E13=TRUE,Inputs!$B$32,0))),0)</f>
        <v/>
      </c>
      <c r="R918">
        <f>IF(AND(Inputs!$B$39&lt;&gt;"pvp",Inputs!$B$44&gt;0),IF(MAX(0,Inputs!$B$44-B950)&lt;=0,0,(INT(MAX(0,Inputs!$B$44-B950)/IF(Inputs!$B$39="pvp",15,MAX(0.1,Skills!D13-IF(Skills!E13=TRUE,Inputs!$B$32,0))))+1)),0)</f>
        <v/>
      </c>
      <c r="S918">
        <f>IFERROR(O918/N918,0)</f>
        <v/>
      </c>
      <c r="T918">
        <f>IF(C918,(H918*N918*IF(AND(Inputs!$B$39&lt;&gt;"pvp",Inputs!$B$44&gt;0),((Skills!G13*((R918-1)*IF(Skills!H13&gt;0,Skills!I13/Skills!H13,1)+IF(Skills!H13&gt;0,MIN(Skills!I13,MAX(0,MAX(0,Inputs!$B$44-B950)-((R918-1)*IF(Inputs!$B$39="pvp",15,MAX(0.1,Skills!D13-IF(Skills!E13=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Skills!E13=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IFERROR(1/IF(Inputs!$B$39="pvp",15,MAX(0.1,Skills!D14-IF(Skills!E14=TRUE,Inputs!$B$32,0))),0)</f>
        <v/>
      </c>
      <c r="R919">
        <f>IF(AND(Inputs!$B$39&lt;&gt;"pvp",Inputs!$B$44&gt;0),IF(MAX(0,Inputs!$B$44-B950)&lt;=0,0,(INT(MAX(0,Inputs!$B$44-B950)/IF(Inputs!$B$39="pvp",15,MAX(0.1,Skills!D14-IF(Skills!E14=TRUE,Inputs!$B$32,0))))+1)),0)</f>
        <v/>
      </c>
      <c r="S919">
        <f>IFERROR(O919/N919,0)</f>
        <v/>
      </c>
      <c r="T919">
        <f>IF(C919,(H919*N919*IF(AND(Inputs!$B$39&lt;&gt;"pvp",Inputs!$B$44&gt;0),((Skills!G14*((R919-1)*IF(Skills!H14&gt;0,Skills!I14/Skills!H14,1)+IF(Skills!H14&gt;0,MIN(Skills!I14,MAX(0,MAX(0,Inputs!$B$44-B950)-((R919-1)*IF(Inputs!$B$39="pvp",15,MAX(0.1,Skills!D14-IF(Skills!E14=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Skills!E14=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IFERROR(1/IF(Inputs!$B$39="pvp",15,MAX(0.1,Skills!D15-IF(Skills!E15=TRUE,Inputs!$B$32,0))),0)</f>
        <v/>
      </c>
      <c r="R920">
        <f>IF(AND(Inputs!$B$39&lt;&gt;"pvp",Inputs!$B$44&gt;0),IF(Inputs!$B$44&lt;=0,0,(INT(Inputs!$B$44/IF(Inputs!$B$39="pvp",15,MAX(0.1,Skills!D15-IF(Skills!E15=TRUE,Inputs!$B$32,0))))+1)),0)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IFERROR(1/IF(Inputs!$B$39="pvp",15,MAX(0.1,Skills!D16-IF(Skills!E16=TRUE,Inputs!$B$32,0))),0)</f>
        <v/>
      </c>
      <c r="R921">
        <f>IF(AND(Inputs!$B$39&lt;&gt;"pvp",Inputs!$B$44&gt;0),IF(Inputs!$B$44&lt;=0,0,(INT(Inputs!$B$44/IF(Inputs!$B$39="pvp",15,MAX(0.1,Skills!D16-IF(Skills!E16=TRUE,Inputs!$B$32,0))))+1)),0)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IFERROR(1/IF(Inputs!$B$39="pvp",15,MAX(0.1,Skills!D19-IF(Skills!E19=TRUE,Inputs!$B$32,0))),0)</f>
        <v/>
      </c>
      <c r="R924">
        <f>IF(AND(Inputs!$B$39&lt;&gt;"pvp",Inputs!$B$44&gt;0),IF(Inputs!$B$44&lt;=0,0,(INT(Inputs!$B$44/IF(Inputs!$B$39="pvp",15,MAX(0.1,Skills!D19-IF(Skills!E19=TRUE,Inputs!$B$32,0))))+1)),0)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IFERROR(1/IF(Inputs!$B$39="pvp",15,MAX(0.1,Skills!D20-IF(Skills!E20=TRUE,Inputs!$B$32,0))),0)</f>
        <v/>
      </c>
      <c r="R925">
        <f>IF(AND(Inputs!$B$39&lt;&gt;"pvp",Inputs!$B$44&gt;0),IF(Inputs!$B$44&lt;=0,0,(INT(Inputs!$B$44/IF(Inputs!$B$39="pvp",15,MAX(0.1,Skills!D20-IF(Skills!E20=TRUE,Inputs!$B$32,0))))+1)),0)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IFERROR(1/IF(Inputs!$B$39="pvp",15,MAX(0.1,Skills!D21-IF(Skills!E21=TRUE,Inputs!$B$32,0))),0)</f>
        <v/>
      </c>
      <c r="R926">
        <f>IF(AND(Inputs!$B$39&lt;&gt;"pvp",Inputs!$B$44&gt;0),IF(Inputs!$B$44&lt;=0,0,(INT(Inputs!$B$44/IF(Inputs!$B$39="pvp",15,MAX(0.1,Skills!D21-IF(Skills!E21=TRUE,Inputs!$B$32,0))))+1)),0)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Skills!Y19*(1+Inputs!$B$34/100))+MIN((Skills!Y19*(1+Inputs!$B$34/100)),MAX(0,Inputs!$B$44-((R924-1)*Skills!D19))))/Inputs!$B$44),IF(Inputs!$B$39="pvp",MIN((Skills!Y19*(1+Inputs!$B$34/100)),15)/15,(Skills!Y19*(1+Inputs!$B$34/100))/Skills!D19)))/150)))/100</f>
        <v/>
      </c>
    </row>
    <row r="939">
      <c r="A939" t="inlineStr">
        <is>
          <t>Alchemic Adrenaline Uptime</t>
        </is>
      </c>
      <c r="B939">
        <f>(Skills!Y6*(1+Inputs!$B$34/100))/((Skills!Y6*(1+Inputs!$B$34/100))+(5/B938))</f>
        <v/>
      </c>
    </row>
    <row r="940">
      <c r="A940" t="inlineStr">
        <is>
          <t>Attack Speed Buff Bonus %</t>
        </is>
      </c>
      <c r="B940">
        <f>((C924=TRUE)*F924*IF(AND(Inputs!$B$39&lt;&gt;"pvp",Inputs!$B$44&gt;0),(((R924-1)*(Skills!Y19*(1+Inputs!$B$34/100))+MIN((Skills!Y19*(1+Inputs!$B$34/100)),MAX(0,Inputs!$B$44-((R924-1)*Skills!D19))))/Inputs!$B$44),IF(Inputs!$B$39="pvp",MIN((Skills!Y19*(1+Inputs!$B$34/100)),15)/15,(Skills!Y19*(1+Inputs!$B$34/100))/Skills!D19)))+((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f>
        <v/>
      </c>
    </row>
    <row r="945">
      <c r="A945" t="inlineStr">
        <is>
          <t>Global Crit Rate Bonus %</t>
        </is>
      </c>
      <c r="B945">
        <f>IF(Inputs!$B$3&gt;=47,8,0)+((C925=TRUE)*F925*IF(AND(Inputs!$B$39&lt;&gt;"pvp",Inputs!$B$44&gt;0),(((R925-1)*(Skills!Y20*(1+Inputs!$B$34/100))+MIN((Skills!Y20*(1+Inputs!$B$34/100)),MAX(0,Inputs!$B$44-((R925-1)*Skills!D20))))/Inputs!$B$44),IF(Inputs!$B$39="pvp",MIN((Skills!Y20*(1+Inputs!$B$34/100)),15)/15,(Skills!Y20*(1+Inputs!$B$34/100))/Skills!D20)))</f>
        <v/>
      </c>
    </row>
    <row r="946">
      <c r="A946" t="inlineStr">
        <is>
          <t>Global Monster Damage-Taken Bonus %</t>
        </is>
      </c>
      <c r="B946">
        <f>IF(Inputs!$B$3&gt;=82,15,0)+((C921=TRUE)*F921*IF(AND(Inputs!$B$39&lt;&gt;"pvp",Inputs!$B$44&gt;0),(((R921-1)*(Skills!Y16*(1+Inputs!$B$34/100))+MIN((Skills!Y16*(1+Inputs!$B$34/100)),MAX(0,Inputs!$B$44-((R921-1)*Skills!D16))))/Inputs!$B$44),IF(Inputs!$B$39="pvp",MIN((Skills!Y16*(1+Inputs!$B$34/100)),15)/15,(Skills!Y16*(1+Inputs!$B$34/100))/Skills!D16)))</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Skills!Y16*(1+Inputs!$B$34/100))+MIN((Skills!Y16*(1+Inputs!$B$34/100)),MAX(0,Inputs!$B$44-((R921-1)*Skills!D16))))/Inputs!$B$44),IF(Inputs!$B$39="pvp",MIN((Skills!Y16*(1+Inputs!$B$34/100)),15)/15,(Skills!Y16*(1+Inputs!$B$34/100))/Skills!D16))</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IFERROR(1/IF(Inputs!$B$39="pvp",15,MAX(0.1,Skills!D3-IF(Skills!E3=TRUE,Inputs!$B$32,0))),0)</f>
        <v/>
      </c>
      <c r="R957">
        <f>IF(AND(Inputs!$B$39&lt;&gt;"pvp",Inputs!$B$44&gt;0),IF(MAX(0,Inputs!$B$44-B999)&lt;=0,0,(INT(MAX(0,Inputs!$B$44-B999)/IF(Inputs!$B$39="pvp",15,MAX(0.1,Skills!D3-IF(Skills!E3=TRUE,Inputs!$B$32,0))))+1)),0)</f>
        <v/>
      </c>
      <c r="S957">
        <f>IFERROR(O957/N957,0)</f>
        <v/>
      </c>
      <c r="T957">
        <f>IF(C957,(H957*N957*IF(AND(Inputs!$B$39&lt;&gt;"pvp",Inputs!$B$44&gt;0),((Skills!G3*((R957-1)*IF(Skills!H3&gt;0,Skills!I3/Skills!H3,1)+IF(Skills!H3&gt;0,MIN(Skills!I3,MAX(0,MAX(0,Inputs!$B$44-B999)-((R957-1)*IF(Inputs!$B$39="pvp",15,MAX(0.1,Skills!D3-IF(Skills!E3=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Skills!E3=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Inputs!$B$3&gt;=40</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IFERROR(1/IF(Inputs!$B$39="pvp",15,MAX(0.1,Skills!D4-IF(Skills!E4=TRUE,Inputs!$B$32,0))),0)</f>
        <v/>
      </c>
      <c r="R958">
        <f>IF(AND(Inputs!$B$39&lt;&gt;"pvp",Inputs!$B$44&gt;0),IF(MAX(0,Inputs!$B$44-B999)&lt;=0,0,(INT(MAX(0,Inputs!$B$44-B999)/IF(Inputs!$B$39="pvp",15,MAX(0.1,Skills!D4-IF(Skills!E4=TRUE,Inputs!$B$32,0))))+1)),0)</f>
        <v/>
      </c>
      <c r="S958">
        <f>IFERROR(O958/N958,0)</f>
        <v/>
      </c>
      <c r="T958">
        <f>IF(C958,(H958*N958*IF(AND(Inputs!$B$39&lt;&gt;"pvp",Inputs!$B$44&gt;0),((Skills!G4*((R958-1)*IF(Skills!H4&gt;0,Skills!I4/Skills!H4,1)+IF(Skills!H4&gt;0,MIN(Skills!I4,MAX(0,MAX(0,Inputs!$B$44-B999)-((R958-1)*IF(Inputs!$B$39="pvp",15,MAX(0.1,Skills!D4-IF(Skills!E4=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Skills!E4=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IFERROR(1/IF(Inputs!$B$39="pvp",15,MAX(0.1,Skills!D5-IF(Skills!E5=TRUE,Inputs!$B$32,0))),0)</f>
        <v/>
      </c>
      <c r="R959">
        <f>IF(AND(Inputs!$B$39&lt;&gt;"pvp",Inputs!$B$44&gt;0),IF(MAX(0,Inputs!$B$44-B999)&lt;=0,0,(INT(MAX(0,Inputs!$B$44-B999)/IF(Inputs!$B$39="pvp",15,MAX(0.1,Skills!D5-IF(Skills!E5=TRUE,Inputs!$B$32,0))))+1)),0)</f>
        <v/>
      </c>
      <c r="S959">
        <f>IFERROR(O959/N959,0)</f>
        <v/>
      </c>
      <c r="T959">
        <f>IF(C959,(H959*N959*IF(AND(Inputs!$B$39&lt;&gt;"pvp",Inputs!$B$44&gt;0),((Skills!G5*((R959-1)*IF(Skills!H5&gt;0,Skills!I5/Skills!H5,1)+IF(Skills!H5&gt;0,MIN(Skills!I5,MAX(0,MAX(0,Inputs!$B$44-B999)-((R959-1)*IF(Inputs!$B$39="pvp",15,MAX(0.1,Skills!D5-IF(Skills!E5=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Skills!E5=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IFERROR(1/IF(Inputs!$B$39="pvp",15,MAX(0.1,Skills!D8-IF(Skills!E8=TRUE,Inputs!$B$32,0))),0)</f>
        <v/>
      </c>
      <c r="R962">
        <f>IF(AND(Inputs!$B$39&lt;&gt;"pvp",Inputs!$B$44&gt;0),IF(MAX(0,Inputs!$B$44-B999)&lt;=0,0,(INT(MAX(0,Inputs!$B$44-B999)/IF(Inputs!$B$39="pvp",15,MAX(0.1,Skills!D8-IF(Skills!E8=TRUE,Inputs!$B$32,0))))+1)),0)</f>
        <v/>
      </c>
      <c r="S962">
        <f>IFERROR(O962/N962,0)</f>
        <v/>
      </c>
      <c r="T962">
        <f>IF(C962,(H962*N962*IF(AND(Inputs!$B$39&lt;&gt;"pvp",Inputs!$B$44&gt;0),((Skills!G8*((R962-1)*IF(Skills!H8&gt;0,Skills!I8/Skills!H8,1)+IF(Skills!H8&gt;0,MIN(Skills!I8,MAX(0,MAX(0,Inputs!$B$44-B999)-((R962-1)*IF(Inputs!$B$39="pvp",15,MAX(0.1,Skills!D8-IF(Skills!E8=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Skills!E8=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Inputs!$B$3&gt;=72</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IFERROR(1/IF(Inputs!$B$39="pvp",15,MAX(0.1,Skills!D9-IF(Skills!E9=TRUE,Inputs!$B$32,0))),0)</f>
        <v/>
      </c>
      <c r="R963">
        <f>IF(AND(Inputs!$B$39&lt;&gt;"pvp",Inputs!$B$44&gt;0),IF(MAX(0,Inputs!$B$44-B999)&lt;=0,0,(INT(MAX(0,Inputs!$B$44-B999)/IF(Inputs!$B$39="pvp",15,MAX(0.1,Skills!D9-IF(Skills!E9=TRUE,Inputs!$B$32,0))))+1)),0)</f>
        <v/>
      </c>
      <c r="S963">
        <f>IFERROR(O963/N963,0)</f>
        <v/>
      </c>
      <c r="T963">
        <f>IF(C963,(H963*N963*IF(AND(Inputs!$B$39&lt;&gt;"pvp",Inputs!$B$44&gt;0),((Skills!G9*((R963-1)*IF(Skills!H9&gt;0,Skills!I9/Skills!H9,1)+IF(Skills!H9&gt;0,MIN(Skills!I9,MAX(0,MAX(0,Inputs!$B$44-B999)-((R963-1)*IF(Inputs!$B$39="pvp",15,MAX(0.1,Skills!D9-IF(Skills!E9=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Skills!E9=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IFERROR(1/IF(Inputs!$B$39="pvp",15,MAX(0.1,Skills!D12-IF(Skills!E12=TRUE,Inputs!$B$32,0))),0)</f>
        <v/>
      </c>
      <c r="R966">
        <f>IF(AND(Inputs!$B$39&lt;&gt;"pvp",Inputs!$B$44&gt;0),IF(MAX(0,Inputs!$B$44-B999)&lt;=0,0,(INT(MAX(0,Inputs!$B$44-B999)/IF(Inputs!$B$39="pvp",15,MAX(0.1,Skills!D12-IF(Skills!E12=TRUE,Inputs!$B$32,0))))+1)),0)</f>
        <v/>
      </c>
      <c r="S966">
        <f>IFERROR(O966/N966,0)</f>
        <v/>
      </c>
      <c r="T966">
        <f>IF(C966,(H966*N966*IF(AND(Inputs!$B$39&lt;&gt;"pvp",Inputs!$B$44&gt;0),((Skills!G12*((R966-1)*IF(Skills!H12&gt;0,Skills!I12/Skills!H12,1)+IF(Skills!H12&gt;0,MIN(Skills!I12,MAX(0,MAX(0,Inputs!$B$44-B999)-((R966-1)*IF(Inputs!$B$39="pvp",15,MAX(0.1,Skills!D12-IF(Skills!E12=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Skills!E12=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IFERROR(1/IF(Inputs!$B$39="pvp",15,MAX(0.1,Skills!D13-IF(Skills!E13=TRUE,Inputs!$B$32,0))),0)</f>
        <v/>
      </c>
      <c r="R967">
        <f>IF(AND(Inputs!$B$39&lt;&gt;"pvp",Inputs!$B$44&gt;0),IF(MAX(0,Inputs!$B$44-B999)&lt;=0,0,(INT(MAX(0,Inputs!$B$44-B999)/IF(Inputs!$B$39="pvp",15,MAX(0.1,Skills!D13-IF(Skills!E13=TRUE,Inputs!$B$32,0))))+1)),0)</f>
        <v/>
      </c>
      <c r="S967">
        <f>IFERROR(O967/N967,0)</f>
        <v/>
      </c>
      <c r="T967">
        <f>IF(C967,(H967*N967*IF(AND(Inputs!$B$39&lt;&gt;"pvp",Inputs!$B$44&gt;0),((Skills!G13*((R967-1)*IF(Skills!H13&gt;0,Skills!I13/Skills!H13,1)+IF(Skills!H13&gt;0,MIN(Skills!I13,MAX(0,MAX(0,Inputs!$B$44-B999)-((R967-1)*IF(Inputs!$B$39="pvp",15,MAX(0.1,Skills!D13-IF(Skills!E13=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Skills!E13=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IFERROR(1/IF(Inputs!$B$39="pvp",15,MAX(0.1,Skills!D14-IF(Skills!E14=TRUE,Inputs!$B$32,0))),0)</f>
        <v/>
      </c>
      <c r="R968">
        <f>IF(AND(Inputs!$B$39&lt;&gt;"pvp",Inputs!$B$44&gt;0),IF(MAX(0,Inputs!$B$44-B999)&lt;=0,0,(INT(MAX(0,Inputs!$B$44-B999)/IF(Inputs!$B$39="pvp",15,MAX(0.1,Skills!D14-IF(Skills!E14=TRUE,Inputs!$B$32,0))))+1)),0)</f>
        <v/>
      </c>
      <c r="S968">
        <f>IFERROR(O968/N968,0)</f>
        <v/>
      </c>
      <c r="T968">
        <f>IF(C968,(H968*N968*IF(AND(Inputs!$B$39&lt;&gt;"pvp",Inputs!$B$44&gt;0),((Skills!G14*((R968-1)*IF(Skills!H14&gt;0,Skills!I14/Skills!H14,1)+IF(Skills!H14&gt;0,MIN(Skills!I14,MAX(0,MAX(0,Inputs!$B$44-B999)-((R968-1)*IF(Inputs!$B$39="pvp",15,MAX(0.1,Skills!D14-IF(Skills!E14=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Skills!E14=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IFERROR(1/IF(Inputs!$B$39="pvp",15,MAX(0.1,Skills!D15-IF(Skills!E15=TRUE,Inputs!$B$32,0))),0)</f>
        <v/>
      </c>
      <c r="R969">
        <f>IF(AND(Inputs!$B$39&lt;&gt;"pvp",Inputs!$B$44&gt;0),IF(Inputs!$B$44&lt;=0,0,(INT(Inputs!$B$44/IF(Inputs!$B$39="pvp",15,MAX(0.1,Skills!D15-IF(Skills!E15=TRUE,Inputs!$B$32,0))))+1)),0)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IFERROR(1/IF(Inputs!$B$39="pvp",15,MAX(0.1,Skills!D16-IF(Skills!E16=TRUE,Inputs!$B$32,0))),0)</f>
        <v/>
      </c>
      <c r="R970">
        <f>IF(AND(Inputs!$B$39&lt;&gt;"pvp",Inputs!$B$44&gt;0),IF(Inputs!$B$44&lt;=0,0,(INT(Inputs!$B$44/IF(Inputs!$B$39="pvp",15,MAX(0.1,Skills!D16-IF(Skills!E16=TRUE,Inputs!$B$32,0))))+1)),0)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IFERROR(1/IF(Inputs!$B$39="pvp",15,MAX(0.1,Skills!D19-IF(Skills!E19=TRUE,Inputs!$B$32,0))),0)</f>
        <v/>
      </c>
      <c r="R973">
        <f>IF(AND(Inputs!$B$39&lt;&gt;"pvp",Inputs!$B$44&gt;0),IF(Inputs!$B$44&lt;=0,0,(INT(Inputs!$B$44/IF(Inputs!$B$39="pvp",15,MAX(0.1,Skills!D19-IF(Skills!E19=TRUE,Inputs!$B$32,0))))+1)),0)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IFERROR(1/IF(Inputs!$B$39="pvp",15,MAX(0.1,Skills!D20-IF(Skills!E20=TRUE,Inputs!$B$32,0))),0)</f>
        <v/>
      </c>
      <c r="R974">
        <f>IF(AND(Inputs!$B$39&lt;&gt;"pvp",Inputs!$B$44&gt;0),IF(Inputs!$B$44&lt;=0,0,(INT(Inputs!$B$44/IF(Inputs!$B$39="pvp",15,MAX(0.1,Skills!D20-IF(Skills!E20=TRUE,Inputs!$B$32,0))))+1)),0)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IFERROR(1/IF(Inputs!$B$39="pvp",15,MAX(0.1,Skills!D21-IF(Skills!E21=TRUE,Inputs!$B$32,0))),0)</f>
        <v/>
      </c>
      <c r="R975">
        <f>IF(AND(Inputs!$B$39&lt;&gt;"pvp",Inputs!$B$44&gt;0),IF(Inputs!$B$44&lt;=0,0,(INT(Inputs!$B$44/IF(Inputs!$B$39="pvp",15,MAX(0.1,Skills!D21-IF(Skills!E21=TRUE,Inputs!$B$32,0))))+1)),0)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Skills!Y19*(1+Inputs!$B$34/100))+MIN((Skills!Y19*(1+Inputs!$B$34/100)),MAX(0,Inputs!$B$44-((R973-1)*Skills!D19))))/Inputs!$B$44),IF(Inputs!$B$39="pvp",MIN((Skills!Y19*(1+Inputs!$B$34/100)),15)/15,(Skills!Y19*(1+Inputs!$B$34/100))/Skills!D19)))/150)))/100</f>
        <v/>
      </c>
    </row>
    <row r="988">
      <c r="A988" t="inlineStr">
        <is>
          <t>Alchemic Adrenaline Uptime</t>
        </is>
      </c>
      <c r="B988">
        <f>(Skills!Y6*(1+Inputs!$B$34/100))/((Skills!Y6*(1+Inputs!$B$34/100))+(5/B987))</f>
        <v/>
      </c>
    </row>
    <row r="989">
      <c r="A989" t="inlineStr">
        <is>
          <t>Attack Speed Buff Bonus %</t>
        </is>
      </c>
      <c r="B989">
        <f>((C973=TRUE)*F973*IF(AND(Inputs!$B$39&lt;&gt;"pvp",Inputs!$B$44&gt;0),(((R973-1)*(Skills!Y19*(1+Inputs!$B$34/100))+MIN((Skills!Y19*(1+Inputs!$B$34/100)),MAX(0,Inputs!$B$44-((R973-1)*Skills!D19))))/Inputs!$B$44),IF(Inputs!$B$39="pvp",MIN((Skills!Y19*(1+Inputs!$B$34/100)),15)/15,(Skills!Y19*(1+Inputs!$B$34/100))/Skills!D19)))+((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f>
        <v/>
      </c>
    </row>
    <row r="994">
      <c r="A994" t="inlineStr">
        <is>
          <t>Global Crit Rate Bonus %</t>
        </is>
      </c>
      <c r="B994">
        <f>IF(Inputs!$B$3&gt;=47,8,0)+((C974=TRUE)*F974*IF(AND(Inputs!$B$39&lt;&gt;"pvp",Inputs!$B$44&gt;0),(((R974-1)*(Skills!Y20*(1+Inputs!$B$34/100))+MIN((Skills!Y20*(1+Inputs!$B$34/100)),MAX(0,Inputs!$B$44-((R974-1)*Skills!D20))))/Inputs!$B$44),IF(Inputs!$B$39="pvp",MIN((Skills!Y20*(1+Inputs!$B$34/100)),15)/15,(Skills!Y20*(1+Inputs!$B$34/100))/Skills!D20)))</f>
        <v/>
      </c>
    </row>
    <row r="995">
      <c r="A995" t="inlineStr">
        <is>
          <t>Global Monster Damage-Taken Bonus %</t>
        </is>
      </c>
      <c r="B995">
        <f>IF(Inputs!$B$3&gt;=82,15,0)+((C970=TRUE)*F970*IF(AND(Inputs!$B$39&lt;&gt;"pvp",Inputs!$B$44&gt;0),(((R970-1)*(Skills!Y16*(1+Inputs!$B$34/100))+MIN((Skills!Y16*(1+Inputs!$B$34/100)),MAX(0,Inputs!$B$44-((R970-1)*Skills!D16))))/Inputs!$B$44),IF(Inputs!$B$39="pvp",MIN((Skills!Y16*(1+Inputs!$B$34/100)),15)/15,(Skills!Y16*(1+Inputs!$B$34/100))/Skills!D16)))</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Skills!Y16*(1+Inputs!$B$34/100))+MIN((Skills!Y16*(1+Inputs!$B$34/100)),MAX(0,Inputs!$B$44-((R970-1)*Skills!D16))))/Inputs!$B$44),IF(Inputs!$B$39="pvp",MIN((Skills!Y16*(1+Inputs!$B$34/100)),15)/15,(Skills!Y16*(1+Inputs!$B$34/100))/Skills!D16))</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IFERROR(1/IF(Inputs!$B$39="pvp",15,MAX(0.1,Skills!D3-IF(Skills!E3=TRUE,Inputs!$B$32,0))),0)</f>
        <v/>
      </c>
      <c r="R1006">
        <f>IF(AND(Inputs!$B$39&lt;&gt;"pvp",Inputs!$B$44&gt;0),IF(MAX(0,Inputs!$B$44-B1048)&lt;=0,0,(INT(MAX(0,Inputs!$B$44-B1048)/IF(Inputs!$B$39="pvp",15,MAX(0.1,Skills!D3-IF(Skills!E3=TRUE,Inputs!$B$32,0))))+1)),0)</f>
        <v/>
      </c>
      <c r="S1006">
        <f>IFERROR(O1006/N1006,0)</f>
        <v/>
      </c>
      <c r="T1006">
        <f>IF(C1006,(H1006*N1006*IF(AND(Inputs!$B$39&lt;&gt;"pvp",Inputs!$B$44&gt;0),((Skills!G3*((R1006-1)*IF(Skills!H3&gt;0,Skills!I3/Skills!H3,1)+IF(Skills!H3&gt;0,MIN(Skills!I3,MAX(0,MAX(0,Inputs!$B$44-B1048)-((R1006-1)*IF(Inputs!$B$39="pvp",15,MAX(0.1,Skills!D3-IF(Skills!E3=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Skills!E3=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Inputs!$B$3&gt;=40</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IFERROR(1/IF(Inputs!$B$39="pvp",15,MAX(0.1,Skills!D4-IF(Skills!E4=TRUE,Inputs!$B$32,0))),0)</f>
        <v/>
      </c>
      <c r="R1007">
        <f>IF(AND(Inputs!$B$39&lt;&gt;"pvp",Inputs!$B$44&gt;0),IF(MAX(0,Inputs!$B$44-B1048)&lt;=0,0,(INT(MAX(0,Inputs!$B$44-B1048)/IF(Inputs!$B$39="pvp",15,MAX(0.1,Skills!D4-IF(Skills!E4=TRUE,Inputs!$B$32,0))))+1)),0)</f>
        <v/>
      </c>
      <c r="S1007">
        <f>IFERROR(O1007/N1007,0)</f>
        <v/>
      </c>
      <c r="T1007">
        <f>IF(C1007,(H1007*N1007*IF(AND(Inputs!$B$39&lt;&gt;"pvp",Inputs!$B$44&gt;0),((Skills!G4*((R1007-1)*IF(Skills!H4&gt;0,Skills!I4/Skills!H4,1)+IF(Skills!H4&gt;0,MIN(Skills!I4,MAX(0,MAX(0,Inputs!$B$44-B1048)-((R1007-1)*IF(Inputs!$B$39="pvp",15,MAX(0.1,Skills!D4-IF(Skills!E4=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Skills!E4=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IFERROR(1/IF(Inputs!$B$39="pvp",15,MAX(0.1,Skills!D5-IF(Skills!E5=TRUE,Inputs!$B$32,0))),0)</f>
        <v/>
      </c>
      <c r="R1008">
        <f>IF(AND(Inputs!$B$39&lt;&gt;"pvp",Inputs!$B$44&gt;0),IF(MAX(0,Inputs!$B$44-B1048)&lt;=0,0,(INT(MAX(0,Inputs!$B$44-B1048)/IF(Inputs!$B$39="pvp",15,MAX(0.1,Skills!D5-IF(Skills!E5=TRUE,Inputs!$B$32,0))))+1)),0)</f>
        <v/>
      </c>
      <c r="S1008">
        <f>IFERROR(O1008/N1008,0)</f>
        <v/>
      </c>
      <c r="T1008">
        <f>IF(C1008,(H1008*N1008*IF(AND(Inputs!$B$39&lt;&gt;"pvp",Inputs!$B$44&gt;0),((Skills!G5*((R1008-1)*IF(Skills!H5&gt;0,Skills!I5/Skills!H5,1)+IF(Skills!H5&gt;0,MIN(Skills!I5,MAX(0,MAX(0,Inputs!$B$44-B1048)-((R1008-1)*IF(Inputs!$B$39="pvp",15,MAX(0.1,Skills!D5-IF(Skills!E5=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Skills!E5=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IFERROR(1/IF(Inputs!$B$39="pvp",15,MAX(0.1,Skills!D8-IF(Skills!E8=TRUE,Inputs!$B$32,0))),0)</f>
        <v/>
      </c>
      <c r="R1011">
        <f>IF(AND(Inputs!$B$39&lt;&gt;"pvp",Inputs!$B$44&gt;0),IF(MAX(0,Inputs!$B$44-B1048)&lt;=0,0,(INT(MAX(0,Inputs!$B$44-B1048)/IF(Inputs!$B$39="pvp",15,MAX(0.1,Skills!D8-IF(Skills!E8=TRUE,Inputs!$B$32,0))))+1)),0)</f>
        <v/>
      </c>
      <c r="S1011">
        <f>IFERROR(O1011/N1011,0)</f>
        <v/>
      </c>
      <c r="T1011">
        <f>IF(C1011,(H1011*N1011*IF(AND(Inputs!$B$39&lt;&gt;"pvp",Inputs!$B$44&gt;0),((Skills!G8*((R1011-1)*IF(Skills!H8&gt;0,Skills!I8/Skills!H8,1)+IF(Skills!H8&gt;0,MIN(Skills!I8,MAX(0,MAX(0,Inputs!$B$44-B1048)-((R1011-1)*IF(Inputs!$B$39="pvp",15,MAX(0.1,Skills!D8-IF(Skills!E8=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Skills!E8=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Inputs!$B$3&gt;=72</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IFERROR(1/IF(Inputs!$B$39="pvp",15,MAX(0.1,Skills!D9-IF(Skills!E9=TRUE,Inputs!$B$32,0))),0)</f>
        <v/>
      </c>
      <c r="R1012">
        <f>IF(AND(Inputs!$B$39&lt;&gt;"pvp",Inputs!$B$44&gt;0),IF(MAX(0,Inputs!$B$44-B1048)&lt;=0,0,(INT(MAX(0,Inputs!$B$44-B1048)/IF(Inputs!$B$39="pvp",15,MAX(0.1,Skills!D9-IF(Skills!E9=TRUE,Inputs!$B$32,0))))+1)),0)</f>
        <v/>
      </c>
      <c r="S1012">
        <f>IFERROR(O1012/N1012,0)</f>
        <v/>
      </c>
      <c r="T1012">
        <f>IF(C1012,(H1012*N1012*IF(AND(Inputs!$B$39&lt;&gt;"pvp",Inputs!$B$44&gt;0),((Skills!G9*((R1012-1)*IF(Skills!H9&gt;0,Skills!I9/Skills!H9,1)+IF(Skills!H9&gt;0,MIN(Skills!I9,MAX(0,MAX(0,Inputs!$B$44-B1048)-((R1012-1)*IF(Inputs!$B$39="pvp",15,MAX(0.1,Skills!D9-IF(Skills!E9=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Skills!E9=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IFERROR(1/IF(Inputs!$B$39="pvp",15,MAX(0.1,Skills!D12-IF(Skills!E12=TRUE,Inputs!$B$32,0))),0)</f>
        <v/>
      </c>
      <c r="R1015">
        <f>IF(AND(Inputs!$B$39&lt;&gt;"pvp",Inputs!$B$44&gt;0),IF(MAX(0,Inputs!$B$44-B1048)&lt;=0,0,(INT(MAX(0,Inputs!$B$44-B1048)/IF(Inputs!$B$39="pvp",15,MAX(0.1,Skills!D12-IF(Skills!E12=TRUE,Inputs!$B$32,0))))+1)),0)</f>
        <v/>
      </c>
      <c r="S1015">
        <f>IFERROR(O1015/N1015,0)</f>
        <v/>
      </c>
      <c r="T1015">
        <f>IF(C1015,(H1015*N1015*IF(AND(Inputs!$B$39&lt;&gt;"pvp",Inputs!$B$44&gt;0),((Skills!G12*((R1015-1)*IF(Skills!H12&gt;0,Skills!I12/Skills!H12,1)+IF(Skills!H12&gt;0,MIN(Skills!I12,MAX(0,MAX(0,Inputs!$B$44-B1048)-((R1015-1)*IF(Inputs!$B$39="pvp",15,MAX(0.1,Skills!D12-IF(Skills!E12=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Skills!E12=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IFERROR(1/IF(Inputs!$B$39="pvp",15,MAX(0.1,Skills!D13-IF(Skills!E13=TRUE,Inputs!$B$32,0))),0)</f>
        <v/>
      </c>
      <c r="R1016">
        <f>IF(AND(Inputs!$B$39&lt;&gt;"pvp",Inputs!$B$44&gt;0),IF(MAX(0,Inputs!$B$44-B1048)&lt;=0,0,(INT(MAX(0,Inputs!$B$44-B1048)/IF(Inputs!$B$39="pvp",15,MAX(0.1,Skills!D13-IF(Skills!E13=TRUE,Inputs!$B$32,0))))+1)),0)</f>
        <v/>
      </c>
      <c r="S1016">
        <f>IFERROR(O1016/N1016,0)</f>
        <v/>
      </c>
      <c r="T1016">
        <f>IF(C1016,(H1016*N1016*IF(AND(Inputs!$B$39&lt;&gt;"pvp",Inputs!$B$44&gt;0),((Skills!G13*((R1016-1)*IF(Skills!H13&gt;0,Skills!I13/Skills!H13,1)+IF(Skills!H13&gt;0,MIN(Skills!I13,MAX(0,MAX(0,Inputs!$B$44-B1048)-((R1016-1)*IF(Inputs!$B$39="pvp",15,MAX(0.1,Skills!D13-IF(Skills!E13=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Skills!E13=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IFERROR(1/IF(Inputs!$B$39="pvp",15,MAX(0.1,Skills!D14-IF(Skills!E14=TRUE,Inputs!$B$32,0))),0)</f>
        <v/>
      </c>
      <c r="R1017">
        <f>IF(AND(Inputs!$B$39&lt;&gt;"pvp",Inputs!$B$44&gt;0),IF(MAX(0,Inputs!$B$44-B1048)&lt;=0,0,(INT(MAX(0,Inputs!$B$44-B1048)/IF(Inputs!$B$39="pvp",15,MAX(0.1,Skills!D14-IF(Skills!E14=TRUE,Inputs!$B$32,0))))+1)),0)</f>
        <v/>
      </c>
      <c r="S1017">
        <f>IFERROR(O1017/N1017,0)</f>
        <v/>
      </c>
      <c r="T1017">
        <f>IF(C1017,(H1017*N1017*IF(AND(Inputs!$B$39&lt;&gt;"pvp",Inputs!$B$44&gt;0),((Skills!G14*((R1017-1)*IF(Skills!H14&gt;0,Skills!I14/Skills!H14,1)+IF(Skills!H14&gt;0,MIN(Skills!I14,MAX(0,MAX(0,Inputs!$B$44-B1048)-((R1017-1)*IF(Inputs!$B$39="pvp",15,MAX(0.1,Skills!D14-IF(Skills!E14=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Skills!E14=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IFERROR(1/IF(Inputs!$B$39="pvp",15,MAX(0.1,Skills!D15-IF(Skills!E15=TRUE,Inputs!$B$32,0))),0)</f>
        <v/>
      </c>
      <c r="R1018">
        <f>IF(AND(Inputs!$B$39&lt;&gt;"pvp",Inputs!$B$44&gt;0),IF(Inputs!$B$44&lt;=0,0,(INT(Inputs!$B$44/IF(Inputs!$B$39="pvp",15,MAX(0.1,Skills!D15-IF(Skills!E15=TRUE,Inputs!$B$32,0))))+1)),0)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IFERROR(1/IF(Inputs!$B$39="pvp",15,MAX(0.1,Skills!D16-IF(Skills!E16=TRUE,Inputs!$B$32,0))),0)</f>
        <v/>
      </c>
      <c r="R1019">
        <f>IF(AND(Inputs!$B$39&lt;&gt;"pvp",Inputs!$B$44&gt;0),IF(Inputs!$B$44&lt;=0,0,(INT(Inputs!$B$44/IF(Inputs!$B$39="pvp",15,MAX(0.1,Skills!D16-IF(Skills!E16=TRUE,Inputs!$B$32,0))))+1)),0)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IFERROR(1/IF(Inputs!$B$39="pvp",15,MAX(0.1,Skills!D19-IF(Skills!E19=TRUE,Inputs!$B$32,0))),0)</f>
        <v/>
      </c>
      <c r="R1022">
        <f>IF(AND(Inputs!$B$39&lt;&gt;"pvp",Inputs!$B$44&gt;0),IF(Inputs!$B$44&lt;=0,0,(INT(Inputs!$B$44/IF(Inputs!$B$39="pvp",15,MAX(0.1,Skills!D19-IF(Skills!E19=TRUE,Inputs!$B$32,0))))+1)),0)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IFERROR(1/IF(Inputs!$B$39="pvp",15,MAX(0.1,Skills!D20-IF(Skills!E20=TRUE,Inputs!$B$32,0))),0)</f>
        <v/>
      </c>
      <c r="R1023">
        <f>IF(AND(Inputs!$B$39&lt;&gt;"pvp",Inputs!$B$44&gt;0),IF(Inputs!$B$44&lt;=0,0,(INT(Inputs!$B$44/IF(Inputs!$B$39="pvp",15,MAX(0.1,Skills!D20-IF(Skills!E20=TRUE,Inputs!$B$32,0))))+1)),0)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IFERROR(1/IF(Inputs!$B$39="pvp",15,MAX(0.1,Skills!D21-IF(Skills!E21=TRUE,Inputs!$B$32,0))),0)</f>
        <v/>
      </c>
      <c r="R1024">
        <f>IF(AND(Inputs!$B$39&lt;&gt;"pvp",Inputs!$B$44&gt;0),IF(Inputs!$B$44&lt;=0,0,(INT(Inputs!$B$44/IF(Inputs!$B$39="pvp",15,MAX(0.1,Skills!D21-IF(Skills!E21=TRUE,Inputs!$B$32,0))))+1)),0)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Skills!Y19*(1+Inputs!$B$34/100))+MIN((Skills!Y19*(1+Inputs!$B$34/100)),MAX(0,Inputs!$B$44-((R1022-1)*Skills!D19))))/Inputs!$B$44),IF(Inputs!$B$39="pvp",MIN((Skills!Y19*(1+Inputs!$B$34/100)),15)/15,(Skills!Y19*(1+Inputs!$B$34/100))/Skills!D19)))/150)))/100</f>
        <v/>
      </c>
    </row>
    <row r="1037">
      <c r="A1037" t="inlineStr">
        <is>
          <t>Alchemic Adrenaline Uptime</t>
        </is>
      </c>
      <c r="B1037">
        <f>(Skills!Y6*(1+Inputs!$B$34/100))/((Skills!Y6*(1+Inputs!$B$34/100))+(5/B1036))</f>
        <v/>
      </c>
    </row>
    <row r="1038">
      <c r="A1038" t="inlineStr">
        <is>
          <t>Attack Speed Buff Bonus %</t>
        </is>
      </c>
      <c r="B1038">
        <f>((C1022=TRUE)*F1022*IF(AND(Inputs!$B$39&lt;&gt;"pvp",Inputs!$B$44&gt;0),(((R1022-1)*(Skills!Y19*(1+Inputs!$B$34/100))+MIN((Skills!Y19*(1+Inputs!$B$34/100)),MAX(0,Inputs!$B$44-((R1022-1)*Skills!D19))))/Inputs!$B$44),IF(Inputs!$B$39="pvp",MIN((Skills!Y19*(1+Inputs!$B$34/100)),15)/15,(Skills!Y19*(1+Inputs!$B$34/100))/Skills!D19)))+((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f>
        <v/>
      </c>
    </row>
    <row r="1043">
      <c r="A1043" t="inlineStr">
        <is>
          <t>Global Crit Rate Bonus %</t>
        </is>
      </c>
      <c r="B1043">
        <f>IF(Inputs!$B$3&gt;=47,8,0)+((C1023=TRUE)*F1023*IF(AND(Inputs!$B$39&lt;&gt;"pvp",Inputs!$B$44&gt;0),(((R1023-1)*(Skills!Y20*(1+Inputs!$B$34/100))+MIN((Skills!Y20*(1+Inputs!$B$34/100)),MAX(0,Inputs!$B$44-((R1023-1)*Skills!D20))))/Inputs!$B$44),IF(Inputs!$B$39="pvp",MIN((Skills!Y20*(1+Inputs!$B$34/100)),15)/15,(Skills!Y20*(1+Inputs!$B$34/100))/Skills!D20)))</f>
        <v/>
      </c>
    </row>
    <row r="1044">
      <c r="A1044" t="inlineStr">
        <is>
          <t>Global Monster Damage-Taken Bonus %</t>
        </is>
      </c>
      <c r="B1044">
        <f>IF(Inputs!$B$3&gt;=82,15,0)+((C1019=TRUE)*F1019*IF(AND(Inputs!$B$39&lt;&gt;"pvp",Inputs!$B$44&gt;0),(((R1019-1)*(Skills!Y16*(1+Inputs!$B$34/100))+MIN((Skills!Y16*(1+Inputs!$B$34/100)),MAX(0,Inputs!$B$44-((R1019-1)*Skills!D16))))/Inputs!$B$44),IF(Inputs!$B$39="pvp",MIN((Skills!Y16*(1+Inputs!$B$34/100)),15)/15,(Skills!Y16*(1+Inputs!$B$34/100))/Skills!D16)))</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Skills!Y16*(1+Inputs!$B$34/100))+MIN((Skills!Y16*(1+Inputs!$B$34/100)),MAX(0,Inputs!$B$44-((R1019-1)*Skills!D16))))/Inputs!$B$44),IF(Inputs!$B$39="pvp",MIN((Skills!Y16*(1+Inputs!$B$34/100)),15)/15,(Skills!Y16*(1+Inputs!$B$34/100))/Skills!D16))</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IFERROR(1/IF(Inputs!$B$39="pvp",15,MAX(0.1,Skills!D3-IF(Skills!E3=TRUE,Inputs!$B$32,0))),0)</f>
        <v/>
      </c>
      <c r="R1055">
        <f>IF(AND(Inputs!$B$39&lt;&gt;"pvp",Inputs!$B$44&gt;0),IF(MAX(0,Inputs!$B$44-B1097)&lt;=0,0,(INT(MAX(0,Inputs!$B$44-B1097)/IF(Inputs!$B$39="pvp",15,MAX(0.1,Skills!D3-IF(Skills!E3=TRUE,Inputs!$B$32,0))))+1)),0)</f>
        <v/>
      </c>
      <c r="S1055">
        <f>IFERROR(O1055/N1055,0)</f>
        <v/>
      </c>
      <c r="T1055">
        <f>IF(C1055,(H1055*N1055*IF(AND(Inputs!$B$39&lt;&gt;"pvp",Inputs!$B$44&gt;0),((Skills!G3*((R1055-1)*IF(Skills!H3&gt;0,Skills!I3/Skills!H3,1)+IF(Skills!H3&gt;0,MIN(Skills!I3,MAX(0,MAX(0,Inputs!$B$44-B1097)-((R1055-1)*IF(Inputs!$B$39="pvp",15,MAX(0.1,Skills!D3-IF(Skills!E3=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Skills!E3=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Inputs!$B$3&gt;=40</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IFERROR(1/IF(Inputs!$B$39="pvp",15,MAX(0.1,Skills!D4-IF(Skills!E4=TRUE,Inputs!$B$32,0))),0)</f>
        <v/>
      </c>
      <c r="R1056">
        <f>IF(AND(Inputs!$B$39&lt;&gt;"pvp",Inputs!$B$44&gt;0),IF(MAX(0,Inputs!$B$44-B1097)&lt;=0,0,(INT(MAX(0,Inputs!$B$44-B1097)/IF(Inputs!$B$39="pvp",15,MAX(0.1,Skills!D4-IF(Skills!E4=TRUE,Inputs!$B$32,0))))+1)),0)</f>
        <v/>
      </c>
      <c r="S1056">
        <f>IFERROR(O1056/N1056,0)</f>
        <v/>
      </c>
      <c r="T1056">
        <f>IF(C1056,(H1056*N1056*IF(AND(Inputs!$B$39&lt;&gt;"pvp",Inputs!$B$44&gt;0),((Skills!G4*((R1056-1)*IF(Skills!H4&gt;0,Skills!I4/Skills!H4,1)+IF(Skills!H4&gt;0,MIN(Skills!I4,MAX(0,MAX(0,Inputs!$B$44-B1097)-((R1056-1)*IF(Inputs!$B$39="pvp",15,MAX(0.1,Skills!D4-IF(Skills!E4=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Skills!E4=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IFERROR(1/IF(Inputs!$B$39="pvp",15,MAX(0.1,Skills!D5-IF(Skills!E5=TRUE,Inputs!$B$32,0))),0)</f>
        <v/>
      </c>
      <c r="R1057">
        <f>IF(AND(Inputs!$B$39&lt;&gt;"pvp",Inputs!$B$44&gt;0),IF(MAX(0,Inputs!$B$44-B1097)&lt;=0,0,(INT(MAX(0,Inputs!$B$44-B1097)/IF(Inputs!$B$39="pvp",15,MAX(0.1,Skills!D5-IF(Skills!E5=TRUE,Inputs!$B$32,0))))+1)),0)</f>
        <v/>
      </c>
      <c r="S1057">
        <f>IFERROR(O1057/N1057,0)</f>
        <v/>
      </c>
      <c r="T1057">
        <f>IF(C1057,(H1057*N1057*IF(AND(Inputs!$B$39&lt;&gt;"pvp",Inputs!$B$44&gt;0),((Skills!G5*((R1057-1)*IF(Skills!H5&gt;0,Skills!I5/Skills!H5,1)+IF(Skills!H5&gt;0,MIN(Skills!I5,MAX(0,MAX(0,Inputs!$B$44-B1097)-((R1057-1)*IF(Inputs!$B$39="pvp",15,MAX(0.1,Skills!D5-IF(Skills!E5=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Skills!E5=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IFERROR(1/IF(Inputs!$B$39="pvp",15,MAX(0.1,Skills!D8-IF(Skills!E8=TRUE,Inputs!$B$32,0))),0)</f>
        <v/>
      </c>
      <c r="R1060">
        <f>IF(AND(Inputs!$B$39&lt;&gt;"pvp",Inputs!$B$44&gt;0),IF(MAX(0,Inputs!$B$44-B1097)&lt;=0,0,(INT(MAX(0,Inputs!$B$44-B1097)/IF(Inputs!$B$39="pvp",15,MAX(0.1,Skills!D8-IF(Skills!E8=TRUE,Inputs!$B$32,0))))+1)),0)</f>
        <v/>
      </c>
      <c r="S1060">
        <f>IFERROR(O1060/N1060,0)</f>
        <v/>
      </c>
      <c r="T1060">
        <f>IF(C1060,(H1060*N1060*IF(AND(Inputs!$B$39&lt;&gt;"pvp",Inputs!$B$44&gt;0),((Skills!G8*((R1060-1)*IF(Skills!H8&gt;0,Skills!I8/Skills!H8,1)+IF(Skills!H8&gt;0,MIN(Skills!I8,MAX(0,MAX(0,Inputs!$B$44-B1097)-((R1060-1)*IF(Inputs!$B$39="pvp",15,MAX(0.1,Skills!D8-IF(Skills!E8=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Skills!E8=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Inputs!$B$3&gt;=72</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IFERROR(1/IF(Inputs!$B$39="pvp",15,MAX(0.1,Skills!D9-IF(Skills!E9=TRUE,Inputs!$B$32,0))),0)</f>
        <v/>
      </c>
      <c r="R1061">
        <f>IF(AND(Inputs!$B$39&lt;&gt;"pvp",Inputs!$B$44&gt;0),IF(MAX(0,Inputs!$B$44-B1097)&lt;=0,0,(INT(MAX(0,Inputs!$B$44-B1097)/IF(Inputs!$B$39="pvp",15,MAX(0.1,Skills!D9-IF(Skills!E9=TRUE,Inputs!$B$32,0))))+1)),0)</f>
        <v/>
      </c>
      <c r="S1061">
        <f>IFERROR(O1061/N1061,0)</f>
        <v/>
      </c>
      <c r="T1061">
        <f>IF(C1061,(H1061*N1061*IF(AND(Inputs!$B$39&lt;&gt;"pvp",Inputs!$B$44&gt;0),((Skills!G9*((R1061-1)*IF(Skills!H9&gt;0,Skills!I9/Skills!H9,1)+IF(Skills!H9&gt;0,MIN(Skills!I9,MAX(0,MAX(0,Inputs!$B$44-B1097)-((R1061-1)*IF(Inputs!$B$39="pvp",15,MAX(0.1,Skills!D9-IF(Skills!E9=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Skills!E9=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IFERROR(1/IF(Inputs!$B$39="pvp",15,MAX(0.1,Skills!D12-IF(Skills!E12=TRUE,Inputs!$B$32,0))),0)</f>
        <v/>
      </c>
      <c r="R1064">
        <f>IF(AND(Inputs!$B$39&lt;&gt;"pvp",Inputs!$B$44&gt;0),IF(MAX(0,Inputs!$B$44-B1097)&lt;=0,0,(INT(MAX(0,Inputs!$B$44-B1097)/IF(Inputs!$B$39="pvp",15,MAX(0.1,Skills!D12-IF(Skills!E12=TRUE,Inputs!$B$32,0))))+1)),0)</f>
        <v/>
      </c>
      <c r="S1064">
        <f>IFERROR(O1064/N1064,0)</f>
        <v/>
      </c>
      <c r="T1064">
        <f>IF(C1064,(H1064*N1064*IF(AND(Inputs!$B$39&lt;&gt;"pvp",Inputs!$B$44&gt;0),((Skills!G12*((R1064-1)*IF(Skills!H12&gt;0,Skills!I12/Skills!H12,1)+IF(Skills!H12&gt;0,MIN(Skills!I12,MAX(0,MAX(0,Inputs!$B$44-B1097)-((R1064-1)*IF(Inputs!$B$39="pvp",15,MAX(0.1,Skills!D12-IF(Skills!E12=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Skills!E12=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IFERROR(1/IF(Inputs!$B$39="pvp",15,MAX(0.1,Skills!D13-IF(Skills!E13=TRUE,Inputs!$B$32,0))),0)</f>
        <v/>
      </c>
      <c r="R1065">
        <f>IF(AND(Inputs!$B$39&lt;&gt;"pvp",Inputs!$B$44&gt;0),IF(MAX(0,Inputs!$B$44-B1097)&lt;=0,0,(INT(MAX(0,Inputs!$B$44-B1097)/IF(Inputs!$B$39="pvp",15,MAX(0.1,Skills!D13-IF(Skills!E13=TRUE,Inputs!$B$32,0))))+1)),0)</f>
        <v/>
      </c>
      <c r="S1065">
        <f>IFERROR(O1065/N1065,0)</f>
        <v/>
      </c>
      <c r="T1065">
        <f>IF(C1065,(H1065*N1065*IF(AND(Inputs!$B$39&lt;&gt;"pvp",Inputs!$B$44&gt;0),((Skills!G13*((R1065-1)*IF(Skills!H13&gt;0,Skills!I13/Skills!H13,1)+IF(Skills!H13&gt;0,MIN(Skills!I13,MAX(0,MAX(0,Inputs!$B$44-B1097)-((R1065-1)*IF(Inputs!$B$39="pvp",15,MAX(0.1,Skills!D13-IF(Skills!E13=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Skills!E13=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IFERROR(1/IF(Inputs!$B$39="pvp",15,MAX(0.1,Skills!D14-IF(Skills!E14=TRUE,Inputs!$B$32,0))),0)</f>
        <v/>
      </c>
      <c r="R1066">
        <f>IF(AND(Inputs!$B$39&lt;&gt;"pvp",Inputs!$B$44&gt;0),IF(MAX(0,Inputs!$B$44-B1097)&lt;=0,0,(INT(MAX(0,Inputs!$B$44-B1097)/IF(Inputs!$B$39="pvp",15,MAX(0.1,Skills!D14-IF(Skills!E14=TRUE,Inputs!$B$32,0))))+1)),0)</f>
        <v/>
      </c>
      <c r="S1066">
        <f>IFERROR(O1066/N1066,0)</f>
        <v/>
      </c>
      <c r="T1066">
        <f>IF(C1066,(H1066*N1066*IF(AND(Inputs!$B$39&lt;&gt;"pvp",Inputs!$B$44&gt;0),((Skills!G14*((R1066-1)*IF(Skills!H14&gt;0,Skills!I14/Skills!H14,1)+IF(Skills!H14&gt;0,MIN(Skills!I14,MAX(0,MAX(0,Inputs!$B$44-B1097)-((R1066-1)*IF(Inputs!$B$39="pvp",15,MAX(0.1,Skills!D14-IF(Skills!E14=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Skills!E14=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IFERROR(1/IF(Inputs!$B$39="pvp",15,MAX(0.1,Skills!D15-IF(Skills!E15=TRUE,Inputs!$B$32,0))),0)</f>
        <v/>
      </c>
      <c r="R1067">
        <f>IF(AND(Inputs!$B$39&lt;&gt;"pvp",Inputs!$B$44&gt;0),IF(Inputs!$B$44&lt;=0,0,(INT(Inputs!$B$44/IF(Inputs!$B$39="pvp",15,MAX(0.1,Skills!D15-IF(Skills!E15=TRUE,Inputs!$B$32,0))))+1)),0)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IFERROR(1/IF(Inputs!$B$39="pvp",15,MAX(0.1,Skills!D16-IF(Skills!E16=TRUE,Inputs!$B$32,0))),0)</f>
        <v/>
      </c>
      <c r="R1068">
        <f>IF(AND(Inputs!$B$39&lt;&gt;"pvp",Inputs!$B$44&gt;0),IF(Inputs!$B$44&lt;=0,0,(INT(Inputs!$B$44/IF(Inputs!$B$39="pvp",15,MAX(0.1,Skills!D16-IF(Skills!E16=TRUE,Inputs!$B$32,0))))+1)),0)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IFERROR(1/IF(Inputs!$B$39="pvp",15,MAX(0.1,Skills!D19-IF(Skills!E19=TRUE,Inputs!$B$32,0))),0)</f>
        <v/>
      </c>
      <c r="R1071">
        <f>IF(AND(Inputs!$B$39&lt;&gt;"pvp",Inputs!$B$44&gt;0),IF(Inputs!$B$44&lt;=0,0,(INT(Inputs!$B$44/IF(Inputs!$B$39="pvp",15,MAX(0.1,Skills!D19-IF(Skills!E19=TRUE,Inputs!$B$32,0))))+1)),0)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IFERROR(1/IF(Inputs!$B$39="pvp",15,MAX(0.1,Skills!D20-IF(Skills!E20=TRUE,Inputs!$B$32,0))),0)</f>
        <v/>
      </c>
      <c r="R1072">
        <f>IF(AND(Inputs!$B$39&lt;&gt;"pvp",Inputs!$B$44&gt;0),IF(Inputs!$B$44&lt;=0,0,(INT(Inputs!$B$44/IF(Inputs!$B$39="pvp",15,MAX(0.1,Skills!D20-IF(Skills!E20=TRUE,Inputs!$B$32,0))))+1)),0)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IFERROR(1/IF(Inputs!$B$39="pvp",15,MAX(0.1,Skills!D21-IF(Skills!E21=TRUE,Inputs!$B$32,0))),0)</f>
        <v/>
      </c>
      <c r="R1073">
        <f>IF(AND(Inputs!$B$39&lt;&gt;"pvp",Inputs!$B$44&gt;0),IF(Inputs!$B$44&lt;=0,0,(INT(Inputs!$B$44/IF(Inputs!$B$39="pvp",15,MAX(0.1,Skills!D21-IF(Skills!E21=TRUE,Inputs!$B$32,0))))+1)),0)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Skills!Y19*(1+Inputs!$B$34/100))+MIN((Skills!Y19*(1+Inputs!$B$34/100)),MAX(0,Inputs!$B$44-((R1071-1)*Skills!D19))))/Inputs!$B$44),IF(Inputs!$B$39="pvp",MIN((Skills!Y19*(1+Inputs!$B$34/100)),15)/15,(Skills!Y19*(1+Inputs!$B$34/100))/Skills!D19)))/150)))/100</f>
        <v/>
      </c>
    </row>
    <row r="1086">
      <c r="A1086" t="inlineStr">
        <is>
          <t>Alchemic Adrenaline Uptime</t>
        </is>
      </c>
      <c r="B1086">
        <f>(Skills!Y6*(1+Inputs!$B$34/100))/((Skills!Y6*(1+Inputs!$B$34/100))+(5/B1085))</f>
        <v/>
      </c>
    </row>
    <row r="1087">
      <c r="A1087" t="inlineStr">
        <is>
          <t>Attack Speed Buff Bonus %</t>
        </is>
      </c>
      <c r="B1087">
        <f>((C1071=TRUE)*F1071*IF(AND(Inputs!$B$39&lt;&gt;"pvp",Inputs!$B$44&gt;0),(((R1071-1)*(Skills!Y19*(1+Inputs!$B$34/100))+MIN((Skills!Y19*(1+Inputs!$B$34/100)),MAX(0,Inputs!$B$44-((R1071-1)*Skills!D19))))/Inputs!$B$44),IF(Inputs!$B$39="pvp",MIN((Skills!Y19*(1+Inputs!$B$34/100)),15)/15,(Skills!Y19*(1+Inputs!$B$34/100))/Skills!D19)))+((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f>
        <v/>
      </c>
    </row>
    <row r="1092">
      <c r="A1092" t="inlineStr">
        <is>
          <t>Global Crit Rate Bonus %</t>
        </is>
      </c>
      <c r="B1092">
        <f>IF(Inputs!$B$3&gt;=47,8,0)+((C1072=TRUE)*F1072*IF(AND(Inputs!$B$39&lt;&gt;"pvp",Inputs!$B$44&gt;0),(((R1072-1)*(Skills!Y20*(1+Inputs!$B$34/100))+MIN((Skills!Y20*(1+Inputs!$B$34/100)),MAX(0,Inputs!$B$44-((R1072-1)*Skills!D20))))/Inputs!$B$44),IF(Inputs!$B$39="pvp",MIN((Skills!Y20*(1+Inputs!$B$34/100)),15)/15,(Skills!Y20*(1+Inputs!$B$34/100))/Skills!D20)))</f>
        <v/>
      </c>
    </row>
    <row r="1093">
      <c r="A1093" t="inlineStr">
        <is>
          <t>Global Monster Damage-Taken Bonus %</t>
        </is>
      </c>
      <c r="B1093">
        <f>IF(Inputs!$B$3&gt;=82,15,0)+((C1068=TRUE)*F1068*IF(AND(Inputs!$B$39&lt;&gt;"pvp",Inputs!$B$44&gt;0),(((R1068-1)*(Skills!Y16*(1+Inputs!$B$34/100))+MIN((Skills!Y16*(1+Inputs!$B$34/100)),MAX(0,Inputs!$B$44-((R1068-1)*Skills!D16))))/Inputs!$B$44),IF(Inputs!$B$39="pvp",MIN((Skills!Y16*(1+Inputs!$B$34/100)),15)/15,(Skills!Y16*(1+Inputs!$B$34/100))/Skills!D16)))</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Skills!Y16*(1+Inputs!$B$34/100))+MIN((Skills!Y16*(1+Inputs!$B$34/100)),MAX(0,Inputs!$B$44-((R1068-1)*Skills!D16))))/Inputs!$B$44),IF(Inputs!$B$39="pvp",MIN((Skills!Y16*(1+Inputs!$B$34/100)),15)/15,(Skills!Y16*(1+Inputs!$B$34/100))/Skills!D16))</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IFERROR(1/IF(Inputs!$B$39="pvp",15,MAX(0.1,Skills!D3-IF(Skills!E3=TRUE,Inputs!$B$32,0))),0)</f>
        <v/>
      </c>
      <c r="R1104">
        <f>IF(AND(Inputs!$B$39&lt;&gt;"pvp",Inputs!$B$44&gt;0),IF(MAX(0,Inputs!$B$44-B1146)&lt;=0,0,(INT(MAX(0,Inputs!$B$44-B1146)/IF(Inputs!$B$39="pvp",15,MAX(0.1,Skills!D3-IF(Skills!E3=TRUE,Inputs!$B$32,0))))+1)),0)</f>
        <v/>
      </c>
      <c r="S1104">
        <f>IFERROR(O1104/N1104,0)</f>
        <v/>
      </c>
      <c r="T1104">
        <f>IF(C1104,(H1104*N1104*IF(AND(Inputs!$B$39&lt;&gt;"pvp",Inputs!$B$44&gt;0),((Skills!G3*((R1104-1)*IF(Skills!H3&gt;0,Skills!I3/Skills!H3,1)+IF(Skills!H3&gt;0,MIN(Skills!I3,MAX(0,MAX(0,Inputs!$B$44-B1146)-((R1104-1)*IF(Inputs!$B$39="pvp",15,MAX(0.1,Skills!D3-IF(Skills!E3=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Skills!E3=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Inputs!$B$3&gt;=40</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IFERROR(1/IF(Inputs!$B$39="pvp",15,MAX(0.1,Skills!D4-IF(Skills!E4=TRUE,Inputs!$B$32,0))),0)</f>
        <v/>
      </c>
      <c r="R1105">
        <f>IF(AND(Inputs!$B$39&lt;&gt;"pvp",Inputs!$B$44&gt;0),IF(MAX(0,Inputs!$B$44-B1146)&lt;=0,0,(INT(MAX(0,Inputs!$B$44-B1146)/IF(Inputs!$B$39="pvp",15,MAX(0.1,Skills!D4-IF(Skills!E4=TRUE,Inputs!$B$32,0))))+1)),0)</f>
        <v/>
      </c>
      <c r="S1105">
        <f>IFERROR(O1105/N1105,0)</f>
        <v/>
      </c>
      <c r="T1105">
        <f>IF(C1105,(H1105*N1105*IF(AND(Inputs!$B$39&lt;&gt;"pvp",Inputs!$B$44&gt;0),((Skills!G4*((R1105-1)*IF(Skills!H4&gt;0,Skills!I4/Skills!H4,1)+IF(Skills!H4&gt;0,MIN(Skills!I4,MAX(0,MAX(0,Inputs!$B$44-B1146)-((R1105-1)*IF(Inputs!$B$39="pvp",15,MAX(0.1,Skills!D4-IF(Skills!E4=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Skills!E4=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IFERROR(1/IF(Inputs!$B$39="pvp",15,MAX(0.1,Skills!D5-IF(Skills!E5=TRUE,Inputs!$B$32,0))),0)</f>
        <v/>
      </c>
      <c r="R1106">
        <f>IF(AND(Inputs!$B$39&lt;&gt;"pvp",Inputs!$B$44&gt;0),IF(MAX(0,Inputs!$B$44-B1146)&lt;=0,0,(INT(MAX(0,Inputs!$B$44-B1146)/IF(Inputs!$B$39="pvp",15,MAX(0.1,Skills!D5-IF(Skills!E5=TRUE,Inputs!$B$32,0))))+1)),0)</f>
        <v/>
      </c>
      <c r="S1106">
        <f>IFERROR(O1106/N1106,0)</f>
        <v/>
      </c>
      <c r="T1106">
        <f>IF(C1106,(H1106*N1106*IF(AND(Inputs!$B$39&lt;&gt;"pvp",Inputs!$B$44&gt;0),((Skills!G5*((R1106-1)*IF(Skills!H5&gt;0,Skills!I5/Skills!H5,1)+IF(Skills!H5&gt;0,MIN(Skills!I5,MAX(0,MAX(0,Inputs!$B$44-B1146)-((R1106-1)*IF(Inputs!$B$39="pvp",15,MAX(0.1,Skills!D5-IF(Skills!E5=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Skills!E5=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IFERROR(1/IF(Inputs!$B$39="pvp",15,MAX(0.1,Skills!D8-IF(Skills!E8=TRUE,Inputs!$B$32,0))),0)</f>
        <v/>
      </c>
      <c r="R1109">
        <f>IF(AND(Inputs!$B$39&lt;&gt;"pvp",Inputs!$B$44&gt;0),IF(MAX(0,Inputs!$B$44-B1146)&lt;=0,0,(INT(MAX(0,Inputs!$B$44-B1146)/IF(Inputs!$B$39="pvp",15,MAX(0.1,Skills!D8-IF(Skills!E8=TRUE,Inputs!$B$32,0))))+1)),0)</f>
        <v/>
      </c>
      <c r="S1109">
        <f>IFERROR(O1109/N1109,0)</f>
        <v/>
      </c>
      <c r="T1109">
        <f>IF(C1109,(H1109*N1109*IF(AND(Inputs!$B$39&lt;&gt;"pvp",Inputs!$B$44&gt;0),((Skills!G8*((R1109-1)*IF(Skills!H8&gt;0,Skills!I8/Skills!H8,1)+IF(Skills!H8&gt;0,MIN(Skills!I8,MAX(0,MAX(0,Inputs!$B$44-B1146)-((R1109-1)*IF(Inputs!$B$39="pvp",15,MAX(0.1,Skills!D8-IF(Skills!E8=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Skills!E8=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Inputs!$B$3&gt;=72</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IFERROR(1/IF(Inputs!$B$39="pvp",15,MAX(0.1,Skills!D9-IF(Skills!E9=TRUE,Inputs!$B$32,0))),0)</f>
        <v/>
      </c>
      <c r="R1110">
        <f>IF(AND(Inputs!$B$39&lt;&gt;"pvp",Inputs!$B$44&gt;0),IF(MAX(0,Inputs!$B$44-B1146)&lt;=0,0,(INT(MAX(0,Inputs!$B$44-B1146)/IF(Inputs!$B$39="pvp",15,MAX(0.1,Skills!D9-IF(Skills!E9=TRUE,Inputs!$B$32,0))))+1)),0)</f>
        <v/>
      </c>
      <c r="S1110">
        <f>IFERROR(O1110/N1110,0)</f>
        <v/>
      </c>
      <c r="T1110">
        <f>IF(C1110,(H1110*N1110*IF(AND(Inputs!$B$39&lt;&gt;"pvp",Inputs!$B$44&gt;0),((Skills!G9*((R1110-1)*IF(Skills!H9&gt;0,Skills!I9/Skills!H9,1)+IF(Skills!H9&gt;0,MIN(Skills!I9,MAX(0,MAX(0,Inputs!$B$44-B1146)-((R1110-1)*IF(Inputs!$B$39="pvp",15,MAX(0.1,Skills!D9-IF(Skills!E9=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Skills!E9=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IFERROR(1/IF(Inputs!$B$39="pvp",15,MAX(0.1,Skills!D12-IF(Skills!E12=TRUE,Inputs!$B$32,0))),0)</f>
        <v/>
      </c>
      <c r="R1113">
        <f>IF(AND(Inputs!$B$39&lt;&gt;"pvp",Inputs!$B$44&gt;0),IF(MAX(0,Inputs!$B$44-B1146)&lt;=0,0,(INT(MAX(0,Inputs!$B$44-B1146)/IF(Inputs!$B$39="pvp",15,MAX(0.1,Skills!D12-IF(Skills!E12=TRUE,Inputs!$B$32,0))))+1)),0)</f>
        <v/>
      </c>
      <c r="S1113">
        <f>IFERROR(O1113/N1113,0)</f>
        <v/>
      </c>
      <c r="T1113">
        <f>IF(C1113,(H1113*N1113*IF(AND(Inputs!$B$39&lt;&gt;"pvp",Inputs!$B$44&gt;0),((Skills!G12*((R1113-1)*IF(Skills!H12&gt;0,Skills!I12/Skills!H12,1)+IF(Skills!H12&gt;0,MIN(Skills!I12,MAX(0,MAX(0,Inputs!$B$44-B1146)-((R1113-1)*IF(Inputs!$B$39="pvp",15,MAX(0.1,Skills!D12-IF(Skills!E12=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Skills!E12=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IFERROR(1/IF(Inputs!$B$39="pvp",15,MAX(0.1,Skills!D13-IF(Skills!E13=TRUE,Inputs!$B$32,0))),0)</f>
        <v/>
      </c>
      <c r="R1114">
        <f>IF(AND(Inputs!$B$39&lt;&gt;"pvp",Inputs!$B$44&gt;0),IF(MAX(0,Inputs!$B$44-B1146)&lt;=0,0,(INT(MAX(0,Inputs!$B$44-B1146)/IF(Inputs!$B$39="pvp",15,MAX(0.1,Skills!D13-IF(Skills!E13=TRUE,Inputs!$B$32,0))))+1)),0)</f>
        <v/>
      </c>
      <c r="S1114">
        <f>IFERROR(O1114/N1114,0)</f>
        <v/>
      </c>
      <c r="T1114">
        <f>IF(C1114,(H1114*N1114*IF(AND(Inputs!$B$39&lt;&gt;"pvp",Inputs!$B$44&gt;0),((Skills!G13*((R1114-1)*IF(Skills!H13&gt;0,Skills!I13/Skills!H13,1)+IF(Skills!H13&gt;0,MIN(Skills!I13,MAX(0,MAX(0,Inputs!$B$44-B1146)-((R1114-1)*IF(Inputs!$B$39="pvp",15,MAX(0.1,Skills!D13-IF(Skills!E13=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Skills!E13=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IFERROR(1/IF(Inputs!$B$39="pvp",15,MAX(0.1,Skills!D14-IF(Skills!E14=TRUE,Inputs!$B$32,0))),0)</f>
        <v/>
      </c>
      <c r="R1115">
        <f>IF(AND(Inputs!$B$39&lt;&gt;"pvp",Inputs!$B$44&gt;0),IF(MAX(0,Inputs!$B$44-B1146)&lt;=0,0,(INT(MAX(0,Inputs!$B$44-B1146)/IF(Inputs!$B$39="pvp",15,MAX(0.1,Skills!D14-IF(Skills!E14=TRUE,Inputs!$B$32,0))))+1)),0)</f>
        <v/>
      </c>
      <c r="S1115">
        <f>IFERROR(O1115/N1115,0)</f>
        <v/>
      </c>
      <c r="T1115">
        <f>IF(C1115,(H1115*N1115*IF(AND(Inputs!$B$39&lt;&gt;"pvp",Inputs!$B$44&gt;0),((Skills!G14*((R1115-1)*IF(Skills!H14&gt;0,Skills!I14/Skills!H14,1)+IF(Skills!H14&gt;0,MIN(Skills!I14,MAX(0,MAX(0,Inputs!$B$44-B1146)-((R1115-1)*IF(Inputs!$B$39="pvp",15,MAX(0.1,Skills!D14-IF(Skills!E14=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Skills!E14=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IFERROR(1/IF(Inputs!$B$39="pvp",15,MAX(0.1,Skills!D15-IF(Skills!E15=TRUE,Inputs!$B$32,0))),0)</f>
        <v/>
      </c>
      <c r="R1116">
        <f>IF(AND(Inputs!$B$39&lt;&gt;"pvp",Inputs!$B$44&gt;0),IF(Inputs!$B$44&lt;=0,0,(INT(Inputs!$B$44/IF(Inputs!$B$39="pvp",15,MAX(0.1,Skills!D15-IF(Skills!E15=TRUE,Inputs!$B$32,0))))+1)),0)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IFERROR(1/IF(Inputs!$B$39="pvp",15,MAX(0.1,Skills!D16-IF(Skills!E16=TRUE,Inputs!$B$32,0))),0)</f>
        <v/>
      </c>
      <c r="R1117">
        <f>IF(AND(Inputs!$B$39&lt;&gt;"pvp",Inputs!$B$44&gt;0),IF(Inputs!$B$44&lt;=0,0,(INT(Inputs!$B$44/IF(Inputs!$B$39="pvp",15,MAX(0.1,Skills!D16-IF(Skills!E16=TRUE,Inputs!$B$32,0))))+1)),0)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IFERROR(1/IF(Inputs!$B$39="pvp",15,MAX(0.1,Skills!D19-IF(Skills!E19=TRUE,Inputs!$B$32,0))),0)</f>
        <v/>
      </c>
      <c r="R1120">
        <f>IF(AND(Inputs!$B$39&lt;&gt;"pvp",Inputs!$B$44&gt;0),IF(Inputs!$B$44&lt;=0,0,(INT(Inputs!$B$44/IF(Inputs!$B$39="pvp",15,MAX(0.1,Skills!D19-IF(Skills!E19=TRUE,Inputs!$B$32,0))))+1)),0)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IFERROR(1/IF(Inputs!$B$39="pvp",15,MAX(0.1,Skills!D20-IF(Skills!E20=TRUE,Inputs!$B$32,0))),0)</f>
        <v/>
      </c>
      <c r="R1121">
        <f>IF(AND(Inputs!$B$39&lt;&gt;"pvp",Inputs!$B$44&gt;0),IF(Inputs!$B$44&lt;=0,0,(INT(Inputs!$B$44/IF(Inputs!$B$39="pvp",15,MAX(0.1,Skills!D20-IF(Skills!E20=TRUE,Inputs!$B$32,0))))+1)),0)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IFERROR(1/IF(Inputs!$B$39="pvp",15,MAX(0.1,Skills!D21-IF(Skills!E21=TRUE,Inputs!$B$32,0))),0)</f>
        <v/>
      </c>
      <c r="R1122">
        <f>IF(AND(Inputs!$B$39&lt;&gt;"pvp",Inputs!$B$44&gt;0),IF(Inputs!$B$44&lt;=0,0,(INT(Inputs!$B$44/IF(Inputs!$B$39="pvp",15,MAX(0.1,Skills!D21-IF(Skills!E21=TRUE,Inputs!$B$32,0))))+1)),0)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Skills!Y19*(1+Inputs!$B$34/100))+MIN((Skills!Y19*(1+Inputs!$B$34/100)),MAX(0,Inputs!$B$44-((R1120-1)*Skills!D19))))/Inputs!$B$44),IF(Inputs!$B$39="pvp",MIN((Skills!Y19*(1+Inputs!$B$34/100)),15)/15,(Skills!Y19*(1+Inputs!$B$34/100))/Skills!D19)))/150)))/100</f>
        <v/>
      </c>
    </row>
    <row r="1135">
      <c r="A1135" t="inlineStr">
        <is>
          <t>Alchemic Adrenaline Uptime</t>
        </is>
      </c>
      <c r="B1135">
        <f>(Skills!Y6*(1+Inputs!$B$34/100))/((Skills!Y6*(1+Inputs!$B$34/100))+(5/B1134))</f>
        <v/>
      </c>
    </row>
    <row r="1136">
      <c r="A1136" t="inlineStr">
        <is>
          <t>Attack Speed Buff Bonus %</t>
        </is>
      </c>
      <c r="B1136">
        <f>((C1120=TRUE)*F1120*IF(AND(Inputs!$B$39&lt;&gt;"pvp",Inputs!$B$44&gt;0),(((R1120-1)*(Skills!Y19*(1+Inputs!$B$34/100))+MIN((Skills!Y19*(1+Inputs!$B$34/100)),MAX(0,Inputs!$B$44-((R1120-1)*Skills!D19))))/Inputs!$B$44),IF(Inputs!$B$39="pvp",MIN((Skills!Y19*(1+Inputs!$B$34/100)),15)/15,(Skills!Y19*(1+Inputs!$B$34/100))/Skills!D19)))+((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f>
        <v/>
      </c>
    </row>
    <row r="1141">
      <c r="A1141" t="inlineStr">
        <is>
          <t>Global Crit Rate Bonus %</t>
        </is>
      </c>
      <c r="B1141">
        <f>IF(Inputs!$B$3&gt;=47,8,0)+((C1121=TRUE)*F1121*IF(AND(Inputs!$B$39&lt;&gt;"pvp",Inputs!$B$44&gt;0),(((R1121-1)*(Skills!Y20*(1+Inputs!$B$34/100))+MIN((Skills!Y20*(1+Inputs!$B$34/100)),MAX(0,Inputs!$B$44-((R1121-1)*Skills!D20))))/Inputs!$B$44),IF(Inputs!$B$39="pvp",MIN((Skills!Y20*(1+Inputs!$B$34/100)),15)/15,(Skills!Y20*(1+Inputs!$B$34/100))/Skills!D20)))</f>
        <v/>
      </c>
    </row>
    <row r="1142">
      <c r="A1142" t="inlineStr">
        <is>
          <t>Global Monster Damage-Taken Bonus %</t>
        </is>
      </c>
      <c r="B1142">
        <f>IF(Inputs!$B$3&gt;=82,15,0)+((C1117=TRUE)*F1117*IF(AND(Inputs!$B$39&lt;&gt;"pvp",Inputs!$B$44&gt;0),(((R1117-1)*(Skills!Y16*(1+Inputs!$B$34/100))+MIN((Skills!Y16*(1+Inputs!$B$34/100)),MAX(0,Inputs!$B$44-((R1117-1)*Skills!D16))))/Inputs!$B$44),IF(Inputs!$B$39="pvp",MIN((Skills!Y16*(1+Inputs!$B$34/100)),15)/15,(Skills!Y16*(1+Inputs!$B$34/100))/Skills!D16)))</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Skills!Y16*(1+Inputs!$B$34/100))+MIN((Skills!Y16*(1+Inputs!$B$34/100)),MAX(0,Inputs!$B$44-((R1117-1)*Skills!D16))))/Inputs!$B$44),IF(Inputs!$B$39="pvp",MIN((Skills!Y16*(1+Inputs!$B$34/100)),15)/15,(Skills!Y16*(1+Inputs!$B$34/100))/Skills!D16))</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IFERROR(1/IF(Inputs!$B$39="pvp",15,MAX(0.1,Skills!D3-IF(Skills!E3=TRUE,Inputs!$B$32,0))),0)</f>
        <v/>
      </c>
      <c r="R1153">
        <f>IF(AND(Inputs!$B$39&lt;&gt;"pvp",Inputs!$B$44&gt;0),IF(MAX(0,Inputs!$B$44-B1195)&lt;=0,0,(INT(MAX(0,Inputs!$B$44-B1195)/IF(Inputs!$B$39="pvp",15,MAX(0.1,Skills!D3-IF(Skills!E3=TRUE,Inputs!$B$32,0))))+1)),0)</f>
        <v/>
      </c>
      <c r="S1153">
        <f>IFERROR(O1153/N1153,0)</f>
        <v/>
      </c>
      <c r="T1153">
        <f>IF(C1153,(H1153*N1153*IF(AND(Inputs!$B$39&lt;&gt;"pvp",Inputs!$B$44&gt;0),((Skills!G3*((R1153-1)*IF(Skills!H3&gt;0,Skills!I3/Skills!H3,1)+IF(Skills!H3&gt;0,MIN(Skills!I3,MAX(0,MAX(0,Inputs!$B$44-B1195)-((R1153-1)*IF(Inputs!$B$39="pvp",15,MAX(0.1,Skills!D3-IF(Skills!E3=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Skills!E3=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IFERROR(1/IF(Inputs!$B$39="pvp",15,MAX(0.1,Skills!D4-IF(Skills!E4=TRUE,Inputs!$B$32,0))),0)</f>
        <v/>
      </c>
      <c r="R1154">
        <f>IF(AND(Inputs!$B$39&lt;&gt;"pvp",Inputs!$B$44&gt;0),IF(MAX(0,Inputs!$B$44-B1195)&lt;=0,0,(INT(MAX(0,Inputs!$B$44-B1195)/IF(Inputs!$B$39="pvp",15,MAX(0.1,Skills!D4-IF(Skills!E4=TRUE,Inputs!$B$32,0))))+1)),0)</f>
        <v/>
      </c>
      <c r="S1154">
        <f>IFERROR(O1154/N1154,0)</f>
        <v/>
      </c>
      <c r="T1154">
        <f>IF(C1154,(H1154*N1154*IF(AND(Inputs!$B$39&lt;&gt;"pvp",Inputs!$B$44&gt;0),((Skills!G4*((R1154-1)*IF(Skills!H4&gt;0,Skills!I4/Skills!H4,1)+IF(Skills!H4&gt;0,MIN(Skills!I4,MAX(0,MAX(0,Inputs!$B$44-B1195)-((R1154-1)*IF(Inputs!$B$39="pvp",15,MAX(0.1,Skills!D4-IF(Skills!E4=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Skills!E4=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IFERROR(1/IF(Inputs!$B$39="pvp",15,MAX(0.1,Skills!D5-IF(Skills!E5=TRUE,Inputs!$B$32,0))),0)</f>
        <v/>
      </c>
      <c r="R1155">
        <f>IF(AND(Inputs!$B$39&lt;&gt;"pvp",Inputs!$B$44&gt;0),IF(MAX(0,Inputs!$B$44-B1195)&lt;=0,0,(INT(MAX(0,Inputs!$B$44-B1195)/IF(Inputs!$B$39="pvp",15,MAX(0.1,Skills!D5-IF(Skills!E5=TRUE,Inputs!$B$32,0))))+1)),0)</f>
        <v/>
      </c>
      <c r="S1155">
        <f>IFERROR(O1155/N1155,0)</f>
        <v/>
      </c>
      <c r="T1155">
        <f>IF(C1155,(H1155*N1155*IF(AND(Inputs!$B$39&lt;&gt;"pvp",Inputs!$B$44&gt;0),((Skills!G5*((R1155-1)*IF(Skills!H5&gt;0,Skills!I5/Skills!H5,1)+IF(Skills!H5&gt;0,MIN(Skills!I5,MAX(0,MAX(0,Inputs!$B$44-B1195)-((R1155-1)*IF(Inputs!$B$39="pvp",15,MAX(0.1,Skills!D5-IF(Skills!E5=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Skills!E5=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IFERROR(1/IF(Inputs!$B$39="pvp",15,MAX(0.1,Skills!D8-IF(Skills!E8=TRUE,Inputs!$B$32,0))),0)</f>
        <v/>
      </c>
      <c r="R1158">
        <f>IF(AND(Inputs!$B$39&lt;&gt;"pvp",Inputs!$B$44&gt;0),IF(MAX(0,Inputs!$B$44-B1195)&lt;=0,0,(INT(MAX(0,Inputs!$B$44-B1195)/IF(Inputs!$B$39="pvp",15,MAX(0.1,Skills!D8-IF(Skills!E8=TRUE,Inputs!$B$32,0))))+1)),0)</f>
        <v/>
      </c>
      <c r="S1158">
        <f>IFERROR(O1158/N1158,0)</f>
        <v/>
      </c>
      <c r="T1158">
        <f>IF(C1158,(H1158*N1158*IF(AND(Inputs!$B$39&lt;&gt;"pvp",Inputs!$B$44&gt;0),((Skills!G8*((R1158-1)*IF(Skills!H8&gt;0,Skills!I8/Skills!H8,1)+IF(Skills!H8&gt;0,MIN(Skills!I8,MAX(0,MAX(0,Inputs!$B$44-B1195)-((R1158-1)*IF(Inputs!$B$39="pvp",15,MAX(0.1,Skills!D8-IF(Skills!E8=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Skills!E8=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Inputs!$B$3&gt;=72</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IFERROR(1/IF(Inputs!$B$39="pvp",15,MAX(0.1,Skills!D9-IF(Skills!E9=TRUE,Inputs!$B$32,0))),0)</f>
        <v/>
      </c>
      <c r="R1159">
        <f>IF(AND(Inputs!$B$39&lt;&gt;"pvp",Inputs!$B$44&gt;0),IF(MAX(0,Inputs!$B$44-B1195)&lt;=0,0,(INT(MAX(0,Inputs!$B$44-B1195)/IF(Inputs!$B$39="pvp",15,MAX(0.1,Skills!D9-IF(Skills!E9=TRUE,Inputs!$B$32,0))))+1)),0)</f>
        <v/>
      </c>
      <c r="S1159">
        <f>IFERROR(O1159/N1159,0)</f>
        <v/>
      </c>
      <c r="T1159">
        <f>IF(C1159,(H1159*N1159*IF(AND(Inputs!$B$39&lt;&gt;"pvp",Inputs!$B$44&gt;0),((Skills!G9*((R1159-1)*IF(Skills!H9&gt;0,Skills!I9/Skills!H9,1)+IF(Skills!H9&gt;0,MIN(Skills!I9,MAX(0,MAX(0,Inputs!$B$44-B1195)-((R1159-1)*IF(Inputs!$B$39="pvp",15,MAX(0.1,Skills!D9-IF(Skills!E9=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Skills!E9=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IFERROR(1/IF(Inputs!$B$39="pvp",15,MAX(0.1,Skills!D12-IF(Skills!E12=TRUE,Inputs!$B$32,0))),0)</f>
        <v/>
      </c>
      <c r="R1162">
        <f>IF(AND(Inputs!$B$39&lt;&gt;"pvp",Inputs!$B$44&gt;0),IF(MAX(0,Inputs!$B$44-B1195)&lt;=0,0,(INT(MAX(0,Inputs!$B$44-B1195)/IF(Inputs!$B$39="pvp",15,MAX(0.1,Skills!D12-IF(Skills!E12=TRUE,Inputs!$B$32,0))))+1)),0)</f>
        <v/>
      </c>
      <c r="S1162">
        <f>IFERROR(O1162/N1162,0)</f>
        <v/>
      </c>
      <c r="T1162">
        <f>IF(C1162,(H1162*N1162*IF(AND(Inputs!$B$39&lt;&gt;"pvp",Inputs!$B$44&gt;0),((Skills!G12*((R1162-1)*IF(Skills!H12&gt;0,Skills!I12/Skills!H12,1)+IF(Skills!H12&gt;0,MIN(Skills!I12,MAX(0,MAX(0,Inputs!$B$44-B1195)-((R1162-1)*IF(Inputs!$B$39="pvp",15,MAX(0.1,Skills!D12-IF(Skills!E12=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Skills!E12=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IFERROR(1/IF(Inputs!$B$39="pvp",15,MAX(0.1,Skills!D13-IF(Skills!E13=TRUE,Inputs!$B$32,0))),0)</f>
        <v/>
      </c>
      <c r="R1163">
        <f>IF(AND(Inputs!$B$39&lt;&gt;"pvp",Inputs!$B$44&gt;0),IF(MAX(0,Inputs!$B$44-B1195)&lt;=0,0,(INT(MAX(0,Inputs!$B$44-B1195)/IF(Inputs!$B$39="pvp",15,MAX(0.1,Skills!D13-IF(Skills!E13=TRUE,Inputs!$B$32,0))))+1)),0)</f>
        <v/>
      </c>
      <c r="S1163">
        <f>IFERROR(O1163/N1163,0)</f>
        <v/>
      </c>
      <c r="T1163">
        <f>IF(C1163,(H1163*N1163*IF(AND(Inputs!$B$39&lt;&gt;"pvp",Inputs!$B$44&gt;0),((Skills!G13*((R1163-1)*IF(Skills!H13&gt;0,Skills!I13/Skills!H13,1)+IF(Skills!H13&gt;0,MIN(Skills!I13,MAX(0,MAX(0,Inputs!$B$44-B1195)-((R1163-1)*IF(Inputs!$B$39="pvp",15,MAX(0.1,Skills!D13-IF(Skills!E13=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Skills!E13=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IFERROR(1/IF(Inputs!$B$39="pvp",15,MAX(0.1,Skills!D14-IF(Skills!E14=TRUE,Inputs!$B$32,0))),0)</f>
        <v/>
      </c>
      <c r="R1164">
        <f>IF(AND(Inputs!$B$39&lt;&gt;"pvp",Inputs!$B$44&gt;0),IF(MAX(0,Inputs!$B$44-B1195)&lt;=0,0,(INT(MAX(0,Inputs!$B$44-B1195)/IF(Inputs!$B$39="pvp",15,MAX(0.1,Skills!D14-IF(Skills!E14=TRUE,Inputs!$B$32,0))))+1)),0)</f>
        <v/>
      </c>
      <c r="S1164">
        <f>IFERROR(O1164/N1164,0)</f>
        <v/>
      </c>
      <c r="T1164">
        <f>IF(C1164,(H1164*N1164*IF(AND(Inputs!$B$39&lt;&gt;"pvp",Inputs!$B$44&gt;0),((Skills!G14*((R1164-1)*IF(Skills!H14&gt;0,Skills!I14/Skills!H14,1)+IF(Skills!H14&gt;0,MIN(Skills!I14,MAX(0,MAX(0,Inputs!$B$44-B1195)-((R1164-1)*IF(Inputs!$B$39="pvp",15,MAX(0.1,Skills!D14-IF(Skills!E14=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Skills!E14=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IFERROR(1/IF(Inputs!$B$39="pvp",15,MAX(0.1,Skills!D15-IF(Skills!E15=TRUE,Inputs!$B$32,0))),0)</f>
        <v/>
      </c>
      <c r="R1165">
        <f>IF(AND(Inputs!$B$39&lt;&gt;"pvp",Inputs!$B$44&gt;0),IF(Inputs!$B$44&lt;=0,0,(INT(Inputs!$B$44/IF(Inputs!$B$39="pvp",15,MAX(0.1,Skills!D15-IF(Skills!E15=TRUE,Inputs!$B$32,0))))+1)),0)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IFERROR(1/IF(Inputs!$B$39="pvp",15,MAX(0.1,Skills!D16-IF(Skills!E16=TRUE,Inputs!$B$32,0))),0)</f>
        <v/>
      </c>
      <c r="R1166">
        <f>IF(AND(Inputs!$B$39&lt;&gt;"pvp",Inputs!$B$44&gt;0),IF(Inputs!$B$44&lt;=0,0,(INT(Inputs!$B$44/IF(Inputs!$B$39="pvp",15,MAX(0.1,Skills!D16-IF(Skills!E16=TRUE,Inputs!$B$32,0))))+1)),0)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IFERROR(1/IF(Inputs!$B$39="pvp",15,MAX(0.1,Skills!D19-IF(Skills!E19=TRUE,Inputs!$B$32,0))),0)</f>
        <v/>
      </c>
      <c r="R1169">
        <f>IF(AND(Inputs!$B$39&lt;&gt;"pvp",Inputs!$B$44&gt;0),IF(Inputs!$B$44&lt;=0,0,(INT(Inputs!$B$44/IF(Inputs!$B$39="pvp",15,MAX(0.1,Skills!D19-IF(Skills!E19=TRUE,Inputs!$B$32,0))))+1)),0)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IFERROR(1/IF(Inputs!$B$39="pvp",15,MAX(0.1,Skills!D20-IF(Skills!E20=TRUE,Inputs!$B$32,0))),0)</f>
        <v/>
      </c>
      <c r="R1170">
        <f>IF(AND(Inputs!$B$39&lt;&gt;"pvp",Inputs!$B$44&gt;0),IF(Inputs!$B$44&lt;=0,0,(INT(Inputs!$B$44/IF(Inputs!$B$39="pvp",15,MAX(0.1,Skills!D20-IF(Skills!E20=TRUE,Inputs!$B$32,0))))+1)),0)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IFERROR(1/IF(Inputs!$B$39="pvp",15,MAX(0.1,Skills!D21-IF(Skills!E21=TRUE,Inputs!$B$32,0))),0)</f>
        <v/>
      </c>
      <c r="R1171">
        <f>IF(AND(Inputs!$B$39&lt;&gt;"pvp",Inputs!$B$44&gt;0),IF(Inputs!$B$44&lt;=0,0,(INT(Inputs!$B$44/IF(Inputs!$B$39="pvp",15,MAX(0.1,Skills!D21-IF(Skills!E21=TRUE,Inputs!$B$32,0))))+1)),0)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Skills!Y19*(1+Inputs!$B$34/100))+MIN((Skills!Y19*(1+Inputs!$B$34/100)),MAX(0,Inputs!$B$44-((R1169-1)*Skills!D19))))/Inputs!$B$44),IF(Inputs!$B$39="pvp",MIN((Skills!Y19*(1+Inputs!$B$34/100)),15)/15,(Skills!Y19*(1+Inputs!$B$34/100))/Skills!D19)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Skills!Y19*(1+Inputs!$B$34/100))+MIN((Skills!Y19*(1+Inputs!$B$34/100)),MAX(0,Inputs!$B$44-((R1169-1)*Skills!D19))))/Inputs!$B$44),IF(Inputs!$B$39="pvp",MIN((Skills!Y19*(1+Inputs!$B$34/100)),15)/15,(Skills!Y19*(1+Inputs!$B$34/100))/Skills!D19)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f>
        <v/>
      </c>
    </row>
    <row r="1190">
      <c r="A1190" t="inlineStr">
        <is>
          <t>Global Crit Rate Bonus %</t>
        </is>
      </c>
      <c r="B1190">
        <f>IF(Inputs!$B$3&gt;=47,8,0)+((C1170=TRUE)*F1170*IF(AND(Inputs!$B$39&lt;&gt;"pvp",Inputs!$B$44&gt;0),(((R1170-1)*(Skills!Y20*(1+Inputs!$B$34/100))+MIN((Skills!Y20*(1+Inputs!$B$34/100)),MAX(0,Inputs!$B$44-((R1170-1)*Skills!D20))))/Inputs!$B$44),IF(Inputs!$B$39="pvp",MIN((Skills!Y20*(1+Inputs!$B$34/100)),15)/15,(Skills!Y20*(1+Inputs!$B$34/100))/Skills!D20)))</f>
        <v/>
      </c>
    </row>
    <row r="1191">
      <c r="A1191" t="inlineStr">
        <is>
          <t>Global Monster Damage-Taken Bonus %</t>
        </is>
      </c>
      <c r="B1191">
        <f>IF(Inputs!$B$3&gt;=82,15,0)+((C1166=TRUE)*F1166*IF(AND(Inputs!$B$39&lt;&gt;"pvp",Inputs!$B$44&gt;0),(((R1166-1)*(Skills!Y16*(1+Inputs!$B$34/100))+MIN((Skills!Y16*(1+Inputs!$B$34/100)),MAX(0,Inputs!$B$44-((R1166-1)*Skills!D16))))/Inputs!$B$44),IF(Inputs!$B$39="pvp",MIN((Skills!Y16*(1+Inputs!$B$34/100)),15)/15,(Skills!Y16*(1+Inputs!$B$34/100))/Skills!D16)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Skills!Y16*(1+Inputs!$B$34/100))+MIN((Skills!Y16*(1+Inputs!$B$34/100)),MAX(0,Inputs!$B$44-((R1166-1)*Skills!D16))))/Inputs!$B$44),IF(Inputs!$B$39="pvp",MIN((Skills!Y16*(1+Inputs!$B$34/100)),15)/15,(Skills!Y16*(1+Inputs!$B$34/100))/Skills!D16)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IFERROR(1/IF(Inputs!$B$39="pvp",15,MAX(0.1,Skills!D3-IF(Skills!E3=TRUE,(Inputs!$B$32+1),0))),0)</f>
        <v/>
      </c>
      <c r="R1202">
        <f>IF(AND(Inputs!$B$39&lt;&gt;"pvp",Inputs!$B$44&gt;0),IF(MAX(0,Inputs!$B$44-B1244)&lt;=0,0,(INT(MAX(0,Inputs!$B$44-B1244)/IF(Inputs!$B$39="pvp",15,MAX(0.1,Skills!D3-IF(Skills!E3=TRUE,(Inputs!$B$32+1),0))))+1)),0)</f>
        <v/>
      </c>
      <c r="S1202">
        <f>IFERROR(O1202/N1202,0)</f>
        <v/>
      </c>
      <c r="T1202">
        <f>IF(C1202,(H1202*N1202*IF(AND(Inputs!$B$39&lt;&gt;"pvp",Inputs!$B$44&gt;0),((Skills!G3*((R1202-1)*IF(Skills!H3&gt;0,Skills!I3/Skills!H3,1)+IF(Skills!H3&gt;0,MIN(Skills!I3,MAX(0,MAX(0,Inputs!$B$44-B1244)-((R1202-1)*IF(Inputs!$B$39="pvp",15,MAX(0.1,Skills!D3-IF(Skills!E3=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Skills!E3=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Inputs!$B$3&gt;=40</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IFERROR(1/IF(Inputs!$B$39="pvp",15,MAX(0.1,Skills!D4-IF(Skills!E4=TRUE,(Inputs!$B$32+1),0))),0)</f>
        <v/>
      </c>
      <c r="R1203">
        <f>IF(AND(Inputs!$B$39&lt;&gt;"pvp",Inputs!$B$44&gt;0),IF(MAX(0,Inputs!$B$44-B1244)&lt;=0,0,(INT(MAX(0,Inputs!$B$44-B1244)/IF(Inputs!$B$39="pvp",15,MAX(0.1,Skills!D4-IF(Skills!E4=TRUE,(Inputs!$B$32+1),0))))+1)),0)</f>
        <v/>
      </c>
      <c r="S1203">
        <f>IFERROR(O1203/N1203,0)</f>
        <v/>
      </c>
      <c r="T1203">
        <f>IF(C1203,(H1203*N1203*IF(AND(Inputs!$B$39&lt;&gt;"pvp",Inputs!$B$44&gt;0),((Skills!G4*((R1203-1)*IF(Skills!H4&gt;0,Skills!I4/Skills!H4,1)+IF(Skills!H4&gt;0,MIN(Skills!I4,MAX(0,MAX(0,Inputs!$B$44-B1244)-((R1203-1)*IF(Inputs!$B$39="pvp",15,MAX(0.1,Skills!D4-IF(Skills!E4=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Skills!E4=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IFERROR(1/IF(Inputs!$B$39="pvp",15,MAX(0.1,Skills!D5-IF(Skills!E5=TRUE,(Inputs!$B$32+1),0))),0)</f>
        <v/>
      </c>
      <c r="R1204">
        <f>IF(AND(Inputs!$B$39&lt;&gt;"pvp",Inputs!$B$44&gt;0),IF(MAX(0,Inputs!$B$44-B1244)&lt;=0,0,(INT(MAX(0,Inputs!$B$44-B1244)/IF(Inputs!$B$39="pvp",15,MAX(0.1,Skills!D5-IF(Skills!E5=TRUE,(Inputs!$B$32+1),0))))+1)),0)</f>
        <v/>
      </c>
      <c r="S1204">
        <f>IFERROR(O1204/N1204,0)</f>
        <v/>
      </c>
      <c r="T1204">
        <f>IF(C1204,(H1204*N1204*IF(AND(Inputs!$B$39&lt;&gt;"pvp",Inputs!$B$44&gt;0),((Skills!G5*((R1204-1)*IF(Skills!H5&gt;0,Skills!I5/Skills!H5,1)+IF(Skills!H5&gt;0,MIN(Skills!I5,MAX(0,MAX(0,Inputs!$B$44-B1244)-((R1204-1)*IF(Inputs!$B$39="pvp",15,MAX(0.1,Skills!D5-IF(Skills!E5=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Skills!E5=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IFERROR(1/IF(Inputs!$B$39="pvp",15,MAX(0.1,Skills!D8-IF(Skills!E8=TRUE,(Inputs!$B$32+1),0))),0)</f>
        <v/>
      </c>
      <c r="R1207">
        <f>IF(AND(Inputs!$B$39&lt;&gt;"pvp",Inputs!$B$44&gt;0),IF(MAX(0,Inputs!$B$44-B1244)&lt;=0,0,(INT(MAX(0,Inputs!$B$44-B1244)/IF(Inputs!$B$39="pvp",15,MAX(0.1,Skills!D8-IF(Skills!E8=TRUE,(Inputs!$B$32+1),0))))+1)),0)</f>
        <v/>
      </c>
      <c r="S1207">
        <f>IFERROR(O1207/N1207,0)</f>
        <v/>
      </c>
      <c r="T1207">
        <f>IF(C1207,(H1207*N1207*IF(AND(Inputs!$B$39&lt;&gt;"pvp",Inputs!$B$44&gt;0),((Skills!G8*((R1207-1)*IF(Skills!H8&gt;0,Skills!I8/Skills!H8,1)+IF(Skills!H8&gt;0,MIN(Skills!I8,MAX(0,MAX(0,Inputs!$B$44-B1244)-((R1207-1)*IF(Inputs!$B$39="pvp",15,MAX(0.1,Skills!D8-IF(Skills!E8=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Skills!E8=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Inputs!$B$3&gt;=72</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IFERROR(1/IF(Inputs!$B$39="pvp",15,MAX(0.1,Skills!D9-IF(Skills!E9=TRUE,(Inputs!$B$32+1),0))),0)</f>
        <v/>
      </c>
      <c r="R1208">
        <f>IF(AND(Inputs!$B$39&lt;&gt;"pvp",Inputs!$B$44&gt;0),IF(MAX(0,Inputs!$B$44-B1244)&lt;=0,0,(INT(MAX(0,Inputs!$B$44-B1244)/IF(Inputs!$B$39="pvp",15,MAX(0.1,Skills!D9-IF(Skills!E9=TRUE,(Inputs!$B$32+1),0))))+1)),0)</f>
        <v/>
      </c>
      <c r="S1208">
        <f>IFERROR(O1208/N1208,0)</f>
        <v/>
      </c>
      <c r="T1208">
        <f>IF(C1208,(H1208*N1208*IF(AND(Inputs!$B$39&lt;&gt;"pvp",Inputs!$B$44&gt;0),((Skills!G9*((R1208-1)*IF(Skills!H9&gt;0,Skills!I9/Skills!H9,1)+IF(Skills!H9&gt;0,MIN(Skills!I9,MAX(0,MAX(0,Inputs!$B$44-B1244)-((R1208-1)*IF(Inputs!$B$39="pvp",15,MAX(0.1,Skills!D9-IF(Skills!E9=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Skills!E9=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IFERROR(1/IF(Inputs!$B$39="pvp",15,MAX(0.1,Skills!D12-IF(Skills!E12=TRUE,(Inputs!$B$32+1),0))),0)</f>
        <v/>
      </c>
      <c r="R1211">
        <f>IF(AND(Inputs!$B$39&lt;&gt;"pvp",Inputs!$B$44&gt;0),IF(MAX(0,Inputs!$B$44-B1244)&lt;=0,0,(INT(MAX(0,Inputs!$B$44-B1244)/IF(Inputs!$B$39="pvp",15,MAX(0.1,Skills!D12-IF(Skills!E12=TRUE,(Inputs!$B$32+1),0))))+1)),0)</f>
        <v/>
      </c>
      <c r="S1211">
        <f>IFERROR(O1211/N1211,0)</f>
        <v/>
      </c>
      <c r="T1211">
        <f>IF(C1211,(H1211*N1211*IF(AND(Inputs!$B$39&lt;&gt;"pvp",Inputs!$B$44&gt;0),((Skills!G12*((R1211-1)*IF(Skills!H12&gt;0,Skills!I12/Skills!H12,1)+IF(Skills!H12&gt;0,MIN(Skills!I12,MAX(0,MAX(0,Inputs!$B$44-B1244)-((R1211-1)*IF(Inputs!$B$39="pvp",15,MAX(0.1,Skills!D12-IF(Skills!E12=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Skills!E12=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IFERROR(1/IF(Inputs!$B$39="pvp",15,MAX(0.1,Skills!D13-IF(Skills!E13=TRUE,(Inputs!$B$32+1),0))),0)</f>
        <v/>
      </c>
      <c r="R1212">
        <f>IF(AND(Inputs!$B$39&lt;&gt;"pvp",Inputs!$B$44&gt;0),IF(MAX(0,Inputs!$B$44-B1244)&lt;=0,0,(INT(MAX(0,Inputs!$B$44-B1244)/IF(Inputs!$B$39="pvp",15,MAX(0.1,Skills!D13-IF(Skills!E13=TRUE,(Inputs!$B$32+1),0))))+1)),0)</f>
        <v/>
      </c>
      <c r="S1212">
        <f>IFERROR(O1212/N1212,0)</f>
        <v/>
      </c>
      <c r="T1212">
        <f>IF(C1212,(H1212*N1212*IF(AND(Inputs!$B$39&lt;&gt;"pvp",Inputs!$B$44&gt;0),((Skills!G13*((R1212-1)*IF(Skills!H13&gt;0,Skills!I13/Skills!H13,1)+IF(Skills!H13&gt;0,MIN(Skills!I13,MAX(0,MAX(0,Inputs!$B$44-B1244)-((R1212-1)*IF(Inputs!$B$39="pvp",15,MAX(0.1,Skills!D13-IF(Skills!E13=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Skills!E13=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IFERROR(1/IF(Inputs!$B$39="pvp",15,MAX(0.1,Skills!D14-IF(Skills!E14=TRUE,(Inputs!$B$32+1),0))),0)</f>
        <v/>
      </c>
      <c r="R1213">
        <f>IF(AND(Inputs!$B$39&lt;&gt;"pvp",Inputs!$B$44&gt;0),IF(MAX(0,Inputs!$B$44-B1244)&lt;=0,0,(INT(MAX(0,Inputs!$B$44-B1244)/IF(Inputs!$B$39="pvp",15,MAX(0.1,Skills!D14-IF(Skills!E14=TRUE,(Inputs!$B$32+1),0))))+1)),0)</f>
        <v/>
      </c>
      <c r="S1213">
        <f>IFERROR(O1213/N1213,0)</f>
        <v/>
      </c>
      <c r="T1213">
        <f>IF(C1213,(H1213*N1213*IF(AND(Inputs!$B$39&lt;&gt;"pvp",Inputs!$B$44&gt;0),((Skills!G14*((R1213-1)*IF(Skills!H14&gt;0,Skills!I14/Skills!H14,1)+IF(Skills!H14&gt;0,MIN(Skills!I14,MAX(0,MAX(0,Inputs!$B$44-B1244)-((R1213-1)*IF(Inputs!$B$39="pvp",15,MAX(0.1,Skills!D14-IF(Skills!E14=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Skills!E14=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IFERROR(1/IF(Inputs!$B$39="pvp",15,MAX(0.1,Skills!D15-IF(Skills!E15=TRUE,(Inputs!$B$32+1),0))),0)</f>
        <v/>
      </c>
      <c r="R1214">
        <f>IF(AND(Inputs!$B$39&lt;&gt;"pvp",Inputs!$B$44&gt;0),IF(Inputs!$B$44&lt;=0,0,(INT(Inputs!$B$44/IF(Inputs!$B$39="pvp",15,MAX(0.1,Skills!D15-IF(Skills!E15=TRUE,(Inputs!$B$32+1),0))))+1)),0)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IFERROR(1/IF(Inputs!$B$39="pvp",15,MAX(0.1,Skills!D16-IF(Skills!E16=TRUE,(Inputs!$B$32+1),0))),0)</f>
        <v/>
      </c>
      <c r="R1215">
        <f>IF(AND(Inputs!$B$39&lt;&gt;"pvp",Inputs!$B$44&gt;0),IF(Inputs!$B$44&lt;=0,0,(INT(Inputs!$B$44/IF(Inputs!$B$39="pvp",15,MAX(0.1,Skills!D16-IF(Skills!E16=TRUE,(Inputs!$B$32+1),0))))+1)),0)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IFERROR(1/IF(Inputs!$B$39="pvp",15,MAX(0.1,Skills!D19-IF(Skills!E19=TRUE,(Inputs!$B$32+1),0))),0)</f>
        <v/>
      </c>
      <c r="R1218">
        <f>IF(AND(Inputs!$B$39&lt;&gt;"pvp",Inputs!$B$44&gt;0),IF(Inputs!$B$44&lt;=0,0,(INT(Inputs!$B$44/IF(Inputs!$B$39="pvp",15,MAX(0.1,Skills!D19-IF(Skills!E19=TRUE,(Inputs!$B$32+1),0))))+1)),0)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IFERROR(1/IF(Inputs!$B$39="pvp",15,MAX(0.1,Skills!D20-IF(Skills!E20=TRUE,(Inputs!$B$32+1),0))),0)</f>
        <v/>
      </c>
      <c r="R1219">
        <f>IF(AND(Inputs!$B$39&lt;&gt;"pvp",Inputs!$B$44&gt;0),IF(Inputs!$B$44&lt;=0,0,(INT(Inputs!$B$44/IF(Inputs!$B$39="pvp",15,MAX(0.1,Skills!D20-IF(Skills!E20=TRUE,(Inputs!$B$32+1),0))))+1)),0)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IFERROR(1/IF(Inputs!$B$39="pvp",15,MAX(0.1,Skills!D21-IF(Skills!E21=TRUE,(Inputs!$B$32+1),0))),0)</f>
        <v/>
      </c>
      <c r="R1220">
        <f>IF(AND(Inputs!$B$39&lt;&gt;"pvp",Inputs!$B$44&gt;0),IF(Inputs!$B$44&lt;=0,0,(INT(Inputs!$B$44/IF(Inputs!$B$39="pvp",15,MAX(0.1,Skills!D21-IF(Skills!E21=TRUE,(Inputs!$B$32+1),0))))+1)),0)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Skills!Y19*(1+Inputs!$B$34/100))+MIN((Skills!Y19*(1+Inputs!$B$34/100)),MAX(0,Inputs!$B$44-((R1218-1)*Skills!D19))))/Inputs!$B$44),IF(Inputs!$B$39="pvp",MIN((Skills!Y19*(1+Inputs!$B$34/100)),15)/15,(Skills!Y19*(1+Inputs!$B$34/100))/Skills!D19)))/150)))/100</f>
        <v/>
      </c>
    </row>
    <row r="1233">
      <c r="A1233" t="inlineStr">
        <is>
          <t>Alchemic Adrenaline Uptime</t>
        </is>
      </c>
      <c r="B1233">
        <f>(Skills!Y6*(1+Inputs!$B$34/100))/((Skills!Y6*(1+Inputs!$B$34/100))+(5/B1232))</f>
        <v/>
      </c>
    </row>
    <row r="1234">
      <c r="A1234" t="inlineStr">
        <is>
          <t>Attack Speed Buff Bonus %</t>
        </is>
      </c>
      <c r="B1234">
        <f>((C1218=TRUE)*F1218*IF(AND(Inputs!$B$39&lt;&gt;"pvp",Inputs!$B$44&gt;0),(((R1218-1)*(Skills!Y19*(1+Inputs!$B$34/100))+MIN((Skills!Y19*(1+Inputs!$B$34/100)),MAX(0,Inputs!$B$44-((R1218-1)*Skills!D19))))/Inputs!$B$44),IF(Inputs!$B$39="pvp",MIN((Skills!Y19*(1+Inputs!$B$34/100)),15)/15,(Skills!Y19*(1+Inputs!$B$34/100))/Skills!D19)))+((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f>
        <v/>
      </c>
    </row>
    <row r="1239">
      <c r="A1239" t="inlineStr">
        <is>
          <t>Global Crit Rate Bonus %</t>
        </is>
      </c>
      <c r="B1239">
        <f>IF(Inputs!$B$3&gt;=47,8,0)+((C1219=TRUE)*F1219*IF(AND(Inputs!$B$39&lt;&gt;"pvp",Inputs!$B$44&gt;0),(((R1219-1)*(Skills!Y20*(1+Inputs!$B$34/100))+MIN((Skills!Y20*(1+Inputs!$B$34/100)),MAX(0,Inputs!$B$44-((R1219-1)*Skills!D20))))/Inputs!$B$44),IF(Inputs!$B$39="pvp",MIN((Skills!Y20*(1+Inputs!$B$34/100)),15)/15,(Skills!Y20*(1+Inputs!$B$34/100))/Skills!D20)))</f>
        <v/>
      </c>
    </row>
    <row r="1240">
      <c r="A1240" t="inlineStr">
        <is>
          <t>Global Monster Damage-Taken Bonus %</t>
        </is>
      </c>
      <c r="B1240">
        <f>IF(Inputs!$B$3&gt;=82,15,0)+((C1215=TRUE)*F1215*IF(AND(Inputs!$B$39&lt;&gt;"pvp",Inputs!$B$44&gt;0),(((R1215-1)*(Skills!Y16*(1+Inputs!$B$34/100))+MIN((Skills!Y16*(1+Inputs!$B$34/100)),MAX(0,Inputs!$B$44-((R1215-1)*Skills!D16))))/Inputs!$B$44),IF(Inputs!$B$39="pvp",MIN((Skills!Y16*(1+Inputs!$B$34/100)),15)/15,(Skills!Y16*(1+Inputs!$B$34/100))/Skills!D16)))</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Skills!Y16*(1+Inputs!$B$34/100))+MIN((Skills!Y16*(1+Inputs!$B$34/100)),MAX(0,Inputs!$B$44-((R1215-1)*Skills!D16))))/Inputs!$B$44),IF(Inputs!$B$39="pvp",MIN((Skills!Y16*(1+Inputs!$B$34/100)),15)/15,(Skills!Y16*(1+Inputs!$B$34/100))/Skills!D16))</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IFERROR(1/IF(Inputs!$B$39="pvp",15,MAX(0.1,Skills!D3-IF(Skills!E3=TRUE,Inputs!$B$32,0))),0)</f>
        <v/>
      </c>
      <c r="R1251">
        <f>IF(AND(Inputs!$B$39&lt;&gt;"pvp",Inputs!$B$44&gt;0),IF(MAX(0,Inputs!$B$44-B1293)&lt;=0,0,(INT(MAX(0,Inputs!$B$44-B1293)/IF(Inputs!$B$39="pvp",15,MAX(0.1,Skills!D3-IF(Skills!E3=TRUE,Inputs!$B$32,0))))+1)),0)</f>
        <v/>
      </c>
      <c r="S1251">
        <f>IFERROR(O1251/N1251,0)</f>
        <v/>
      </c>
      <c r="T1251">
        <f>IF(C1251,(H1251*N1251*IF(AND(Inputs!$B$39&lt;&gt;"pvp",Inputs!$B$44&gt;0),((Skills!G3*((R1251-1)*IF(Skills!H3&gt;0,Skills!I3/Skills!H3,1)+IF(Skills!H3&gt;0,MIN(Skills!I3,MAX(0,MAX(0,Inputs!$B$44-B1293)-((R1251-1)*IF(Inputs!$B$39="pvp",15,MAX(0.1,Skills!D3-IF(Skills!E3=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Skills!E3=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Inputs!$B$3&gt;=40</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IFERROR(1/IF(Inputs!$B$39="pvp",15,MAX(0.1,Skills!D4-IF(Skills!E4=TRUE,Inputs!$B$32,0))),0)</f>
        <v/>
      </c>
      <c r="R1252">
        <f>IF(AND(Inputs!$B$39&lt;&gt;"pvp",Inputs!$B$44&gt;0),IF(MAX(0,Inputs!$B$44-B1293)&lt;=0,0,(INT(MAX(0,Inputs!$B$44-B1293)/IF(Inputs!$B$39="pvp",15,MAX(0.1,Skills!D4-IF(Skills!E4=TRUE,Inputs!$B$32,0))))+1)),0)</f>
        <v/>
      </c>
      <c r="S1252">
        <f>IFERROR(O1252/N1252,0)</f>
        <v/>
      </c>
      <c r="T1252">
        <f>IF(C1252,(H1252*N1252*IF(AND(Inputs!$B$39&lt;&gt;"pvp",Inputs!$B$44&gt;0),((Skills!G4*((R1252-1)*IF(Skills!H4&gt;0,Skills!I4/Skills!H4,1)+IF(Skills!H4&gt;0,MIN(Skills!I4,MAX(0,MAX(0,Inputs!$B$44-B1293)-((R1252-1)*IF(Inputs!$B$39="pvp",15,MAX(0.1,Skills!D4-IF(Skills!E4=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Skills!E4=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IFERROR(1/IF(Inputs!$B$39="pvp",15,MAX(0.1,Skills!D5-IF(Skills!E5=TRUE,Inputs!$B$32,0))),0)</f>
        <v/>
      </c>
      <c r="R1253">
        <f>IF(AND(Inputs!$B$39&lt;&gt;"pvp",Inputs!$B$44&gt;0),IF(MAX(0,Inputs!$B$44-B1293)&lt;=0,0,(INT(MAX(0,Inputs!$B$44-B1293)/IF(Inputs!$B$39="pvp",15,MAX(0.1,Skills!D5-IF(Skills!E5=TRUE,Inputs!$B$32,0))))+1)),0)</f>
        <v/>
      </c>
      <c r="S1253">
        <f>IFERROR(O1253/N1253,0)</f>
        <v/>
      </c>
      <c r="T1253">
        <f>IF(C1253,(H1253*N1253*IF(AND(Inputs!$B$39&lt;&gt;"pvp",Inputs!$B$44&gt;0),((Skills!G5*((R1253-1)*IF(Skills!H5&gt;0,Skills!I5/Skills!H5,1)+IF(Skills!H5&gt;0,MIN(Skills!I5,MAX(0,MAX(0,Inputs!$B$44-B1293)-((R1253-1)*IF(Inputs!$B$39="pvp",15,MAX(0.1,Skills!D5-IF(Skills!E5=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Skills!E5=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IFERROR(1/IF(Inputs!$B$39="pvp",15,MAX(0.1,Skills!D8-IF(Skills!E8=TRUE,Inputs!$B$32,0))),0)</f>
        <v/>
      </c>
      <c r="R1256">
        <f>IF(AND(Inputs!$B$39&lt;&gt;"pvp",Inputs!$B$44&gt;0),IF(MAX(0,Inputs!$B$44-B1293)&lt;=0,0,(INT(MAX(0,Inputs!$B$44-B1293)/IF(Inputs!$B$39="pvp",15,MAX(0.1,Skills!D8-IF(Skills!E8=TRUE,Inputs!$B$32,0))))+1)),0)</f>
        <v/>
      </c>
      <c r="S1256">
        <f>IFERROR(O1256/N1256,0)</f>
        <v/>
      </c>
      <c r="T1256">
        <f>IF(C1256,(H1256*N1256*IF(AND(Inputs!$B$39&lt;&gt;"pvp",Inputs!$B$44&gt;0),((Skills!G8*((R1256-1)*IF(Skills!H8&gt;0,Skills!I8/Skills!H8,1)+IF(Skills!H8&gt;0,MIN(Skills!I8,MAX(0,MAX(0,Inputs!$B$44-B1293)-((R1256-1)*IF(Inputs!$B$39="pvp",15,MAX(0.1,Skills!D8-IF(Skills!E8=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Skills!E8=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Inputs!$B$3&gt;=72</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IFERROR(1/IF(Inputs!$B$39="pvp",15,MAX(0.1,Skills!D9-IF(Skills!E9=TRUE,Inputs!$B$32,0))),0)</f>
        <v/>
      </c>
      <c r="R1257">
        <f>IF(AND(Inputs!$B$39&lt;&gt;"pvp",Inputs!$B$44&gt;0),IF(MAX(0,Inputs!$B$44-B1293)&lt;=0,0,(INT(MAX(0,Inputs!$B$44-B1293)/IF(Inputs!$B$39="pvp",15,MAX(0.1,Skills!D9-IF(Skills!E9=TRUE,Inputs!$B$32,0))))+1)),0)</f>
        <v/>
      </c>
      <c r="S1257">
        <f>IFERROR(O1257/N1257,0)</f>
        <v/>
      </c>
      <c r="T1257">
        <f>IF(C1257,(H1257*N1257*IF(AND(Inputs!$B$39&lt;&gt;"pvp",Inputs!$B$44&gt;0),((Skills!G9*((R1257-1)*IF(Skills!H9&gt;0,Skills!I9/Skills!H9,1)+IF(Skills!H9&gt;0,MIN(Skills!I9,MAX(0,MAX(0,Inputs!$B$44-B1293)-((R1257-1)*IF(Inputs!$B$39="pvp",15,MAX(0.1,Skills!D9-IF(Skills!E9=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Skills!E9=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IFERROR(1/IF(Inputs!$B$39="pvp",15,MAX(0.1,Skills!D12-IF(Skills!E12=TRUE,Inputs!$B$32,0))),0)</f>
        <v/>
      </c>
      <c r="R1260">
        <f>IF(AND(Inputs!$B$39&lt;&gt;"pvp",Inputs!$B$44&gt;0),IF(MAX(0,Inputs!$B$44-B1293)&lt;=0,0,(INT(MAX(0,Inputs!$B$44-B1293)/IF(Inputs!$B$39="pvp",15,MAX(0.1,Skills!D12-IF(Skills!E12=TRUE,Inputs!$B$32,0))))+1)),0)</f>
        <v/>
      </c>
      <c r="S1260">
        <f>IFERROR(O1260/N1260,0)</f>
        <v/>
      </c>
      <c r="T1260">
        <f>IF(C1260,(H1260*N1260*IF(AND(Inputs!$B$39&lt;&gt;"pvp",Inputs!$B$44&gt;0),((Skills!G12*((R1260-1)*IF(Skills!H12&gt;0,Skills!I12/Skills!H12,1)+IF(Skills!H12&gt;0,MIN(Skills!I12,MAX(0,MAX(0,Inputs!$B$44-B1293)-((R1260-1)*IF(Inputs!$B$39="pvp",15,MAX(0.1,Skills!D12-IF(Skills!E12=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Skills!E12=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IFERROR(1/IF(Inputs!$B$39="pvp",15,MAX(0.1,Skills!D13-IF(Skills!E13=TRUE,Inputs!$B$32,0))),0)</f>
        <v/>
      </c>
      <c r="R1261">
        <f>IF(AND(Inputs!$B$39&lt;&gt;"pvp",Inputs!$B$44&gt;0),IF(MAX(0,Inputs!$B$44-B1293)&lt;=0,0,(INT(MAX(0,Inputs!$B$44-B1293)/IF(Inputs!$B$39="pvp",15,MAX(0.1,Skills!D13-IF(Skills!E13=TRUE,Inputs!$B$32,0))))+1)),0)</f>
        <v/>
      </c>
      <c r="S1261">
        <f>IFERROR(O1261/N1261,0)</f>
        <v/>
      </c>
      <c r="T1261">
        <f>IF(C1261,(H1261*N1261*IF(AND(Inputs!$B$39&lt;&gt;"pvp",Inputs!$B$44&gt;0),((Skills!G13*((R1261-1)*IF(Skills!H13&gt;0,Skills!I13/Skills!H13,1)+IF(Skills!H13&gt;0,MIN(Skills!I13,MAX(0,MAX(0,Inputs!$B$44-B1293)-((R1261-1)*IF(Inputs!$B$39="pvp",15,MAX(0.1,Skills!D13-IF(Skills!E13=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Skills!E13=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IFERROR(1/IF(Inputs!$B$39="pvp",15,MAX(0.1,Skills!D14-IF(Skills!E14=TRUE,Inputs!$B$32,0))),0)</f>
        <v/>
      </c>
      <c r="R1262">
        <f>IF(AND(Inputs!$B$39&lt;&gt;"pvp",Inputs!$B$44&gt;0),IF(MAX(0,Inputs!$B$44-B1293)&lt;=0,0,(INT(MAX(0,Inputs!$B$44-B1293)/IF(Inputs!$B$39="pvp",15,MAX(0.1,Skills!D14-IF(Skills!E14=TRUE,Inputs!$B$32,0))))+1)),0)</f>
        <v/>
      </c>
      <c r="S1262">
        <f>IFERROR(O1262/N1262,0)</f>
        <v/>
      </c>
      <c r="T1262">
        <f>IF(C1262,(H1262*N1262*IF(AND(Inputs!$B$39&lt;&gt;"pvp",Inputs!$B$44&gt;0),((Skills!G14*((R1262-1)*IF(Skills!H14&gt;0,Skills!I14/Skills!H14,1)+IF(Skills!H14&gt;0,MIN(Skills!I14,MAX(0,MAX(0,Inputs!$B$44-B1293)-((R1262-1)*IF(Inputs!$B$39="pvp",15,MAX(0.1,Skills!D14-IF(Skills!E14=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Skills!E14=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IFERROR(1/IF(Inputs!$B$39="pvp",15,MAX(0.1,Skills!D15-IF(Skills!E15=TRUE,Inputs!$B$32,0))),0)</f>
        <v/>
      </c>
      <c r="R1263">
        <f>IF(AND(Inputs!$B$39&lt;&gt;"pvp",Inputs!$B$44&gt;0),IF(Inputs!$B$44&lt;=0,0,(INT(Inputs!$B$44/IF(Inputs!$B$39="pvp",15,MAX(0.1,Skills!D15-IF(Skills!E15=TRUE,Inputs!$B$32,0))))+1)),0)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IFERROR(1/IF(Inputs!$B$39="pvp",15,MAX(0.1,Skills!D16-IF(Skills!E16=TRUE,Inputs!$B$32,0))),0)</f>
        <v/>
      </c>
      <c r="R1264">
        <f>IF(AND(Inputs!$B$39&lt;&gt;"pvp",Inputs!$B$44&gt;0),IF(Inputs!$B$44&lt;=0,0,(INT(Inputs!$B$44/IF(Inputs!$B$39="pvp",15,MAX(0.1,Skills!D16-IF(Skills!E16=TRUE,Inputs!$B$32,0))))+1)),0)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IFERROR(1/IF(Inputs!$B$39="pvp",15,MAX(0.1,Skills!D19-IF(Skills!E19=TRUE,Inputs!$B$32,0))),0)</f>
        <v/>
      </c>
      <c r="R1267">
        <f>IF(AND(Inputs!$B$39&lt;&gt;"pvp",Inputs!$B$44&gt;0),IF(Inputs!$B$44&lt;=0,0,(INT(Inputs!$B$44/IF(Inputs!$B$39="pvp",15,MAX(0.1,Skills!D19-IF(Skills!E19=TRUE,Inputs!$B$32,0))))+1)),0)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IFERROR(1/IF(Inputs!$B$39="pvp",15,MAX(0.1,Skills!D20-IF(Skills!E20=TRUE,Inputs!$B$32,0))),0)</f>
        <v/>
      </c>
      <c r="R1268">
        <f>IF(AND(Inputs!$B$39&lt;&gt;"pvp",Inputs!$B$44&gt;0),IF(Inputs!$B$44&lt;=0,0,(INT(Inputs!$B$44/IF(Inputs!$B$39="pvp",15,MAX(0.1,Skills!D20-IF(Skills!E20=TRUE,Inputs!$B$32,0))))+1)),0)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IFERROR(1/IF(Inputs!$B$39="pvp",15,MAX(0.1,Skills!D21-IF(Skills!E21=TRUE,Inputs!$B$32,0))),0)</f>
        <v/>
      </c>
      <c r="R1269">
        <f>IF(AND(Inputs!$B$39&lt;&gt;"pvp",Inputs!$B$44&gt;0),IF(Inputs!$B$44&lt;=0,0,(INT(Inputs!$B$44/IF(Inputs!$B$39="pvp",15,MAX(0.1,Skills!D21-IF(Skills!E21=TRUE,Inputs!$B$32,0))))+1)),0)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Skills!Y19*(1+Inputs!$B$34/100))+MIN((Skills!Y19*(1+Inputs!$B$34/100)),MAX(0,Inputs!$B$44-((R1267-1)*Skills!D19))))/Inputs!$B$44),IF(Inputs!$B$39="pvp",MIN((Skills!Y19*(1+Inputs!$B$34/100)),15)/15,(Skills!Y19*(1+Inputs!$B$34/100))/Skills!D19)))/150)))/100</f>
        <v/>
      </c>
    </row>
    <row r="1282">
      <c r="A1282" t="inlineStr">
        <is>
          <t>Alchemic Adrenaline Uptime</t>
        </is>
      </c>
      <c r="B1282">
        <f>(Skills!Y6*(1+Inputs!$B$34/100))/((Skills!Y6*(1+Inputs!$B$34/100))+(5/B1281))</f>
        <v/>
      </c>
    </row>
    <row r="1283">
      <c r="A1283" t="inlineStr">
        <is>
          <t>Attack Speed Buff Bonus %</t>
        </is>
      </c>
      <c r="B1283">
        <f>((C1267=TRUE)*F1267*IF(AND(Inputs!$B$39&lt;&gt;"pvp",Inputs!$B$44&gt;0),(((R1267-1)*(Skills!Y19*(1+Inputs!$B$34/100))+MIN((Skills!Y19*(1+Inputs!$B$34/100)),MAX(0,Inputs!$B$44-((R1267-1)*Skills!D19))))/Inputs!$B$44),IF(Inputs!$B$39="pvp",MIN((Skills!Y19*(1+Inputs!$B$34/100)),15)/15,(Skills!Y19*(1+Inputs!$B$34/100))/Skills!D19)))+((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f>
        <v/>
      </c>
    </row>
    <row r="1288">
      <c r="A1288" t="inlineStr">
        <is>
          <t>Global Crit Rate Bonus %</t>
        </is>
      </c>
      <c r="B1288">
        <f>IF(Inputs!$B$3&gt;=47,8,0)+((C1268=TRUE)*F1268*IF(AND(Inputs!$B$39&lt;&gt;"pvp",Inputs!$B$44&gt;0),(((R1268-1)*(Skills!Y20*(1+Inputs!$B$34/100))+MIN((Skills!Y20*(1+Inputs!$B$34/100)),MAX(0,Inputs!$B$44-((R1268-1)*Skills!D20))))/Inputs!$B$44),IF(Inputs!$B$39="pvp",MIN((Skills!Y20*(1+Inputs!$B$34/100)),15)/15,(Skills!Y20*(1+Inputs!$B$34/100))/Skills!D20)))</f>
        <v/>
      </c>
    </row>
    <row r="1289">
      <c r="A1289" t="inlineStr">
        <is>
          <t>Global Monster Damage-Taken Bonus %</t>
        </is>
      </c>
      <c r="B1289">
        <f>IF(Inputs!$B$3&gt;=82,15,0)+((C1264=TRUE)*F1264*IF(AND(Inputs!$B$39&lt;&gt;"pvp",Inputs!$B$44&gt;0),(((R1264-1)*(Skills!Y16*(1+Inputs!$B$34/100))+MIN((Skills!Y16*(1+Inputs!$B$34/100)),MAX(0,Inputs!$B$44-((R1264-1)*Skills!D16))))/Inputs!$B$44),IF(Inputs!$B$39="pvp",MIN((Skills!Y16*(1+Inputs!$B$34/100)),15)/15,(Skills!Y16*(1+Inputs!$B$34/100))/Skills!D16)))</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Skills!Y16*(1+Inputs!$B$34/100))+MIN((Skills!Y16*(1+Inputs!$B$34/100)),MAX(0,Inputs!$B$44-((R1264-1)*Skills!D16))))/Inputs!$B$44),IF(Inputs!$B$39="pvp",MIN((Skills!Y16*(1+Inputs!$B$34/100)),15)/15,(Skills!Y16*(1+Inputs!$B$34/100))/Skills!D16))</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IFERROR(1/IF(Inputs!$B$39="pvp",15,MAX(0.1,Skills!D3-IF(Skills!E3=TRUE,Inputs!$B$32,0))),0)</f>
        <v/>
      </c>
      <c r="R1300">
        <f>IF(AND(Inputs!$B$39&lt;&gt;"pvp",Inputs!$B$44&gt;0),IF(MAX(0,Inputs!$B$44-B1342)&lt;=0,0,(INT(MAX(0,Inputs!$B$44-B1342)/IF(Inputs!$B$39="pvp",15,MAX(0.1,Skills!D3-IF(Skills!E3=TRUE,Inputs!$B$32,0))))+1)),0)</f>
        <v/>
      </c>
      <c r="S1300">
        <f>IFERROR(O1300/N1300,0)</f>
        <v/>
      </c>
      <c r="T1300">
        <f>IF(C1300,(H1300*N1300*IF(AND(Inputs!$B$39&lt;&gt;"pvp",Inputs!$B$44&gt;0),((Skills!G3*((R1300-1)*IF(Skills!H3&gt;0,Skills!I3/Skills!H3,1)+IF(Skills!H3&gt;0,MIN(Skills!I3,MAX(0,MAX(0,Inputs!$B$44-B1342)-((R1300-1)*IF(Inputs!$B$39="pvp",15,MAX(0.1,Skills!D3-IF(Skills!E3=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Skills!E3=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Inputs!$B$3&gt;=40</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IFERROR(1/IF(Inputs!$B$39="pvp",15,MAX(0.1,Skills!D4-IF(Skills!E4=TRUE,Inputs!$B$32,0))),0)</f>
        <v/>
      </c>
      <c r="R1301">
        <f>IF(AND(Inputs!$B$39&lt;&gt;"pvp",Inputs!$B$44&gt;0),IF(MAX(0,Inputs!$B$44-B1342)&lt;=0,0,(INT(MAX(0,Inputs!$B$44-B1342)/IF(Inputs!$B$39="pvp",15,MAX(0.1,Skills!D4-IF(Skills!E4=TRUE,Inputs!$B$32,0))))+1)),0)</f>
        <v/>
      </c>
      <c r="S1301">
        <f>IFERROR(O1301/N1301,0)</f>
        <v/>
      </c>
      <c r="T1301">
        <f>IF(C1301,(H1301*N1301*IF(AND(Inputs!$B$39&lt;&gt;"pvp",Inputs!$B$44&gt;0),((Skills!G4*((R1301-1)*IF(Skills!H4&gt;0,Skills!I4/Skills!H4,1)+IF(Skills!H4&gt;0,MIN(Skills!I4,MAX(0,MAX(0,Inputs!$B$44-B1342)-((R1301-1)*IF(Inputs!$B$39="pvp",15,MAX(0.1,Skills!D4-IF(Skills!E4=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Skills!E4=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IFERROR(1/IF(Inputs!$B$39="pvp",15,MAX(0.1,Skills!D5-IF(Skills!E5=TRUE,Inputs!$B$32,0))),0)</f>
        <v/>
      </c>
      <c r="R1302">
        <f>IF(AND(Inputs!$B$39&lt;&gt;"pvp",Inputs!$B$44&gt;0),IF(MAX(0,Inputs!$B$44-B1342)&lt;=0,0,(INT(MAX(0,Inputs!$B$44-B1342)/IF(Inputs!$B$39="pvp",15,MAX(0.1,Skills!D5-IF(Skills!E5=TRUE,Inputs!$B$32,0))))+1)),0)</f>
        <v/>
      </c>
      <c r="S1302">
        <f>IFERROR(O1302/N1302,0)</f>
        <v/>
      </c>
      <c r="T1302">
        <f>IF(C1302,(H1302*N1302*IF(AND(Inputs!$B$39&lt;&gt;"pvp",Inputs!$B$44&gt;0),((Skills!G5*((R1302-1)*IF(Skills!H5&gt;0,Skills!I5/Skills!H5,1)+IF(Skills!H5&gt;0,MIN(Skills!I5,MAX(0,MAX(0,Inputs!$B$44-B1342)-((R1302-1)*IF(Inputs!$B$39="pvp",15,MAX(0.1,Skills!D5-IF(Skills!E5=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Skills!E5=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IFERROR(1/IF(Inputs!$B$39="pvp",15,MAX(0.1,Skills!D8-IF(Skills!E8=TRUE,Inputs!$B$32,0))),0)</f>
        <v/>
      </c>
      <c r="R1305">
        <f>IF(AND(Inputs!$B$39&lt;&gt;"pvp",Inputs!$B$44&gt;0),IF(MAX(0,Inputs!$B$44-B1342)&lt;=0,0,(INT(MAX(0,Inputs!$B$44-B1342)/IF(Inputs!$B$39="pvp",15,MAX(0.1,Skills!D8-IF(Skills!E8=TRUE,Inputs!$B$32,0))))+1)),0)</f>
        <v/>
      </c>
      <c r="S1305">
        <f>IFERROR(O1305/N1305,0)</f>
        <v/>
      </c>
      <c r="T1305">
        <f>IF(C1305,(H1305*N1305*IF(AND(Inputs!$B$39&lt;&gt;"pvp",Inputs!$B$44&gt;0),((Skills!G8*((R1305-1)*IF(Skills!H8&gt;0,Skills!I8/Skills!H8,1)+IF(Skills!H8&gt;0,MIN(Skills!I8,MAX(0,MAX(0,Inputs!$B$44-B1342)-((R1305-1)*IF(Inputs!$B$39="pvp",15,MAX(0.1,Skills!D8-IF(Skills!E8=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Skills!E8=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Inputs!$B$3&gt;=72</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IFERROR(1/IF(Inputs!$B$39="pvp",15,MAX(0.1,Skills!D9-IF(Skills!E9=TRUE,Inputs!$B$32,0))),0)</f>
        <v/>
      </c>
      <c r="R1306">
        <f>IF(AND(Inputs!$B$39&lt;&gt;"pvp",Inputs!$B$44&gt;0),IF(MAX(0,Inputs!$B$44-B1342)&lt;=0,0,(INT(MAX(0,Inputs!$B$44-B1342)/IF(Inputs!$B$39="pvp",15,MAX(0.1,Skills!D9-IF(Skills!E9=TRUE,Inputs!$B$32,0))))+1)),0)</f>
        <v/>
      </c>
      <c r="S1306">
        <f>IFERROR(O1306/N1306,0)</f>
        <v/>
      </c>
      <c r="T1306">
        <f>IF(C1306,(H1306*N1306*IF(AND(Inputs!$B$39&lt;&gt;"pvp",Inputs!$B$44&gt;0),((Skills!G9*((R1306-1)*IF(Skills!H9&gt;0,Skills!I9/Skills!H9,1)+IF(Skills!H9&gt;0,MIN(Skills!I9,MAX(0,MAX(0,Inputs!$B$44-B1342)-((R1306-1)*IF(Inputs!$B$39="pvp",15,MAX(0.1,Skills!D9-IF(Skills!E9=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Skills!E9=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IFERROR(1/IF(Inputs!$B$39="pvp",15,MAX(0.1,Skills!D12-IF(Skills!E12=TRUE,Inputs!$B$32,0))),0)</f>
        <v/>
      </c>
      <c r="R1309">
        <f>IF(AND(Inputs!$B$39&lt;&gt;"pvp",Inputs!$B$44&gt;0),IF(MAX(0,Inputs!$B$44-B1342)&lt;=0,0,(INT(MAX(0,Inputs!$B$44-B1342)/IF(Inputs!$B$39="pvp",15,MAX(0.1,Skills!D12-IF(Skills!E12=TRUE,Inputs!$B$32,0))))+1)),0)</f>
        <v/>
      </c>
      <c r="S1309">
        <f>IFERROR(O1309/N1309,0)</f>
        <v/>
      </c>
      <c r="T1309">
        <f>IF(C1309,(H1309*N1309*IF(AND(Inputs!$B$39&lt;&gt;"pvp",Inputs!$B$44&gt;0),((Skills!G12*((R1309-1)*IF(Skills!H12&gt;0,Skills!I12/Skills!H12,1)+IF(Skills!H12&gt;0,MIN(Skills!I12,MAX(0,MAX(0,Inputs!$B$44-B1342)-((R1309-1)*IF(Inputs!$B$39="pvp",15,MAX(0.1,Skills!D12-IF(Skills!E12=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Skills!E12=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IFERROR(1/IF(Inputs!$B$39="pvp",15,MAX(0.1,Skills!D13-IF(Skills!E13=TRUE,Inputs!$B$32,0))),0)</f>
        <v/>
      </c>
      <c r="R1310">
        <f>IF(AND(Inputs!$B$39&lt;&gt;"pvp",Inputs!$B$44&gt;0),IF(MAX(0,Inputs!$B$44-B1342)&lt;=0,0,(INT(MAX(0,Inputs!$B$44-B1342)/IF(Inputs!$B$39="pvp",15,MAX(0.1,Skills!D13-IF(Skills!E13=TRUE,Inputs!$B$32,0))))+1)),0)</f>
        <v/>
      </c>
      <c r="S1310">
        <f>IFERROR(O1310/N1310,0)</f>
        <v/>
      </c>
      <c r="T1310">
        <f>IF(C1310,(H1310*N1310*IF(AND(Inputs!$B$39&lt;&gt;"pvp",Inputs!$B$44&gt;0),((Skills!G13*((R1310-1)*IF(Skills!H13&gt;0,Skills!I13/Skills!H13,1)+IF(Skills!H13&gt;0,MIN(Skills!I13,MAX(0,MAX(0,Inputs!$B$44-B1342)-((R1310-1)*IF(Inputs!$B$39="pvp",15,MAX(0.1,Skills!D13-IF(Skills!E13=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Skills!E13=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IFERROR(1/IF(Inputs!$B$39="pvp",15,MAX(0.1,Skills!D14-IF(Skills!E14=TRUE,Inputs!$B$32,0))),0)</f>
        <v/>
      </c>
      <c r="R1311">
        <f>IF(AND(Inputs!$B$39&lt;&gt;"pvp",Inputs!$B$44&gt;0),IF(MAX(0,Inputs!$B$44-B1342)&lt;=0,0,(INT(MAX(0,Inputs!$B$44-B1342)/IF(Inputs!$B$39="pvp",15,MAX(0.1,Skills!D14-IF(Skills!E14=TRUE,Inputs!$B$32,0))))+1)),0)</f>
        <v/>
      </c>
      <c r="S1311">
        <f>IFERROR(O1311/N1311,0)</f>
        <v/>
      </c>
      <c r="T1311">
        <f>IF(C1311,(H1311*N1311*IF(AND(Inputs!$B$39&lt;&gt;"pvp",Inputs!$B$44&gt;0),((Skills!G14*((R1311-1)*IF(Skills!H14&gt;0,Skills!I14/Skills!H14,1)+IF(Skills!H14&gt;0,MIN(Skills!I14,MAX(0,MAX(0,Inputs!$B$44-B1342)-((R1311-1)*IF(Inputs!$B$39="pvp",15,MAX(0.1,Skills!D14-IF(Skills!E14=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Skills!E14=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IFERROR(1/IF(Inputs!$B$39="pvp",15,MAX(0.1,Skills!D15-IF(Skills!E15=TRUE,Inputs!$B$32,0))),0)</f>
        <v/>
      </c>
      <c r="R1312">
        <f>IF(AND(Inputs!$B$39&lt;&gt;"pvp",Inputs!$B$44&gt;0),IF(Inputs!$B$44&lt;=0,0,(INT(Inputs!$B$44/IF(Inputs!$B$39="pvp",15,MAX(0.1,Skills!D15-IF(Skills!E15=TRUE,Inputs!$B$32,0))))+1)),0)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IFERROR(1/IF(Inputs!$B$39="pvp",15,MAX(0.1,Skills!D16-IF(Skills!E16=TRUE,Inputs!$B$32,0))),0)</f>
        <v/>
      </c>
      <c r="R1313">
        <f>IF(AND(Inputs!$B$39&lt;&gt;"pvp",Inputs!$B$44&gt;0),IF(Inputs!$B$44&lt;=0,0,(INT(Inputs!$B$44/IF(Inputs!$B$39="pvp",15,MAX(0.1,Skills!D16-IF(Skills!E16=TRUE,Inputs!$B$32,0))))+1)),0)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IFERROR(1/IF(Inputs!$B$39="pvp",15,MAX(0.1,Skills!D19-IF(Skills!E19=TRUE,Inputs!$B$32,0))),0)</f>
        <v/>
      </c>
      <c r="R1316">
        <f>IF(AND(Inputs!$B$39&lt;&gt;"pvp",Inputs!$B$44&gt;0),IF(Inputs!$B$44&lt;=0,0,(INT(Inputs!$B$44/IF(Inputs!$B$39="pvp",15,MAX(0.1,Skills!D19-IF(Skills!E19=TRUE,Inputs!$B$32,0))))+1)),0)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IFERROR(1/IF(Inputs!$B$39="pvp",15,MAX(0.1,Skills!D20-IF(Skills!E20=TRUE,Inputs!$B$32,0))),0)</f>
        <v/>
      </c>
      <c r="R1317">
        <f>IF(AND(Inputs!$B$39&lt;&gt;"pvp",Inputs!$B$44&gt;0),IF(Inputs!$B$44&lt;=0,0,(INT(Inputs!$B$44/IF(Inputs!$B$39="pvp",15,MAX(0.1,Skills!D20-IF(Skills!E20=TRUE,Inputs!$B$32,0))))+1)),0)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IFERROR(1/IF(Inputs!$B$39="pvp",15,MAX(0.1,Skills!D21-IF(Skills!E21=TRUE,Inputs!$B$32,0))),0)</f>
        <v/>
      </c>
      <c r="R1318">
        <f>IF(AND(Inputs!$B$39&lt;&gt;"pvp",Inputs!$B$44&gt;0),IF(Inputs!$B$44&lt;=0,0,(INT(Inputs!$B$44/IF(Inputs!$B$39="pvp",15,MAX(0.1,Skills!D21-IF(Skills!E21=TRUE,Inputs!$B$32,0))))+1)),0)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Skills!Y19*(1+(Inputs!$B$34+1)/100))+MIN((Skills!Y19*(1+(Inputs!$B$34+1)/100)),MAX(0,Inputs!$B$44-((R1316-1)*Skills!D19))))/Inputs!$B$44),IF(Inputs!$B$39="pvp",MIN((Skills!Y19*(1+(Inputs!$B$34+1)/100)),15)/15,(Skills!Y19*(1+(Inputs!$B$34+1)/100))/Skills!D19)))/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Skills!Y19*(1+(Inputs!$B$34+1)/100))+MIN((Skills!Y19*(1+(Inputs!$B$34+1)/100)),MAX(0,Inputs!$B$44-((R1316-1)*Skills!D19))))/Inputs!$B$44),IF(Inputs!$B$39="pvp",MIN((Skills!Y19*(1+(Inputs!$B$34+1)/100)),15)/15,(Skills!Y19*(1+(Inputs!$B$34+1)/100))/Skills!D19)))+((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f>
        <v/>
      </c>
    </row>
    <row r="1337">
      <c r="A1337" t="inlineStr">
        <is>
          <t>Global Crit Rate Bonus %</t>
        </is>
      </c>
      <c r="B1337">
        <f>IF(Inputs!$B$3&gt;=47,8,0)+((C1317=TRUE)*F1317*IF(AND(Inputs!$B$39&lt;&gt;"pvp",Inputs!$B$44&gt;0),(((R1317-1)*(Skills!Y20*(1+(Inputs!$B$34+1)/100))+MIN((Skills!Y20*(1+(Inputs!$B$34+1)/100)),MAX(0,Inputs!$B$44-((R1317-1)*Skills!D20))))/Inputs!$B$44),IF(Inputs!$B$39="pvp",MIN((Skills!Y20*(1+(Inputs!$B$34+1)/100)),15)/15,(Skills!Y20*(1+(Inputs!$B$34+1)/100))/Skills!D20)))</f>
        <v/>
      </c>
    </row>
    <row r="1338">
      <c r="A1338" t="inlineStr">
        <is>
          <t>Global Monster Damage-Taken Bonus %</t>
        </is>
      </c>
      <c r="B1338">
        <f>IF(Inputs!$B$3&gt;=82,15,0)+((C1313=TRUE)*F1313*IF(AND(Inputs!$B$39&lt;&gt;"pvp",Inputs!$B$44&gt;0),(((R1313-1)*(Skills!Y16*(1+(Inputs!$B$34+1)/100))+MIN((Skills!Y16*(1+(Inputs!$B$34+1)/100)),MAX(0,Inputs!$B$44-((R1313-1)*Skills!D16))))/Inputs!$B$44),IF(Inputs!$B$39="pvp",MIN((Skills!Y16*(1+(Inputs!$B$34+1)/100)),15)/15,(Skills!Y16*(1+(Inputs!$B$34+1)/100))/Skills!D16)))</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Skills!Y16*(1+(Inputs!$B$34+1)/100))+MIN((Skills!Y16*(1+(Inputs!$B$34+1)/100)),MAX(0,Inputs!$B$44-((R1313-1)*Skills!D16))))/Inputs!$B$44),IF(Inputs!$B$39="pvp",MIN((Skills!Y16*(1+(Inputs!$B$34+1)/100)),15)/15,(Skills!Y16*(1+(Inputs!$B$34+1)/100))/Skills!D16))</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IFERROR(1/IF(Inputs!$B$39="pvp",15,MAX(0.1,Skills!D3-IF(Skills!E3=TRUE,Inputs!$B$32,0))),0)</f>
        <v/>
      </c>
      <c r="R1349">
        <f>IF(AND(Inputs!$B$39&lt;&gt;"pvp",Inputs!$B$44&gt;0),IF(MAX(0,Inputs!$B$44-B1391)&lt;=0,0,(INT(MAX(0,Inputs!$B$44-B1391)/IF(Inputs!$B$39="pvp",15,MAX(0.1,Skills!D3-IF(Skills!E3=TRUE,Inputs!$B$32,0))))+1)),0)</f>
        <v/>
      </c>
      <c r="S1349">
        <f>IFERROR(O1349/N1349,0)</f>
        <v/>
      </c>
      <c r="T1349">
        <f>IF(C1349,(H1349*N1349*IF(AND(Inputs!$B$39&lt;&gt;"pvp",Inputs!$B$44&gt;0),((Skills!G3*((R1349-1)*IF(Skills!H3&gt;0,Skills!I3/Skills!H3,1)+IF(Skills!H3&gt;0,MIN(Skills!I3,MAX(0,MAX(0,Inputs!$B$44-B1391)-((R1349-1)*IF(Inputs!$B$39="pvp",15,MAX(0.1,Skills!D3-IF(Skills!E3=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Skills!E3=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Inputs!$B$3&gt;=40</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IFERROR(1/IF(Inputs!$B$39="pvp",15,MAX(0.1,Skills!D4-IF(Skills!E4=TRUE,Inputs!$B$32,0))),0)</f>
        <v/>
      </c>
      <c r="R1350">
        <f>IF(AND(Inputs!$B$39&lt;&gt;"pvp",Inputs!$B$44&gt;0),IF(MAX(0,Inputs!$B$44-B1391)&lt;=0,0,(INT(MAX(0,Inputs!$B$44-B1391)/IF(Inputs!$B$39="pvp",15,MAX(0.1,Skills!D4-IF(Skills!E4=TRUE,Inputs!$B$32,0))))+1)),0)</f>
        <v/>
      </c>
      <c r="S1350">
        <f>IFERROR(O1350/N1350,0)</f>
        <v/>
      </c>
      <c r="T1350">
        <f>IF(C1350,(H1350*N1350*IF(AND(Inputs!$B$39&lt;&gt;"pvp",Inputs!$B$44&gt;0),((Skills!G4*((R1350-1)*IF(Skills!H4&gt;0,Skills!I4/Skills!H4,1)+IF(Skills!H4&gt;0,MIN(Skills!I4,MAX(0,MAX(0,Inputs!$B$44-B1391)-((R1350-1)*IF(Inputs!$B$39="pvp",15,MAX(0.1,Skills!D4-IF(Skills!E4=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Skills!E4=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IFERROR(1/IF(Inputs!$B$39="pvp",15,MAX(0.1,Skills!D5-IF(Skills!E5=TRUE,Inputs!$B$32,0))),0)</f>
        <v/>
      </c>
      <c r="R1351">
        <f>IF(AND(Inputs!$B$39&lt;&gt;"pvp",Inputs!$B$44&gt;0),IF(MAX(0,Inputs!$B$44-B1391)&lt;=0,0,(INT(MAX(0,Inputs!$B$44-B1391)/IF(Inputs!$B$39="pvp",15,MAX(0.1,Skills!D5-IF(Skills!E5=TRUE,Inputs!$B$32,0))))+1)),0)</f>
        <v/>
      </c>
      <c r="S1351">
        <f>IFERROR(O1351/N1351,0)</f>
        <v/>
      </c>
      <c r="T1351">
        <f>IF(C1351,(H1351*N1351*IF(AND(Inputs!$B$39&lt;&gt;"pvp",Inputs!$B$44&gt;0),((Skills!G5*((R1351-1)*IF(Skills!H5&gt;0,Skills!I5/Skills!H5,1)+IF(Skills!H5&gt;0,MIN(Skills!I5,MAX(0,MAX(0,Inputs!$B$44-B1391)-((R1351-1)*IF(Inputs!$B$39="pvp",15,MAX(0.1,Skills!D5-IF(Skills!E5=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Skills!E5=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IFERROR(1/IF(Inputs!$B$39="pvp",15,MAX(0.1,Skills!D8-IF(Skills!E8=TRUE,Inputs!$B$32,0))),0)</f>
        <v/>
      </c>
      <c r="R1354">
        <f>IF(AND(Inputs!$B$39&lt;&gt;"pvp",Inputs!$B$44&gt;0),IF(MAX(0,Inputs!$B$44-B1391)&lt;=0,0,(INT(MAX(0,Inputs!$B$44-B1391)/IF(Inputs!$B$39="pvp",15,MAX(0.1,Skills!D8-IF(Skills!E8=TRUE,Inputs!$B$32,0))))+1)),0)</f>
        <v/>
      </c>
      <c r="S1354">
        <f>IFERROR(O1354/N1354,0)</f>
        <v/>
      </c>
      <c r="T1354">
        <f>IF(C1354,(H1354*N1354*IF(AND(Inputs!$B$39&lt;&gt;"pvp",Inputs!$B$44&gt;0),((Skills!G8*((R1354-1)*IF(Skills!H8&gt;0,Skills!I8/Skills!H8,1)+IF(Skills!H8&gt;0,MIN(Skills!I8,MAX(0,MAX(0,Inputs!$B$44-B1391)-((R1354-1)*IF(Inputs!$B$39="pvp",15,MAX(0.1,Skills!D8-IF(Skills!E8=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Skills!E8=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Inputs!$B$3&gt;=72</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IFERROR(1/IF(Inputs!$B$39="pvp",15,MAX(0.1,Skills!D9-IF(Skills!E9=TRUE,Inputs!$B$32,0))),0)</f>
        <v/>
      </c>
      <c r="R1355">
        <f>IF(AND(Inputs!$B$39&lt;&gt;"pvp",Inputs!$B$44&gt;0),IF(MAX(0,Inputs!$B$44-B1391)&lt;=0,0,(INT(MAX(0,Inputs!$B$44-B1391)/IF(Inputs!$B$39="pvp",15,MAX(0.1,Skills!D9-IF(Skills!E9=TRUE,Inputs!$B$32,0))))+1)),0)</f>
        <v/>
      </c>
      <c r="S1355">
        <f>IFERROR(O1355/N1355,0)</f>
        <v/>
      </c>
      <c r="T1355">
        <f>IF(C1355,(H1355*N1355*IF(AND(Inputs!$B$39&lt;&gt;"pvp",Inputs!$B$44&gt;0),((Skills!G9*((R1355-1)*IF(Skills!H9&gt;0,Skills!I9/Skills!H9,1)+IF(Skills!H9&gt;0,MIN(Skills!I9,MAX(0,MAX(0,Inputs!$B$44-B1391)-((R1355-1)*IF(Inputs!$B$39="pvp",15,MAX(0.1,Skills!D9-IF(Skills!E9=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Skills!E9=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IFERROR(1/IF(Inputs!$B$39="pvp",15,MAX(0.1,Skills!D12-IF(Skills!E12=TRUE,Inputs!$B$32,0))),0)</f>
        <v/>
      </c>
      <c r="R1358">
        <f>IF(AND(Inputs!$B$39&lt;&gt;"pvp",Inputs!$B$44&gt;0),IF(MAX(0,Inputs!$B$44-B1391)&lt;=0,0,(INT(MAX(0,Inputs!$B$44-B1391)/IF(Inputs!$B$39="pvp",15,MAX(0.1,Skills!D12-IF(Skills!E12=TRUE,Inputs!$B$32,0))))+1)),0)</f>
        <v/>
      </c>
      <c r="S1358">
        <f>IFERROR(O1358/N1358,0)</f>
        <v/>
      </c>
      <c r="T1358">
        <f>IF(C1358,(H1358*N1358*IF(AND(Inputs!$B$39&lt;&gt;"pvp",Inputs!$B$44&gt;0),((Skills!G12*((R1358-1)*IF(Skills!H12&gt;0,Skills!I12/Skills!H12,1)+IF(Skills!H12&gt;0,MIN(Skills!I12,MAX(0,MAX(0,Inputs!$B$44-B1391)-((R1358-1)*IF(Inputs!$B$39="pvp",15,MAX(0.1,Skills!D12-IF(Skills!E12=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Skills!E12=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IFERROR(1/IF(Inputs!$B$39="pvp",15,MAX(0.1,Skills!D13-IF(Skills!E13=TRUE,Inputs!$B$32,0))),0)</f>
        <v/>
      </c>
      <c r="R1359">
        <f>IF(AND(Inputs!$B$39&lt;&gt;"pvp",Inputs!$B$44&gt;0),IF(MAX(0,Inputs!$B$44-B1391)&lt;=0,0,(INT(MAX(0,Inputs!$B$44-B1391)/IF(Inputs!$B$39="pvp",15,MAX(0.1,Skills!D13-IF(Skills!E13=TRUE,Inputs!$B$32,0))))+1)),0)</f>
        <v/>
      </c>
      <c r="S1359">
        <f>IFERROR(O1359/N1359,0)</f>
        <v/>
      </c>
      <c r="T1359">
        <f>IF(C1359,(H1359*N1359*IF(AND(Inputs!$B$39&lt;&gt;"pvp",Inputs!$B$44&gt;0),((Skills!G13*((R1359-1)*IF(Skills!H13&gt;0,Skills!I13/Skills!H13,1)+IF(Skills!H13&gt;0,MIN(Skills!I13,MAX(0,MAX(0,Inputs!$B$44-B1391)-((R1359-1)*IF(Inputs!$B$39="pvp",15,MAX(0.1,Skills!D13-IF(Skills!E13=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Skills!E13=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IFERROR(1/IF(Inputs!$B$39="pvp",15,MAX(0.1,Skills!D14-IF(Skills!E14=TRUE,Inputs!$B$32,0))),0)</f>
        <v/>
      </c>
      <c r="R1360">
        <f>IF(AND(Inputs!$B$39&lt;&gt;"pvp",Inputs!$B$44&gt;0),IF(MAX(0,Inputs!$B$44-B1391)&lt;=0,0,(INT(MAX(0,Inputs!$B$44-B1391)/IF(Inputs!$B$39="pvp",15,MAX(0.1,Skills!D14-IF(Skills!E14=TRUE,Inputs!$B$32,0))))+1)),0)</f>
        <v/>
      </c>
      <c r="S1360">
        <f>IFERROR(O1360/N1360,0)</f>
        <v/>
      </c>
      <c r="T1360">
        <f>IF(C1360,(H1360*N1360*IF(AND(Inputs!$B$39&lt;&gt;"pvp",Inputs!$B$44&gt;0),((Skills!G14*((R1360-1)*IF(Skills!H14&gt;0,Skills!I14/Skills!H14,1)+IF(Skills!H14&gt;0,MIN(Skills!I14,MAX(0,MAX(0,Inputs!$B$44-B1391)-((R1360-1)*IF(Inputs!$B$39="pvp",15,MAX(0.1,Skills!D14-IF(Skills!E14=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Skills!E14=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IFERROR(1/IF(Inputs!$B$39="pvp",15,MAX(0.1,Skills!D15-IF(Skills!E15=TRUE,Inputs!$B$32,0))),0)</f>
        <v/>
      </c>
      <c r="R1361">
        <f>IF(AND(Inputs!$B$39&lt;&gt;"pvp",Inputs!$B$44&gt;0),IF(Inputs!$B$44&lt;=0,0,(INT(Inputs!$B$44/IF(Inputs!$B$39="pvp",15,MAX(0.1,Skills!D15-IF(Skills!E15=TRUE,Inputs!$B$32,0))))+1)),0)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IFERROR(1/IF(Inputs!$B$39="pvp",15,MAX(0.1,Skills!D16-IF(Skills!E16=TRUE,Inputs!$B$32,0))),0)</f>
        <v/>
      </c>
      <c r="R1362">
        <f>IF(AND(Inputs!$B$39&lt;&gt;"pvp",Inputs!$B$44&gt;0),IF(Inputs!$B$44&lt;=0,0,(INT(Inputs!$B$44/IF(Inputs!$B$39="pvp",15,MAX(0.1,Skills!D16-IF(Skills!E16=TRUE,Inputs!$B$32,0))))+1)),0)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IFERROR(1/IF(Inputs!$B$39="pvp",15,MAX(0.1,Skills!D19-IF(Skills!E19=TRUE,Inputs!$B$32,0))),0)</f>
        <v/>
      </c>
      <c r="R1365">
        <f>IF(AND(Inputs!$B$39&lt;&gt;"pvp",Inputs!$B$44&gt;0),IF(Inputs!$B$44&lt;=0,0,(INT(Inputs!$B$44/IF(Inputs!$B$39="pvp",15,MAX(0.1,Skills!D19-IF(Skills!E19=TRUE,Inputs!$B$32,0))))+1)),0)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IFERROR(1/IF(Inputs!$B$39="pvp",15,MAX(0.1,Skills!D20-IF(Skills!E20=TRUE,Inputs!$B$32,0))),0)</f>
        <v/>
      </c>
      <c r="R1366">
        <f>IF(AND(Inputs!$B$39&lt;&gt;"pvp",Inputs!$B$44&gt;0),IF(Inputs!$B$44&lt;=0,0,(INT(Inputs!$B$44/IF(Inputs!$B$39="pvp",15,MAX(0.1,Skills!D20-IF(Skills!E20=TRUE,Inputs!$B$32,0))))+1)),0)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IFERROR(1/IF(Inputs!$B$39="pvp",15,MAX(0.1,Skills!D21-IF(Skills!E21=TRUE,Inputs!$B$32,0))),0)</f>
        <v/>
      </c>
      <c r="R1367">
        <f>IF(AND(Inputs!$B$39&lt;&gt;"pvp",Inputs!$B$44&gt;0),IF(Inputs!$B$44&lt;=0,0,(INT(Inputs!$B$44/IF(Inputs!$B$39="pvp",15,MAX(0.1,Skills!D21-IF(Skills!E21=TRUE,Inputs!$B$32,0))))+1)),0)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Skills!Y19*(1+Inputs!$B$34/100))+MIN((Skills!Y19*(1+Inputs!$B$34/100)),MAX(0,Inputs!$B$44-((R1365-1)*Skills!D19))))/Inputs!$B$44),IF(Inputs!$B$39="pvp",MIN((Skills!Y19*(1+Inputs!$B$34/100)),15)/15,(Skills!Y19*(1+Inputs!$B$34/100))/Skills!D19)))/150)))/100</f>
        <v/>
      </c>
    </row>
    <row r="1380">
      <c r="A1380" t="inlineStr">
        <is>
          <t>Alchemic Adrenaline Uptime</t>
        </is>
      </c>
      <c r="B1380">
        <f>(Skills!Y6*(1+Inputs!$B$34/100))/((Skills!Y6*(1+Inputs!$B$34/100))+(5/B1379))</f>
        <v/>
      </c>
    </row>
    <row r="1381">
      <c r="A1381" t="inlineStr">
        <is>
          <t>Attack Speed Buff Bonus %</t>
        </is>
      </c>
      <c r="B1381">
        <f>((C1365=TRUE)*F1365*IF(AND(Inputs!$B$39&lt;&gt;"pvp",Inputs!$B$44&gt;0),(((R1365-1)*(Skills!Y19*(1+Inputs!$B$34/100))+MIN((Skills!Y19*(1+Inputs!$B$34/100)),MAX(0,Inputs!$B$44-((R1365-1)*Skills!D19))))/Inputs!$B$44),IF(Inputs!$B$39="pvp",MIN((Skills!Y19*(1+Inputs!$B$34/100)),15)/15,(Skills!Y19*(1+Inputs!$B$34/100))/Skills!D19)))+((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f>
        <v/>
      </c>
    </row>
    <row r="1386">
      <c r="A1386" t="inlineStr">
        <is>
          <t>Global Crit Rate Bonus %</t>
        </is>
      </c>
      <c r="B1386">
        <f>IF(Inputs!$B$3&gt;=47,8,0)+((C1366=TRUE)*F1366*IF(AND(Inputs!$B$39&lt;&gt;"pvp",Inputs!$B$44&gt;0),(((R1366-1)*(Skills!Y20*(1+Inputs!$B$34/100))+MIN((Skills!Y20*(1+Inputs!$B$34/100)),MAX(0,Inputs!$B$44-((R1366-1)*Skills!D20))))/Inputs!$B$44),IF(Inputs!$B$39="pvp",MIN((Skills!Y20*(1+Inputs!$B$34/100)),15)/15,(Skills!Y20*(1+Inputs!$B$34/100))/Skills!D20)))</f>
        <v/>
      </c>
    </row>
    <row r="1387">
      <c r="A1387" t="inlineStr">
        <is>
          <t>Global Monster Damage-Taken Bonus %</t>
        </is>
      </c>
      <c r="B1387">
        <f>IF(Inputs!$B$3&gt;=82,15,0)+((C1362=TRUE)*F1362*IF(AND(Inputs!$B$39&lt;&gt;"pvp",Inputs!$B$44&gt;0),(((R1362-1)*(Skills!Y16*(1+Inputs!$B$34/100))+MIN((Skills!Y16*(1+Inputs!$B$34/100)),MAX(0,Inputs!$B$44-((R1362-1)*Skills!D16))))/Inputs!$B$44),IF(Inputs!$B$39="pvp",MIN((Skills!Y16*(1+Inputs!$B$34/100)),15)/15,(Skills!Y16*(1+Inputs!$B$34/100))/Skills!D16)))</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Skills!Y16*(1+Inputs!$B$34/100))+MIN((Skills!Y16*(1+Inputs!$B$34/100)),MAX(0,Inputs!$B$44-((R1362-1)*Skills!D16))))/Inputs!$B$44),IF(Inputs!$B$39="pvp",MIN((Skills!Y16*(1+Inputs!$B$34/100)),15)/15,(Skills!Y16*(1+Inputs!$B$34/100))/Skills!D16))</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IFERROR(1/IF(Inputs!$B$39="pvp",15,MAX(0.1,Skills!D3-IF(Skills!E3=TRUE,Inputs!$B$32,0))),0)</f>
        <v/>
      </c>
      <c r="R1398">
        <f>IF(AND(Inputs!$B$39&lt;&gt;"pvp",Inputs!$B$44&gt;0),IF(MAX(0,Inputs!$B$44-B1440)&lt;=0,0,(INT(MAX(0,Inputs!$B$44-B1440)/IF(Inputs!$B$39="pvp",15,MAX(0.1,Skills!D3-IF(Skills!E3=TRUE,Inputs!$B$32,0))))+1)),0)</f>
        <v/>
      </c>
      <c r="S1398">
        <f>IFERROR(O1398/N1398,0)</f>
        <v/>
      </c>
      <c r="T1398">
        <f>IF(C1398,(H1398*N1398*IF(AND(Inputs!$B$39&lt;&gt;"pvp",Inputs!$B$44&gt;0),((Skills!G3*((R1398-1)*IF(Skills!H3&gt;0,Skills!I3/Skills!H3,1)+IF(Skills!H3&gt;0,MIN(Skills!I3,MAX(0,MAX(0,Inputs!$B$44-B1440)-((R1398-1)*IF(Inputs!$B$39="pvp",15,MAX(0.1,Skills!D3-IF(Skills!E3=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Skills!E3=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Inputs!$B$3&gt;=40</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IFERROR(1/IF(Inputs!$B$39="pvp",15,MAX(0.1,Skills!D4-IF(Skills!E4=TRUE,Inputs!$B$32,0))),0)</f>
        <v/>
      </c>
      <c r="R1399">
        <f>IF(AND(Inputs!$B$39&lt;&gt;"pvp",Inputs!$B$44&gt;0),IF(MAX(0,Inputs!$B$44-B1440)&lt;=0,0,(INT(MAX(0,Inputs!$B$44-B1440)/IF(Inputs!$B$39="pvp",15,MAX(0.1,Skills!D4-IF(Skills!E4=TRUE,Inputs!$B$32,0))))+1)),0)</f>
        <v/>
      </c>
      <c r="S1399">
        <f>IFERROR(O1399/N1399,0)</f>
        <v/>
      </c>
      <c r="T1399">
        <f>IF(C1399,(H1399*N1399*IF(AND(Inputs!$B$39&lt;&gt;"pvp",Inputs!$B$44&gt;0),((Skills!G4*((R1399-1)*IF(Skills!H4&gt;0,Skills!I4/Skills!H4,1)+IF(Skills!H4&gt;0,MIN(Skills!I4,MAX(0,MAX(0,Inputs!$B$44-B1440)-((R1399-1)*IF(Inputs!$B$39="pvp",15,MAX(0.1,Skills!D4-IF(Skills!E4=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Skills!E4=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IFERROR(1/IF(Inputs!$B$39="pvp",15,MAX(0.1,Skills!D5-IF(Skills!E5=TRUE,Inputs!$B$32,0))),0)</f>
        <v/>
      </c>
      <c r="R1400">
        <f>IF(AND(Inputs!$B$39&lt;&gt;"pvp",Inputs!$B$44&gt;0),IF(MAX(0,Inputs!$B$44-B1440)&lt;=0,0,(INT(MAX(0,Inputs!$B$44-B1440)/IF(Inputs!$B$39="pvp",15,MAX(0.1,Skills!D5-IF(Skills!E5=TRUE,Inputs!$B$32,0))))+1)),0)</f>
        <v/>
      </c>
      <c r="S1400">
        <f>IFERROR(O1400/N1400,0)</f>
        <v/>
      </c>
      <c r="T1400">
        <f>IF(C1400,(H1400*N1400*IF(AND(Inputs!$B$39&lt;&gt;"pvp",Inputs!$B$44&gt;0),((Skills!G5*((R1400-1)*IF(Skills!H5&gt;0,Skills!I5/Skills!H5,1)+IF(Skills!H5&gt;0,MIN(Skills!I5,MAX(0,MAX(0,Inputs!$B$44-B1440)-((R1400-1)*IF(Inputs!$B$39="pvp",15,MAX(0.1,Skills!D5-IF(Skills!E5=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Skills!E5=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IFERROR(1/IF(Inputs!$B$39="pvp",15,MAX(0.1,Skills!D8-IF(Skills!E8=TRUE,Inputs!$B$32,0))),0)</f>
        <v/>
      </c>
      <c r="R1403">
        <f>IF(AND(Inputs!$B$39&lt;&gt;"pvp",Inputs!$B$44&gt;0),IF(MAX(0,Inputs!$B$44-B1440)&lt;=0,0,(INT(MAX(0,Inputs!$B$44-B1440)/IF(Inputs!$B$39="pvp",15,MAX(0.1,Skills!D8-IF(Skills!E8=TRUE,Inputs!$B$32,0))))+1)),0)</f>
        <v/>
      </c>
      <c r="S1403">
        <f>IFERROR(O1403/N1403,0)</f>
        <v/>
      </c>
      <c r="T1403">
        <f>IF(C1403,(H1403*N1403*IF(AND(Inputs!$B$39&lt;&gt;"pvp",Inputs!$B$44&gt;0),((Skills!G8*((R1403-1)*IF(Skills!H8&gt;0,Skills!I8/Skills!H8,1)+IF(Skills!H8&gt;0,MIN(Skills!I8,MAX(0,MAX(0,Inputs!$B$44-B1440)-((R1403-1)*IF(Inputs!$B$39="pvp",15,MAX(0.1,Skills!D8-IF(Skills!E8=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Skills!E8=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Inputs!$B$3&gt;=72</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IFERROR(1/IF(Inputs!$B$39="pvp",15,MAX(0.1,Skills!D9-IF(Skills!E9=TRUE,Inputs!$B$32,0))),0)</f>
        <v/>
      </c>
      <c r="R1404">
        <f>IF(AND(Inputs!$B$39&lt;&gt;"pvp",Inputs!$B$44&gt;0),IF(MAX(0,Inputs!$B$44-B1440)&lt;=0,0,(INT(MAX(0,Inputs!$B$44-B1440)/IF(Inputs!$B$39="pvp",15,MAX(0.1,Skills!D9-IF(Skills!E9=TRUE,Inputs!$B$32,0))))+1)),0)</f>
        <v/>
      </c>
      <c r="S1404">
        <f>IFERROR(O1404/N1404,0)</f>
        <v/>
      </c>
      <c r="T1404">
        <f>IF(C1404,(H1404*N1404*IF(AND(Inputs!$B$39&lt;&gt;"pvp",Inputs!$B$44&gt;0),((Skills!G9*((R1404-1)*IF(Skills!H9&gt;0,Skills!I9/Skills!H9,1)+IF(Skills!H9&gt;0,MIN(Skills!I9,MAX(0,MAX(0,Inputs!$B$44-B1440)-((R1404-1)*IF(Inputs!$B$39="pvp",15,MAX(0.1,Skills!D9-IF(Skills!E9=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Skills!E9=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IFERROR(1/IF(Inputs!$B$39="pvp",15,MAX(0.1,Skills!D12-IF(Skills!E12=TRUE,Inputs!$B$32,0))),0)</f>
        <v/>
      </c>
      <c r="R1407">
        <f>IF(AND(Inputs!$B$39&lt;&gt;"pvp",Inputs!$B$44&gt;0),IF(MAX(0,Inputs!$B$44-B1440)&lt;=0,0,(INT(MAX(0,Inputs!$B$44-B1440)/IF(Inputs!$B$39="pvp",15,MAX(0.1,Skills!D12-IF(Skills!E12=TRUE,Inputs!$B$32,0))))+1)),0)</f>
        <v/>
      </c>
      <c r="S1407">
        <f>IFERROR(O1407/N1407,0)</f>
        <v/>
      </c>
      <c r="T1407">
        <f>IF(C1407,(H1407*N1407*IF(AND(Inputs!$B$39&lt;&gt;"pvp",Inputs!$B$44&gt;0),((Skills!G12*((R1407-1)*IF(Skills!H12&gt;0,Skills!I12/Skills!H12,1)+IF(Skills!H12&gt;0,MIN(Skills!I12,MAX(0,MAX(0,Inputs!$B$44-B1440)-((R1407-1)*IF(Inputs!$B$39="pvp",15,MAX(0.1,Skills!D12-IF(Skills!E12=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Skills!E12=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IFERROR(1/IF(Inputs!$B$39="pvp",15,MAX(0.1,Skills!D13-IF(Skills!E13=TRUE,Inputs!$B$32,0))),0)</f>
        <v/>
      </c>
      <c r="R1408">
        <f>IF(AND(Inputs!$B$39&lt;&gt;"pvp",Inputs!$B$44&gt;0),IF(MAX(0,Inputs!$B$44-B1440)&lt;=0,0,(INT(MAX(0,Inputs!$B$44-B1440)/IF(Inputs!$B$39="pvp",15,MAX(0.1,Skills!D13-IF(Skills!E13=TRUE,Inputs!$B$32,0))))+1)),0)</f>
        <v/>
      </c>
      <c r="S1408">
        <f>IFERROR(O1408/N1408,0)</f>
        <v/>
      </c>
      <c r="T1408">
        <f>IF(C1408,(H1408*N1408*IF(AND(Inputs!$B$39&lt;&gt;"pvp",Inputs!$B$44&gt;0),((Skills!G13*((R1408-1)*IF(Skills!H13&gt;0,Skills!I13/Skills!H13,1)+IF(Skills!H13&gt;0,MIN(Skills!I13,MAX(0,MAX(0,Inputs!$B$44-B1440)-((R1408-1)*IF(Inputs!$B$39="pvp",15,MAX(0.1,Skills!D13-IF(Skills!E13=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Skills!E13=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IFERROR(1/IF(Inputs!$B$39="pvp",15,MAX(0.1,Skills!D14-IF(Skills!E14=TRUE,Inputs!$B$32,0))),0)</f>
        <v/>
      </c>
      <c r="R1409">
        <f>IF(AND(Inputs!$B$39&lt;&gt;"pvp",Inputs!$B$44&gt;0),IF(MAX(0,Inputs!$B$44-B1440)&lt;=0,0,(INT(MAX(0,Inputs!$B$44-B1440)/IF(Inputs!$B$39="pvp",15,MAX(0.1,Skills!D14-IF(Skills!E14=TRUE,Inputs!$B$32,0))))+1)),0)</f>
        <v/>
      </c>
      <c r="S1409">
        <f>IFERROR(O1409/N1409,0)</f>
        <v/>
      </c>
      <c r="T1409">
        <f>IF(C1409,(H1409*N1409*IF(AND(Inputs!$B$39&lt;&gt;"pvp",Inputs!$B$44&gt;0),((Skills!G14*((R1409-1)*IF(Skills!H14&gt;0,Skills!I14/Skills!H14,1)+IF(Skills!H14&gt;0,MIN(Skills!I14,MAX(0,MAX(0,Inputs!$B$44-B1440)-((R1409-1)*IF(Inputs!$B$39="pvp",15,MAX(0.1,Skills!D14-IF(Skills!E14=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Skills!E14=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IFERROR(1/IF(Inputs!$B$39="pvp",15,MAX(0.1,Skills!D15-IF(Skills!E15=TRUE,Inputs!$B$32,0))),0)</f>
        <v/>
      </c>
      <c r="R1410">
        <f>IF(AND(Inputs!$B$39&lt;&gt;"pvp",Inputs!$B$44&gt;0),IF(Inputs!$B$44&lt;=0,0,(INT(Inputs!$B$44/IF(Inputs!$B$39="pvp",15,MAX(0.1,Skills!D15-IF(Skills!E15=TRUE,Inputs!$B$32,0))))+1)),0)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IFERROR(1/IF(Inputs!$B$39="pvp",15,MAX(0.1,Skills!D16-IF(Skills!E16=TRUE,Inputs!$B$32,0))),0)</f>
        <v/>
      </c>
      <c r="R1411">
        <f>IF(AND(Inputs!$B$39&lt;&gt;"pvp",Inputs!$B$44&gt;0),IF(Inputs!$B$44&lt;=0,0,(INT(Inputs!$B$44/IF(Inputs!$B$39="pvp",15,MAX(0.1,Skills!D16-IF(Skills!E16=TRUE,Inputs!$B$32,0))))+1)),0)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IFERROR(1/IF(Inputs!$B$39="pvp",15,MAX(0.1,Skills!D19-IF(Skills!E19=TRUE,Inputs!$B$32,0))),0)</f>
        <v/>
      </c>
      <c r="R1414">
        <f>IF(AND(Inputs!$B$39&lt;&gt;"pvp",Inputs!$B$44&gt;0),IF(Inputs!$B$44&lt;=0,0,(INT(Inputs!$B$44/IF(Inputs!$B$39="pvp",15,MAX(0.1,Skills!D19-IF(Skills!E19=TRUE,Inputs!$B$32,0))))+1)),0)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IFERROR(1/IF(Inputs!$B$39="pvp",15,MAX(0.1,Skills!D20-IF(Skills!E20=TRUE,Inputs!$B$32,0))),0)</f>
        <v/>
      </c>
      <c r="R1415">
        <f>IF(AND(Inputs!$B$39&lt;&gt;"pvp",Inputs!$B$44&gt;0),IF(Inputs!$B$44&lt;=0,0,(INT(Inputs!$B$44/IF(Inputs!$B$39="pvp",15,MAX(0.1,Skills!D20-IF(Skills!E20=TRUE,Inputs!$B$32,0))))+1)),0)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IFERROR(1/IF(Inputs!$B$39="pvp",15,MAX(0.1,Skills!D21-IF(Skills!E21=TRUE,Inputs!$B$32,0))),0)</f>
        <v/>
      </c>
      <c r="R1416">
        <f>IF(AND(Inputs!$B$39&lt;&gt;"pvp",Inputs!$B$44&gt;0),IF(Inputs!$B$44&lt;=0,0,(INT(Inputs!$B$44/IF(Inputs!$B$39="pvp",15,MAX(0.1,Skills!D21-IF(Skills!E21=TRUE,Inputs!$B$32,0))))+1)),0)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Skills!Y19*(1+Inputs!$B$34/100))+MIN((Skills!Y19*(1+Inputs!$B$34/100)),MAX(0,Inputs!$B$44-((R1414-1)*Skills!D19))))/Inputs!$B$44),IF(Inputs!$B$39="pvp",MIN((Skills!Y19*(1+Inputs!$B$34/100)),15)/15,(Skills!Y19*(1+Inputs!$B$34/100))/Skills!D19)))/150)))/100</f>
        <v/>
      </c>
    </row>
    <row r="1429">
      <c r="A1429" t="inlineStr">
        <is>
          <t>Alchemic Adrenaline Uptime</t>
        </is>
      </c>
      <c r="B1429">
        <f>(Skills!Y6*(1+Inputs!$B$34/100))/((Skills!Y6*(1+Inputs!$B$34/100))+(5/B1428))</f>
        <v/>
      </c>
    </row>
    <row r="1430">
      <c r="A1430" t="inlineStr">
        <is>
          <t>Attack Speed Buff Bonus %</t>
        </is>
      </c>
      <c r="B1430">
        <f>((C1414=TRUE)*F1414*IF(AND(Inputs!$B$39&lt;&gt;"pvp",Inputs!$B$44&gt;0),(((R1414-1)*(Skills!Y19*(1+Inputs!$B$34/100))+MIN((Skills!Y19*(1+Inputs!$B$34/100)),MAX(0,Inputs!$B$44-((R1414-1)*Skills!D19))))/Inputs!$B$44),IF(Inputs!$B$39="pvp",MIN((Skills!Y19*(1+Inputs!$B$34/100)),15)/15,(Skills!Y19*(1+Inputs!$B$34/100))/Skills!D19)))+((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f>
        <v/>
      </c>
    </row>
    <row r="1435">
      <c r="A1435" t="inlineStr">
        <is>
          <t>Global Crit Rate Bonus %</t>
        </is>
      </c>
      <c r="B1435">
        <f>IF(Inputs!$B$3&gt;=47,8,0)+((C1415=TRUE)*F1415*IF(AND(Inputs!$B$39&lt;&gt;"pvp",Inputs!$B$44&gt;0),(((R1415-1)*(Skills!Y20*(1+Inputs!$B$34/100))+MIN((Skills!Y20*(1+Inputs!$B$34/100)),MAX(0,Inputs!$B$44-((R1415-1)*Skills!D20))))/Inputs!$B$44),IF(Inputs!$B$39="pvp",MIN((Skills!Y20*(1+Inputs!$B$34/100)),15)/15,(Skills!Y20*(1+Inputs!$B$34/100))/Skills!D20)))</f>
        <v/>
      </c>
    </row>
    <row r="1436">
      <c r="A1436" t="inlineStr">
        <is>
          <t>Global Monster Damage-Taken Bonus %</t>
        </is>
      </c>
      <c r="B1436">
        <f>IF(Inputs!$B$3&gt;=82,15,0)+((C1411=TRUE)*F1411*IF(AND(Inputs!$B$39&lt;&gt;"pvp",Inputs!$B$44&gt;0),(((R1411-1)*(Skills!Y16*(1+Inputs!$B$34/100))+MIN((Skills!Y16*(1+Inputs!$B$34/100)),MAX(0,Inputs!$B$44-((R1411-1)*Skills!D16))))/Inputs!$B$44),IF(Inputs!$B$39="pvp",MIN((Skills!Y16*(1+Inputs!$B$34/100)),15)/15,(Skills!Y16*(1+Inputs!$B$34/100))/Skills!D16)))</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Skills!Y16*(1+Inputs!$B$34/100))+MIN((Skills!Y16*(1+Inputs!$B$34/100)),MAX(0,Inputs!$B$44-((R1411-1)*Skills!D16))))/Inputs!$B$44),IF(Inputs!$B$39="pvp",MIN((Skills!Y16*(1+Inputs!$B$34/100)),15)/15,(Skills!Y16*(1+Inputs!$B$34/100))/Skills!D16))</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IFERROR(1/IF(Inputs!$B$39="pvp",15,MAX(0.1,Skills!D3-IF(Skills!E3=TRUE,Inputs!$B$32,0))),0)</f>
        <v/>
      </c>
      <c r="R1447">
        <f>IF(AND(Inputs!$B$39&lt;&gt;"pvp",Inputs!$B$44&gt;0),IF(MAX(0,Inputs!$B$44-B1489)&lt;=0,0,(INT(MAX(0,Inputs!$B$44-B1489)/IF(Inputs!$B$39="pvp",15,MAX(0.1,Skills!D3-IF(Skills!E3=TRUE,Inputs!$B$32,0))))+1)),0)</f>
        <v/>
      </c>
      <c r="S1447">
        <f>IFERROR(O1447/N1447,0)</f>
        <v/>
      </c>
      <c r="T1447">
        <f>IF(C1447,(H1447*N1447*IF(AND(Inputs!$B$39&lt;&gt;"pvp",Inputs!$B$44&gt;0),((Skills!G3*((R1447-1)*IF(Skills!H3&gt;0,Skills!I3/Skills!H3,1)+IF(Skills!H3&gt;0,MIN(Skills!I3,MAX(0,MAX(0,Inputs!$B$44-B1489)-((R1447-1)*IF(Inputs!$B$39="pvp",15,MAX(0.1,Skills!D3-IF(Skills!E3=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Skills!E3=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Inputs!$B$3&gt;=40</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IFERROR(1/IF(Inputs!$B$39="pvp",15,MAX(0.1,Skills!D4-IF(Skills!E4=TRUE,Inputs!$B$32,0))),0)</f>
        <v/>
      </c>
      <c r="R1448">
        <f>IF(AND(Inputs!$B$39&lt;&gt;"pvp",Inputs!$B$44&gt;0),IF(MAX(0,Inputs!$B$44-B1489)&lt;=0,0,(INT(MAX(0,Inputs!$B$44-B1489)/IF(Inputs!$B$39="pvp",15,MAX(0.1,Skills!D4-IF(Skills!E4=TRUE,Inputs!$B$32,0))))+1)),0)</f>
        <v/>
      </c>
      <c r="S1448">
        <f>IFERROR(O1448/N1448,0)</f>
        <v/>
      </c>
      <c r="T1448">
        <f>IF(C1448,(H1448*N1448*IF(AND(Inputs!$B$39&lt;&gt;"pvp",Inputs!$B$44&gt;0),((Skills!G4*((R1448-1)*IF(Skills!H4&gt;0,Skills!I4/Skills!H4,1)+IF(Skills!H4&gt;0,MIN(Skills!I4,MAX(0,MAX(0,Inputs!$B$44-B1489)-((R1448-1)*IF(Inputs!$B$39="pvp",15,MAX(0.1,Skills!D4-IF(Skills!E4=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Skills!E4=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IFERROR(1/IF(Inputs!$B$39="pvp",15,MAX(0.1,Skills!D5-IF(Skills!E5=TRUE,Inputs!$B$32,0))),0)</f>
        <v/>
      </c>
      <c r="R1449">
        <f>IF(AND(Inputs!$B$39&lt;&gt;"pvp",Inputs!$B$44&gt;0),IF(MAX(0,Inputs!$B$44-B1489)&lt;=0,0,(INT(MAX(0,Inputs!$B$44-B1489)/IF(Inputs!$B$39="pvp",15,MAX(0.1,Skills!D5-IF(Skills!E5=TRUE,Inputs!$B$32,0))))+1)),0)</f>
        <v/>
      </c>
      <c r="S1449">
        <f>IFERROR(O1449/N1449,0)</f>
        <v/>
      </c>
      <c r="T1449">
        <f>IF(C1449,(H1449*N1449*IF(AND(Inputs!$B$39&lt;&gt;"pvp",Inputs!$B$44&gt;0),((Skills!G5*((R1449-1)*IF(Skills!H5&gt;0,Skills!I5/Skills!H5,1)+IF(Skills!H5&gt;0,MIN(Skills!I5,MAX(0,MAX(0,Inputs!$B$44-B1489)-((R1449-1)*IF(Inputs!$B$39="pvp",15,MAX(0.1,Skills!D5-IF(Skills!E5=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Skills!E5=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IFERROR(1/IF(Inputs!$B$39="pvp",15,MAX(0.1,Skills!D8-IF(Skills!E8=TRUE,Inputs!$B$32,0))),0)</f>
        <v/>
      </c>
      <c r="R1452">
        <f>IF(AND(Inputs!$B$39&lt;&gt;"pvp",Inputs!$B$44&gt;0),IF(MAX(0,Inputs!$B$44-B1489)&lt;=0,0,(INT(MAX(0,Inputs!$B$44-B1489)/IF(Inputs!$B$39="pvp",15,MAX(0.1,Skills!D8-IF(Skills!E8=TRUE,Inputs!$B$32,0))))+1)),0)</f>
        <v/>
      </c>
      <c r="S1452">
        <f>IFERROR(O1452/N1452,0)</f>
        <v/>
      </c>
      <c r="T1452">
        <f>IF(C1452,(H1452*N1452*IF(AND(Inputs!$B$39&lt;&gt;"pvp",Inputs!$B$44&gt;0),((Skills!G8*((R1452-1)*IF(Skills!H8&gt;0,Skills!I8/Skills!H8,1)+IF(Skills!H8&gt;0,MIN(Skills!I8,MAX(0,MAX(0,Inputs!$B$44-B1489)-((R1452-1)*IF(Inputs!$B$39="pvp",15,MAX(0.1,Skills!D8-IF(Skills!E8=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Skills!E8=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Inputs!$B$3&gt;=72</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IFERROR(1/IF(Inputs!$B$39="pvp",15,MAX(0.1,Skills!D9-IF(Skills!E9=TRUE,Inputs!$B$32,0))),0)</f>
        <v/>
      </c>
      <c r="R1453">
        <f>IF(AND(Inputs!$B$39&lt;&gt;"pvp",Inputs!$B$44&gt;0),IF(MAX(0,Inputs!$B$44-B1489)&lt;=0,0,(INT(MAX(0,Inputs!$B$44-B1489)/IF(Inputs!$B$39="pvp",15,MAX(0.1,Skills!D9-IF(Skills!E9=TRUE,Inputs!$B$32,0))))+1)),0)</f>
        <v/>
      </c>
      <c r="S1453">
        <f>IFERROR(O1453/N1453,0)</f>
        <v/>
      </c>
      <c r="T1453">
        <f>IF(C1453,(H1453*N1453*IF(AND(Inputs!$B$39&lt;&gt;"pvp",Inputs!$B$44&gt;0),((Skills!G9*((R1453-1)*IF(Skills!H9&gt;0,Skills!I9/Skills!H9,1)+IF(Skills!H9&gt;0,MIN(Skills!I9,MAX(0,MAX(0,Inputs!$B$44-B1489)-((R1453-1)*IF(Inputs!$B$39="pvp",15,MAX(0.1,Skills!D9-IF(Skills!E9=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Skills!E9=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IFERROR(1/IF(Inputs!$B$39="pvp",15,MAX(0.1,Skills!D12-IF(Skills!E12=TRUE,Inputs!$B$32,0))),0)</f>
        <v/>
      </c>
      <c r="R1456">
        <f>IF(AND(Inputs!$B$39&lt;&gt;"pvp",Inputs!$B$44&gt;0),IF(MAX(0,Inputs!$B$44-B1489)&lt;=0,0,(INT(MAX(0,Inputs!$B$44-B1489)/IF(Inputs!$B$39="pvp",15,MAX(0.1,Skills!D12-IF(Skills!E12=TRUE,Inputs!$B$32,0))))+1)),0)</f>
        <v/>
      </c>
      <c r="S1456">
        <f>IFERROR(O1456/N1456,0)</f>
        <v/>
      </c>
      <c r="T1456">
        <f>IF(C1456,(H1456*N1456*IF(AND(Inputs!$B$39&lt;&gt;"pvp",Inputs!$B$44&gt;0),((Skills!G12*((R1456-1)*IF(Skills!H12&gt;0,Skills!I12/Skills!H12,1)+IF(Skills!H12&gt;0,MIN(Skills!I12,MAX(0,MAX(0,Inputs!$B$44-B1489)-((R1456-1)*IF(Inputs!$B$39="pvp",15,MAX(0.1,Skills!D12-IF(Skills!E12=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Skills!E12=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IFERROR(1/IF(Inputs!$B$39="pvp",15,MAX(0.1,Skills!D13-IF(Skills!E13=TRUE,Inputs!$B$32,0))),0)</f>
        <v/>
      </c>
      <c r="R1457">
        <f>IF(AND(Inputs!$B$39&lt;&gt;"pvp",Inputs!$B$44&gt;0),IF(MAX(0,Inputs!$B$44-B1489)&lt;=0,0,(INT(MAX(0,Inputs!$B$44-B1489)/IF(Inputs!$B$39="pvp",15,MAX(0.1,Skills!D13-IF(Skills!E13=TRUE,Inputs!$B$32,0))))+1)),0)</f>
        <v/>
      </c>
      <c r="S1457">
        <f>IFERROR(O1457/N1457,0)</f>
        <v/>
      </c>
      <c r="T1457">
        <f>IF(C1457,(H1457*N1457*IF(AND(Inputs!$B$39&lt;&gt;"pvp",Inputs!$B$44&gt;0),((Skills!G13*((R1457-1)*IF(Skills!H13&gt;0,Skills!I13/Skills!H13,1)+IF(Skills!H13&gt;0,MIN(Skills!I13,MAX(0,MAX(0,Inputs!$B$44-B1489)-((R1457-1)*IF(Inputs!$B$39="pvp",15,MAX(0.1,Skills!D13-IF(Skills!E13=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Skills!E13=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IFERROR(1/IF(Inputs!$B$39="pvp",15,MAX(0.1,Skills!D14-IF(Skills!E14=TRUE,Inputs!$B$32,0))),0)</f>
        <v/>
      </c>
      <c r="R1458">
        <f>IF(AND(Inputs!$B$39&lt;&gt;"pvp",Inputs!$B$44&gt;0),IF(MAX(0,Inputs!$B$44-B1489)&lt;=0,0,(INT(MAX(0,Inputs!$B$44-B1489)/IF(Inputs!$B$39="pvp",15,MAX(0.1,Skills!D14-IF(Skills!E14=TRUE,Inputs!$B$32,0))))+1)),0)</f>
        <v/>
      </c>
      <c r="S1458">
        <f>IFERROR(O1458/N1458,0)</f>
        <v/>
      </c>
      <c r="T1458">
        <f>IF(C1458,(H1458*N1458*IF(AND(Inputs!$B$39&lt;&gt;"pvp",Inputs!$B$44&gt;0),((Skills!G14*((R1458-1)*IF(Skills!H14&gt;0,Skills!I14/Skills!H14,1)+IF(Skills!H14&gt;0,MIN(Skills!I14,MAX(0,MAX(0,Inputs!$B$44-B1489)-((R1458-1)*IF(Inputs!$B$39="pvp",15,MAX(0.1,Skills!D14-IF(Skills!E14=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Skills!E14=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IFERROR(1/IF(Inputs!$B$39="pvp",15,MAX(0.1,Skills!D15-IF(Skills!E15=TRUE,Inputs!$B$32,0))),0)</f>
        <v/>
      </c>
      <c r="R1459">
        <f>IF(AND(Inputs!$B$39&lt;&gt;"pvp",Inputs!$B$44&gt;0),IF(Inputs!$B$44&lt;=0,0,(INT(Inputs!$B$44/IF(Inputs!$B$39="pvp",15,MAX(0.1,Skills!D15-IF(Skills!E15=TRUE,Inputs!$B$32,0))))+1)),0)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IFERROR(1/IF(Inputs!$B$39="pvp",15,MAX(0.1,Skills!D16-IF(Skills!E16=TRUE,Inputs!$B$32,0))),0)</f>
        <v/>
      </c>
      <c r="R1460">
        <f>IF(AND(Inputs!$B$39&lt;&gt;"pvp",Inputs!$B$44&gt;0),IF(Inputs!$B$44&lt;=0,0,(INT(Inputs!$B$44/IF(Inputs!$B$39="pvp",15,MAX(0.1,Skills!D16-IF(Skills!E16=TRUE,Inputs!$B$32,0))))+1)),0)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IFERROR(1/IF(Inputs!$B$39="pvp",15,MAX(0.1,Skills!D19-IF(Skills!E19=TRUE,Inputs!$B$32,0))),0)</f>
        <v/>
      </c>
      <c r="R1463">
        <f>IF(AND(Inputs!$B$39&lt;&gt;"pvp",Inputs!$B$44&gt;0),IF(Inputs!$B$44&lt;=0,0,(INT(Inputs!$B$44/IF(Inputs!$B$39="pvp",15,MAX(0.1,Skills!D19-IF(Skills!E19=TRUE,Inputs!$B$32,0))))+1)),0)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IFERROR(1/IF(Inputs!$B$39="pvp",15,MAX(0.1,Skills!D20-IF(Skills!E20=TRUE,Inputs!$B$32,0))),0)</f>
        <v/>
      </c>
      <c r="R1464">
        <f>IF(AND(Inputs!$B$39&lt;&gt;"pvp",Inputs!$B$44&gt;0),IF(Inputs!$B$44&lt;=0,0,(INT(Inputs!$B$44/IF(Inputs!$B$39="pvp",15,MAX(0.1,Skills!D20-IF(Skills!E20=TRUE,Inputs!$B$32,0))))+1)),0)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IFERROR(1/IF(Inputs!$B$39="pvp",15,MAX(0.1,Skills!D21-IF(Skills!E21=TRUE,Inputs!$B$32,0))),0)</f>
        <v/>
      </c>
      <c r="R1465">
        <f>IF(AND(Inputs!$B$39&lt;&gt;"pvp",Inputs!$B$44&gt;0),IF(Inputs!$B$44&lt;=0,0,(INT(Inputs!$B$44/IF(Inputs!$B$39="pvp",15,MAX(0.1,Skills!D21-IF(Skills!E21=TRUE,Inputs!$B$32,0))))+1)),0)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Skills!Y19*(1+Inputs!$B$34/100))+MIN((Skills!Y19*(1+Inputs!$B$34/100)),MAX(0,Inputs!$B$44-((R1463-1)*Skills!D19))))/Inputs!$B$44),IF(Inputs!$B$39="pvp",MIN((Skills!Y19*(1+Inputs!$B$34/100)),15)/15,(Skills!Y19*(1+Inputs!$B$34/100))/Skills!D19)))/150)))/100</f>
        <v/>
      </c>
    </row>
    <row r="1478">
      <c r="A1478" t="inlineStr">
        <is>
          <t>Alchemic Adrenaline Uptime</t>
        </is>
      </c>
      <c r="B1478">
        <f>(Skills!Y6*(1+Inputs!$B$34/100))/((Skills!Y6*(1+Inputs!$B$34/100))+(5/B1477))</f>
        <v/>
      </c>
    </row>
    <row r="1479">
      <c r="A1479" t="inlineStr">
        <is>
          <t>Attack Speed Buff Bonus %</t>
        </is>
      </c>
      <c r="B1479">
        <f>((C1463=TRUE)*F1463*IF(AND(Inputs!$B$39&lt;&gt;"pvp",Inputs!$B$44&gt;0),(((R1463-1)*(Skills!Y19*(1+Inputs!$B$34/100))+MIN((Skills!Y19*(1+Inputs!$B$34/100)),MAX(0,Inputs!$B$44-((R1463-1)*Skills!D19))))/Inputs!$B$44),IF(Inputs!$B$39="pvp",MIN((Skills!Y19*(1+Inputs!$B$34/100)),15)/15,(Skills!Y19*(1+Inputs!$B$34/100))/Skills!D19)))+((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f>
        <v/>
      </c>
    </row>
    <row r="1484">
      <c r="A1484" t="inlineStr">
        <is>
          <t>Global Crit Rate Bonus %</t>
        </is>
      </c>
      <c r="B1484">
        <f>IF(Inputs!$B$3&gt;=47,8,0)+((C1464=TRUE)*F1464*IF(AND(Inputs!$B$39&lt;&gt;"pvp",Inputs!$B$44&gt;0),(((R1464-1)*(Skills!Y20*(1+Inputs!$B$34/100))+MIN((Skills!Y20*(1+Inputs!$B$34/100)),MAX(0,Inputs!$B$44-((R1464-1)*Skills!D20))))/Inputs!$B$44),IF(Inputs!$B$39="pvp",MIN((Skills!Y20*(1+Inputs!$B$34/100)),15)/15,(Skills!Y20*(1+Inputs!$B$34/100))/Skills!D20)))</f>
        <v/>
      </c>
    </row>
    <row r="1485">
      <c r="A1485" t="inlineStr">
        <is>
          <t>Global Monster Damage-Taken Bonus %</t>
        </is>
      </c>
      <c r="B1485">
        <f>IF(Inputs!$B$3&gt;=82,15,0)+((C1460=TRUE)*F1460*IF(AND(Inputs!$B$39&lt;&gt;"pvp",Inputs!$B$44&gt;0),(((R1460-1)*(Skills!Y16*(1+Inputs!$B$34/100))+MIN((Skills!Y16*(1+Inputs!$B$34/100)),MAX(0,Inputs!$B$44-((R1460-1)*Skills!D16))))/Inputs!$B$44),IF(Inputs!$B$39="pvp",MIN((Skills!Y16*(1+Inputs!$B$34/100)),15)/15,(Skills!Y16*(1+Inputs!$B$34/100))/Skills!D16)))</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Skills!Y16*(1+Inputs!$B$34/100))+MIN((Skills!Y16*(1+Inputs!$B$34/100)),MAX(0,Inputs!$B$44-((R1460-1)*Skills!D16))))/Inputs!$B$44),IF(Inputs!$B$39="pvp",MIN((Skills!Y16*(1+Inputs!$B$34/100)),15)/15,(Skills!Y16*(1+Inputs!$B$34/100))/Skills!D16))</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IFERROR(1/IF(Inputs!$B$39="pvp",15,MAX(0.1,Skills!D3-IF(Skills!E3=TRUE,Inputs!$B$32,0))),0)</f>
        <v/>
      </c>
      <c r="R1496">
        <f>IF(AND(Inputs!$B$39&lt;&gt;"pvp",Inputs!$B$44&gt;0),IF(MAX(0,Inputs!$B$44-B1538)&lt;=0,0,(INT(MAX(0,Inputs!$B$44-B1538)/IF(Inputs!$B$39="pvp",15,MAX(0.1,Skills!D3-IF(Skills!E3=TRUE,Inputs!$B$32,0))))+1)),0)</f>
        <v/>
      </c>
      <c r="S1496">
        <f>IFERROR(O1496/N1496,0)</f>
        <v/>
      </c>
      <c r="T1496">
        <f>IF(C1496,(H1496*N1496*IF(AND(Inputs!$B$39&lt;&gt;"pvp",Inputs!$B$44&gt;0),((Skills!G3*((R1496-1)*IF(Skills!H3&gt;0,Skills!I3/Skills!H3,1)+IF(Skills!H3&gt;0,MIN(Skills!I3,MAX(0,MAX(0,Inputs!$B$44-B1538)-((R1496-1)*IF(Inputs!$B$39="pvp",15,MAX(0.1,Skills!D3-IF(Skills!E3=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Skills!E3=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Inputs!$B$3&gt;=40</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IFERROR(1/IF(Inputs!$B$39="pvp",15,MAX(0.1,Skills!D4-IF(Skills!E4=TRUE,Inputs!$B$32,0))),0)</f>
        <v/>
      </c>
      <c r="R1497">
        <f>IF(AND(Inputs!$B$39&lt;&gt;"pvp",Inputs!$B$44&gt;0),IF(MAX(0,Inputs!$B$44-B1538)&lt;=0,0,(INT(MAX(0,Inputs!$B$44-B1538)/IF(Inputs!$B$39="pvp",15,MAX(0.1,Skills!D4-IF(Skills!E4=TRUE,Inputs!$B$32,0))))+1)),0)</f>
        <v/>
      </c>
      <c r="S1497">
        <f>IFERROR(O1497/N1497,0)</f>
        <v/>
      </c>
      <c r="T1497">
        <f>IF(C1497,(H1497*N1497*IF(AND(Inputs!$B$39&lt;&gt;"pvp",Inputs!$B$44&gt;0),((Skills!G4*((R1497-1)*IF(Skills!H4&gt;0,Skills!I4/Skills!H4,1)+IF(Skills!H4&gt;0,MIN(Skills!I4,MAX(0,MAX(0,Inputs!$B$44-B1538)-((R1497-1)*IF(Inputs!$B$39="pvp",15,MAX(0.1,Skills!D4-IF(Skills!E4=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Skills!E4=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IFERROR(1/IF(Inputs!$B$39="pvp",15,MAX(0.1,Skills!D5-IF(Skills!E5=TRUE,Inputs!$B$32,0))),0)</f>
        <v/>
      </c>
      <c r="R1498">
        <f>IF(AND(Inputs!$B$39&lt;&gt;"pvp",Inputs!$B$44&gt;0),IF(MAX(0,Inputs!$B$44-B1538)&lt;=0,0,(INT(MAX(0,Inputs!$B$44-B1538)/IF(Inputs!$B$39="pvp",15,MAX(0.1,Skills!D5-IF(Skills!E5=TRUE,Inputs!$B$32,0))))+1)),0)</f>
        <v/>
      </c>
      <c r="S1498">
        <f>IFERROR(O1498/N1498,0)</f>
        <v/>
      </c>
      <c r="T1498">
        <f>IF(C1498,(H1498*N1498*IF(AND(Inputs!$B$39&lt;&gt;"pvp",Inputs!$B$44&gt;0),((Skills!G5*((R1498-1)*IF(Skills!H5&gt;0,Skills!I5/Skills!H5,1)+IF(Skills!H5&gt;0,MIN(Skills!I5,MAX(0,MAX(0,Inputs!$B$44-B1538)-((R1498-1)*IF(Inputs!$B$39="pvp",15,MAX(0.1,Skills!D5-IF(Skills!E5=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Skills!E5=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IFERROR(1/IF(Inputs!$B$39="pvp",15,MAX(0.1,Skills!D8-IF(Skills!E8=TRUE,Inputs!$B$32,0))),0)</f>
        <v/>
      </c>
      <c r="R1501">
        <f>IF(AND(Inputs!$B$39&lt;&gt;"pvp",Inputs!$B$44&gt;0),IF(MAX(0,Inputs!$B$44-B1538)&lt;=0,0,(INT(MAX(0,Inputs!$B$44-B1538)/IF(Inputs!$B$39="pvp",15,MAX(0.1,Skills!D8-IF(Skills!E8=TRUE,Inputs!$B$32,0))))+1)),0)</f>
        <v/>
      </c>
      <c r="S1501">
        <f>IFERROR(O1501/N1501,0)</f>
        <v/>
      </c>
      <c r="T1501">
        <f>IF(C1501,(H1501*N1501*IF(AND(Inputs!$B$39&lt;&gt;"pvp",Inputs!$B$44&gt;0),((Skills!G8*((R1501-1)*IF(Skills!H8&gt;0,Skills!I8/Skills!H8,1)+IF(Skills!H8&gt;0,MIN(Skills!I8,MAX(0,MAX(0,Inputs!$B$44-B1538)-((R1501-1)*IF(Inputs!$B$39="pvp",15,MAX(0.1,Skills!D8-IF(Skills!E8=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Skills!E8=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Inputs!$B$3&gt;=72</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IFERROR(1/IF(Inputs!$B$39="pvp",15,MAX(0.1,Skills!D9-IF(Skills!E9=TRUE,Inputs!$B$32,0))),0)</f>
        <v/>
      </c>
      <c r="R1502">
        <f>IF(AND(Inputs!$B$39&lt;&gt;"pvp",Inputs!$B$44&gt;0),IF(MAX(0,Inputs!$B$44-B1538)&lt;=0,0,(INT(MAX(0,Inputs!$B$44-B1538)/IF(Inputs!$B$39="pvp",15,MAX(0.1,Skills!D9-IF(Skills!E9=TRUE,Inputs!$B$32,0))))+1)),0)</f>
        <v/>
      </c>
      <c r="S1502">
        <f>IFERROR(O1502/N1502,0)</f>
        <v/>
      </c>
      <c r="T1502">
        <f>IF(C1502,(H1502*N1502*IF(AND(Inputs!$B$39&lt;&gt;"pvp",Inputs!$B$44&gt;0),((Skills!G9*((R1502-1)*IF(Skills!H9&gt;0,Skills!I9/Skills!H9,1)+IF(Skills!H9&gt;0,MIN(Skills!I9,MAX(0,MAX(0,Inputs!$B$44-B1538)-((R1502-1)*IF(Inputs!$B$39="pvp",15,MAX(0.1,Skills!D9-IF(Skills!E9=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Skills!E9=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IFERROR(1/IF(Inputs!$B$39="pvp",15,MAX(0.1,Skills!D12-IF(Skills!E12=TRUE,Inputs!$B$32,0))),0)</f>
        <v/>
      </c>
      <c r="R1505">
        <f>IF(AND(Inputs!$B$39&lt;&gt;"pvp",Inputs!$B$44&gt;0),IF(MAX(0,Inputs!$B$44-B1538)&lt;=0,0,(INT(MAX(0,Inputs!$B$44-B1538)/IF(Inputs!$B$39="pvp",15,MAX(0.1,Skills!D12-IF(Skills!E12=TRUE,Inputs!$B$32,0))))+1)),0)</f>
        <v/>
      </c>
      <c r="S1505">
        <f>IFERROR(O1505/N1505,0)</f>
        <v/>
      </c>
      <c r="T1505">
        <f>IF(C1505,(H1505*N1505*IF(AND(Inputs!$B$39&lt;&gt;"pvp",Inputs!$B$44&gt;0),((Skills!G12*((R1505-1)*IF(Skills!H12&gt;0,Skills!I12/Skills!H12,1)+IF(Skills!H12&gt;0,MIN(Skills!I12,MAX(0,MAX(0,Inputs!$B$44-B1538)-((R1505-1)*IF(Inputs!$B$39="pvp",15,MAX(0.1,Skills!D12-IF(Skills!E12=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Skills!E12=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IFERROR(1/IF(Inputs!$B$39="pvp",15,MAX(0.1,Skills!D13-IF(Skills!E13=TRUE,Inputs!$B$32,0))),0)</f>
        <v/>
      </c>
      <c r="R1506">
        <f>IF(AND(Inputs!$B$39&lt;&gt;"pvp",Inputs!$B$44&gt;0),IF(MAX(0,Inputs!$B$44-B1538)&lt;=0,0,(INT(MAX(0,Inputs!$B$44-B1538)/IF(Inputs!$B$39="pvp",15,MAX(0.1,Skills!D13-IF(Skills!E13=TRUE,Inputs!$B$32,0))))+1)),0)</f>
        <v/>
      </c>
      <c r="S1506">
        <f>IFERROR(O1506/N1506,0)</f>
        <v/>
      </c>
      <c r="T1506">
        <f>IF(C1506,(H1506*N1506*IF(AND(Inputs!$B$39&lt;&gt;"pvp",Inputs!$B$44&gt;0),((Skills!G13*((R1506-1)*IF(Skills!H13&gt;0,Skills!I13/Skills!H13,1)+IF(Skills!H13&gt;0,MIN(Skills!I13,MAX(0,MAX(0,Inputs!$B$44-B1538)-((R1506-1)*IF(Inputs!$B$39="pvp",15,MAX(0.1,Skills!D13-IF(Skills!E13=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Skills!E13=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IFERROR(1/IF(Inputs!$B$39="pvp",15,MAX(0.1,Skills!D14-IF(Skills!E14=TRUE,Inputs!$B$32,0))),0)</f>
        <v/>
      </c>
      <c r="R1507">
        <f>IF(AND(Inputs!$B$39&lt;&gt;"pvp",Inputs!$B$44&gt;0),IF(MAX(0,Inputs!$B$44-B1538)&lt;=0,0,(INT(MAX(0,Inputs!$B$44-B1538)/IF(Inputs!$B$39="pvp",15,MAX(0.1,Skills!D14-IF(Skills!E14=TRUE,Inputs!$B$32,0))))+1)),0)</f>
        <v/>
      </c>
      <c r="S1507">
        <f>IFERROR(O1507/N1507,0)</f>
        <v/>
      </c>
      <c r="T1507">
        <f>IF(C1507,(H1507*N1507*IF(AND(Inputs!$B$39&lt;&gt;"pvp",Inputs!$B$44&gt;0),((Skills!G14*((R1507-1)*IF(Skills!H14&gt;0,Skills!I14/Skills!H14,1)+IF(Skills!H14&gt;0,MIN(Skills!I14,MAX(0,MAX(0,Inputs!$B$44-B1538)-((R1507-1)*IF(Inputs!$B$39="pvp",15,MAX(0.1,Skills!D14-IF(Skills!E14=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Skills!E14=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IFERROR(1/IF(Inputs!$B$39="pvp",15,MAX(0.1,Skills!D15-IF(Skills!E15=TRUE,Inputs!$B$32,0))),0)</f>
        <v/>
      </c>
      <c r="R1508">
        <f>IF(AND(Inputs!$B$39&lt;&gt;"pvp",Inputs!$B$44&gt;0),IF(Inputs!$B$44&lt;=0,0,(INT(Inputs!$B$44/IF(Inputs!$B$39="pvp",15,MAX(0.1,Skills!D15-IF(Skills!E15=TRUE,Inputs!$B$32,0))))+1)),0)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IFERROR(1/IF(Inputs!$B$39="pvp",15,MAX(0.1,Skills!D16-IF(Skills!E16=TRUE,Inputs!$B$32,0))),0)</f>
        <v/>
      </c>
      <c r="R1509">
        <f>IF(AND(Inputs!$B$39&lt;&gt;"pvp",Inputs!$B$44&gt;0),IF(Inputs!$B$44&lt;=0,0,(INT(Inputs!$B$44/IF(Inputs!$B$39="pvp",15,MAX(0.1,Skills!D16-IF(Skills!E16=TRUE,Inputs!$B$32,0))))+1)),0)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IFERROR(1/IF(Inputs!$B$39="pvp",15,MAX(0.1,Skills!D19-IF(Skills!E19=TRUE,Inputs!$B$32,0))),0)</f>
        <v/>
      </c>
      <c r="R1512">
        <f>IF(AND(Inputs!$B$39&lt;&gt;"pvp",Inputs!$B$44&gt;0),IF(Inputs!$B$44&lt;=0,0,(INT(Inputs!$B$44/IF(Inputs!$B$39="pvp",15,MAX(0.1,Skills!D19-IF(Skills!E19=TRUE,Inputs!$B$32,0))))+1)),0)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IFERROR(1/IF(Inputs!$B$39="pvp",15,MAX(0.1,Skills!D20-IF(Skills!E20=TRUE,Inputs!$B$32,0))),0)</f>
        <v/>
      </c>
      <c r="R1513">
        <f>IF(AND(Inputs!$B$39&lt;&gt;"pvp",Inputs!$B$44&gt;0),IF(Inputs!$B$44&lt;=0,0,(INT(Inputs!$B$44/IF(Inputs!$B$39="pvp",15,MAX(0.1,Skills!D20-IF(Skills!E20=TRUE,Inputs!$B$32,0))))+1)),0)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IFERROR(1/IF(Inputs!$B$39="pvp",15,MAX(0.1,Skills!D21-IF(Skills!E21=TRUE,Inputs!$B$32,0))),0)</f>
        <v/>
      </c>
      <c r="R1514">
        <f>IF(AND(Inputs!$B$39&lt;&gt;"pvp",Inputs!$B$44&gt;0),IF(Inputs!$B$44&lt;=0,0,(INT(Inputs!$B$44/IF(Inputs!$B$39="pvp",15,MAX(0.1,Skills!D21-IF(Skills!E21=TRUE,Inputs!$B$32,0))))+1)),0)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Skills!Y19*(1+Inputs!$B$34/100))+MIN((Skills!Y19*(1+Inputs!$B$34/100)),MAX(0,Inputs!$B$44-((R1512-1)*Skills!D19))))/Inputs!$B$44),IF(Inputs!$B$39="pvp",MIN((Skills!Y19*(1+Inputs!$B$34/100)),15)/15,(Skills!Y19*(1+Inputs!$B$34/100))/Skills!D19)))/150)))/100</f>
        <v/>
      </c>
    </row>
    <row r="1527">
      <c r="A1527" t="inlineStr">
        <is>
          <t>Alchemic Adrenaline Uptime</t>
        </is>
      </c>
      <c r="B1527">
        <f>(Skills!Y6*(1+Inputs!$B$34/100))/((Skills!Y6*(1+Inputs!$B$34/100))+(5/B1526))</f>
        <v/>
      </c>
    </row>
    <row r="1528">
      <c r="A1528" t="inlineStr">
        <is>
          <t>Attack Speed Buff Bonus %</t>
        </is>
      </c>
      <c r="B1528">
        <f>((C1512=TRUE)*F1512*IF(AND(Inputs!$B$39&lt;&gt;"pvp",Inputs!$B$44&gt;0),(((R1512-1)*(Skills!Y19*(1+Inputs!$B$34/100))+MIN((Skills!Y19*(1+Inputs!$B$34/100)),MAX(0,Inputs!$B$44-((R1512-1)*Skills!D19))))/Inputs!$B$44),IF(Inputs!$B$39="pvp",MIN((Skills!Y19*(1+Inputs!$B$34/100)),15)/15,(Skills!Y19*(1+Inputs!$B$34/100))/Skills!D19)))+((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f>
        <v/>
      </c>
    </row>
    <row r="1533">
      <c r="A1533" t="inlineStr">
        <is>
          <t>Global Crit Rate Bonus %</t>
        </is>
      </c>
      <c r="B1533">
        <f>IF(Inputs!$B$3&gt;=47,8,0)+((C1513=TRUE)*F1513*IF(AND(Inputs!$B$39&lt;&gt;"pvp",Inputs!$B$44&gt;0),(((R1513-1)*(Skills!Y20*(1+Inputs!$B$34/100))+MIN((Skills!Y20*(1+Inputs!$B$34/100)),MAX(0,Inputs!$B$44-((R1513-1)*Skills!D20))))/Inputs!$B$44),IF(Inputs!$B$39="pvp",MIN((Skills!Y20*(1+Inputs!$B$34/100)),15)/15,(Skills!Y20*(1+Inputs!$B$34/100))/Skills!D20)))</f>
        <v/>
      </c>
    </row>
    <row r="1534">
      <c r="A1534" t="inlineStr">
        <is>
          <t>Global Monster Damage-Taken Bonus %</t>
        </is>
      </c>
      <c r="B1534">
        <f>IF(Inputs!$B$3&gt;=82,15,0)+((C1509=TRUE)*F1509*IF(AND(Inputs!$B$39&lt;&gt;"pvp",Inputs!$B$44&gt;0),(((R1509-1)*(Skills!Y16*(1+Inputs!$B$34/100))+MIN((Skills!Y16*(1+Inputs!$B$34/100)),MAX(0,Inputs!$B$44-((R1509-1)*Skills!D16))))/Inputs!$B$44),IF(Inputs!$B$39="pvp",MIN((Skills!Y16*(1+Inputs!$B$34/100)),15)/15,(Skills!Y16*(1+Inputs!$B$34/100))/Skills!D16)))</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Skills!Y16*(1+Inputs!$B$34/100))+MIN((Skills!Y16*(1+Inputs!$B$34/100)),MAX(0,Inputs!$B$44-((R1509-1)*Skills!D16))))/Inputs!$B$44),IF(Inputs!$B$39="pvp",MIN((Skills!Y16*(1+Inputs!$B$34/100)),15)/15,(Skills!Y16*(1+Inputs!$B$34/100))/Skills!D16))</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IFERROR(1/IF(Inputs!$B$39="pvp",15,MAX(0.1,Skills!D3-IF(Skills!E3=TRUE,Inputs!$B$32,0))),0)</f>
        <v/>
      </c>
      <c r="R1545">
        <f>IF(AND(Inputs!$B$39&lt;&gt;"pvp",Inputs!$B$44&gt;0),IF(MAX(0,Inputs!$B$44-B1587)&lt;=0,0,(INT(MAX(0,Inputs!$B$44-B1587)/IF(Inputs!$B$39="pvp",15,MAX(0.1,Skills!D3-IF(Skills!E3=TRUE,Inputs!$B$32,0))))+1)),0)</f>
        <v/>
      </c>
      <c r="S1545">
        <f>IFERROR(O1545/N1545,0)</f>
        <v/>
      </c>
      <c r="T1545">
        <f>IF(C1545,(H1545*N1545*IF(AND(Inputs!$B$39&lt;&gt;"pvp",Inputs!$B$44&gt;0),((Skills!G3*((R1545-1)*IF(Skills!H3&gt;0,Skills!I3/Skills!H3,1)+IF(Skills!H3&gt;0,MIN(Skills!I3,MAX(0,MAX(0,Inputs!$B$44-B1587)-((R1545-1)*IF(Inputs!$B$39="pvp",15,MAX(0.1,Skills!D3-IF(Skills!E3=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Skills!E3=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Inputs!$B$3&gt;=40</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IFERROR(1/IF(Inputs!$B$39="pvp",15,MAX(0.1,Skills!D4-IF(Skills!E4=TRUE,Inputs!$B$32,0))),0)</f>
        <v/>
      </c>
      <c r="R1546">
        <f>IF(AND(Inputs!$B$39&lt;&gt;"pvp",Inputs!$B$44&gt;0),IF(MAX(0,Inputs!$B$44-B1587)&lt;=0,0,(INT(MAX(0,Inputs!$B$44-B1587)/IF(Inputs!$B$39="pvp",15,MAX(0.1,Skills!D4-IF(Skills!E4=TRUE,Inputs!$B$32,0))))+1)),0)</f>
        <v/>
      </c>
      <c r="S1546">
        <f>IFERROR(O1546/N1546,0)</f>
        <v/>
      </c>
      <c r="T1546">
        <f>IF(C1546,(H1546*N1546*IF(AND(Inputs!$B$39&lt;&gt;"pvp",Inputs!$B$44&gt;0),((Skills!G4*((R1546-1)*IF(Skills!H4&gt;0,Skills!I4/Skills!H4,1)+IF(Skills!H4&gt;0,MIN(Skills!I4,MAX(0,MAX(0,Inputs!$B$44-B1587)-((R1546-1)*IF(Inputs!$B$39="pvp",15,MAX(0.1,Skills!D4-IF(Skills!E4=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Skills!E4=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IFERROR(1/IF(Inputs!$B$39="pvp",15,MAX(0.1,Skills!D5-IF(Skills!E5=TRUE,Inputs!$B$32,0))),0)</f>
        <v/>
      </c>
      <c r="R1547">
        <f>IF(AND(Inputs!$B$39&lt;&gt;"pvp",Inputs!$B$44&gt;0),IF(MAX(0,Inputs!$B$44-B1587)&lt;=0,0,(INT(MAX(0,Inputs!$B$44-B1587)/IF(Inputs!$B$39="pvp",15,MAX(0.1,Skills!D5-IF(Skills!E5=TRUE,Inputs!$B$32,0))))+1)),0)</f>
        <v/>
      </c>
      <c r="S1547">
        <f>IFERROR(O1547/N1547,0)</f>
        <v/>
      </c>
      <c r="T1547">
        <f>IF(C1547,(H1547*N1547*IF(AND(Inputs!$B$39&lt;&gt;"pvp",Inputs!$B$44&gt;0),((Skills!G5*((R1547-1)*IF(Skills!H5&gt;0,Skills!I5/Skills!H5,1)+IF(Skills!H5&gt;0,MIN(Skills!I5,MAX(0,MAX(0,Inputs!$B$44-B1587)-((R1547-1)*IF(Inputs!$B$39="pvp",15,MAX(0.1,Skills!D5-IF(Skills!E5=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Skills!E5=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IFERROR(1/IF(Inputs!$B$39="pvp",15,MAX(0.1,Skills!D8-IF(Skills!E8=TRUE,Inputs!$B$32,0))),0)</f>
        <v/>
      </c>
      <c r="R1550">
        <f>IF(AND(Inputs!$B$39&lt;&gt;"pvp",Inputs!$B$44&gt;0),IF(MAX(0,Inputs!$B$44-B1587)&lt;=0,0,(INT(MAX(0,Inputs!$B$44-B1587)/IF(Inputs!$B$39="pvp",15,MAX(0.1,Skills!D8-IF(Skills!E8=TRUE,Inputs!$B$32,0))))+1)),0)</f>
        <v/>
      </c>
      <c r="S1550">
        <f>IFERROR(O1550/N1550,0)</f>
        <v/>
      </c>
      <c r="T1550">
        <f>IF(C1550,(H1550*N1550*IF(AND(Inputs!$B$39&lt;&gt;"pvp",Inputs!$B$44&gt;0),((Skills!G8*((R1550-1)*IF(Skills!H8&gt;0,Skills!I8/Skills!H8,1)+IF(Skills!H8&gt;0,MIN(Skills!I8,MAX(0,MAX(0,Inputs!$B$44-B1587)-((R1550-1)*IF(Inputs!$B$39="pvp",15,MAX(0.1,Skills!D8-IF(Skills!E8=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Skills!E8=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Inputs!$B$3&gt;=72</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IFERROR(1/IF(Inputs!$B$39="pvp",15,MAX(0.1,Skills!D9-IF(Skills!E9=TRUE,Inputs!$B$32,0))),0)</f>
        <v/>
      </c>
      <c r="R1551">
        <f>IF(AND(Inputs!$B$39&lt;&gt;"pvp",Inputs!$B$44&gt;0),IF(MAX(0,Inputs!$B$44-B1587)&lt;=0,0,(INT(MAX(0,Inputs!$B$44-B1587)/IF(Inputs!$B$39="pvp",15,MAX(0.1,Skills!D9-IF(Skills!E9=TRUE,Inputs!$B$32,0))))+1)),0)</f>
        <v/>
      </c>
      <c r="S1551">
        <f>IFERROR(O1551/N1551,0)</f>
        <v/>
      </c>
      <c r="T1551">
        <f>IF(C1551,(H1551*N1551*IF(AND(Inputs!$B$39&lt;&gt;"pvp",Inputs!$B$44&gt;0),((Skills!G9*((R1551-1)*IF(Skills!H9&gt;0,Skills!I9/Skills!H9,1)+IF(Skills!H9&gt;0,MIN(Skills!I9,MAX(0,MAX(0,Inputs!$B$44-B1587)-((R1551-1)*IF(Inputs!$B$39="pvp",15,MAX(0.1,Skills!D9-IF(Skills!E9=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Skills!E9=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IFERROR(1/IF(Inputs!$B$39="pvp",15,MAX(0.1,Skills!D12-IF(Skills!E12=TRUE,Inputs!$B$32,0))),0)</f>
        <v/>
      </c>
      <c r="R1554">
        <f>IF(AND(Inputs!$B$39&lt;&gt;"pvp",Inputs!$B$44&gt;0),IF(MAX(0,Inputs!$B$44-B1587)&lt;=0,0,(INT(MAX(0,Inputs!$B$44-B1587)/IF(Inputs!$B$39="pvp",15,MAX(0.1,Skills!D12-IF(Skills!E12=TRUE,Inputs!$B$32,0))))+1)),0)</f>
        <v/>
      </c>
      <c r="S1554">
        <f>IFERROR(O1554/N1554,0)</f>
        <v/>
      </c>
      <c r="T1554">
        <f>IF(C1554,(H1554*N1554*IF(AND(Inputs!$B$39&lt;&gt;"pvp",Inputs!$B$44&gt;0),((Skills!G12*((R1554-1)*IF(Skills!H12&gt;0,Skills!I12/Skills!H12,1)+IF(Skills!H12&gt;0,MIN(Skills!I12,MAX(0,MAX(0,Inputs!$B$44-B1587)-((R1554-1)*IF(Inputs!$B$39="pvp",15,MAX(0.1,Skills!D12-IF(Skills!E12=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Skills!E12=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IFERROR(1/IF(Inputs!$B$39="pvp",15,MAX(0.1,Skills!D13-IF(Skills!E13=TRUE,Inputs!$B$32,0))),0)</f>
        <v/>
      </c>
      <c r="R1555">
        <f>IF(AND(Inputs!$B$39&lt;&gt;"pvp",Inputs!$B$44&gt;0),IF(MAX(0,Inputs!$B$44-B1587)&lt;=0,0,(INT(MAX(0,Inputs!$B$44-B1587)/IF(Inputs!$B$39="pvp",15,MAX(0.1,Skills!D13-IF(Skills!E13=TRUE,Inputs!$B$32,0))))+1)),0)</f>
        <v/>
      </c>
      <c r="S1555">
        <f>IFERROR(O1555/N1555,0)</f>
        <v/>
      </c>
      <c r="T1555">
        <f>IF(C1555,(H1555*N1555*IF(AND(Inputs!$B$39&lt;&gt;"pvp",Inputs!$B$44&gt;0),((Skills!G13*((R1555-1)*IF(Skills!H13&gt;0,Skills!I13/Skills!H13,1)+IF(Skills!H13&gt;0,MIN(Skills!I13,MAX(0,MAX(0,Inputs!$B$44-B1587)-((R1555-1)*IF(Inputs!$B$39="pvp",15,MAX(0.1,Skills!D13-IF(Skills!E13=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Skills!E13=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IFERROR(1/IF(Inputs!$B$39="pvp",15,MAX(0.1,Skills!D14-IF(Skills!E14=TRUE,Inputs!$B$32,0))),0)</f>
        <v/>
      </c>
      <c r="R1556">
        <f>IF(AND(Inputs!$B$39&lt;&gt;"pvp",Inputs!$B$44&gt;0),IF(MAX(0,Inputs!$B$44-B1587)&lt;=0,0,(INT(MAX(0,Inputs!$B$44-B1587)/IF(Inputs!$B$39="pvp",15,MAX(0.1,Skills!D14-IF(Skills!E14=TRUE,Inputs!$B$32,0))))+1)),0)</f>
        <v/>
      </c>
      <c r="S1556">
        <f>IFERROR(O1556/N1556,0)</f>
        <v/>
      </c>
      <c r="T1556">
        <f>IF(C1556,(H1556*N1556*IF(AND(Inputs!$B$39&lt;&gt;"pvp",Inputs!$B$44&gt;0),((Skills!G14*((R1556-1)*IF(Skills!H14&gt;0,Skills!I14/Skills!H14,1)+IF(Skills!H14&gt;0,MIN(Skills!I14,MAX(0,MAX(0,Inputs!$B$44-B1587)-((R1556-1)*IF(Inputs!$B$39="pvp",15,MAX(0.1,Skills!D14-IF(Skills!E14=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Skills!E14=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IFERROR(1/IF(Inputs!$B$39="pvp",15,MAX(0.1,Skills!D15-IF(Skills!E15=TRUE,Inputs!$B$32,0))),0)</f>
        <v/>
      </c>
      <c r="R1557">
        <f>IF(AND(Inputs!$B$39&lt;&gt;"pvp",Inputs!$B$44&gt;0),IF(Inputs!$B$44&lt;=0,0,(INT(Inputs!$B$44/IF(Inputs!$B$39="pvp",15,MAX(0.1,Skills!D15-IF(Skills!E15=TRUE,Inputs!$B$32,0))))+1)),0)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IFERROR(1/IF(Inputs!$B$39="pvp",15,MAX(0.1,Skills!D16-IF(Skills!E16=TRUE,Inputs!$B$32,0))),0)</f>
        <v/>
      </c>
      <c r="R1558">
        <f>IF(AND(Inputs!$B$39&lt;&gt;"pvp",Inputs!$B$44&gt;0),IF(Inputs!$B$44&lt;=0,0,(INT(Inputs!$B$44/IF(Inputs!$B$39="pvp",15,MAX(0.1,Skills!D16-IF(Skills!E16=TRUE,Inputs!$B$32,0))))+1)),0)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IFERROR(1/IF(Inputs!$B$39="pvp",15,MAX(0.1,Skills!D19-IF(Skills!E19=TRUE,Inputs!$B$32,0))),0)</f>
        <v/>
      </c>
      <c r="R1561">
        <f>IF(AND(Inputs!$B$39&lt;&gt;"pvp",Inputs!$B$44&gt;0),IF(Inputs!$B$44&lt;=0,0,(INT(Inputs!$B$44/IF(Inputs!$B$39="pvp",15,MAX(0.1,Skills!D19-IF(Skills!E19=TRUE,Inputs!$B$32,0))))+1)),0)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IFERROR(1/IF(Inputs!$B$39="pvp",15,MAX(0.1,Skills!D20-IF(Skills!E20=TRUE,Inputs!$B$32,0))),0)</f>
        <v/>
      </c>
      <c r="R1562">
        <f>IF(AND(Inputs!$B$39&lt;&gt;"pvp",Inputs!$B$44&gt;0),IF(Inputs!$B$44&lt;=0,0,(INT(Inputs!$B$44/IF(Inputs!$B$39="pvp",15,MAX(0.1,Skills!D20-IF(Skills!E20=TRUE,Inputs!$B$32,0))))+1)),0)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IFERROR(1/IF(Inputs!$B$39="pvp",15,MAX(0.1,Skills!D21-IF(Skills!E21=TRUE,Inputs!$B$32,0))),0)</f>
        <v/>
      </c>
      <c r="R1563">
        <f>IF(AND(Inputs!$B$39&lt;&gt;"pvp",Inputs!$B$44&gt;0),IF(Inputs!$B$44&lt;=0,0,(INT(Inputs!$B$44/IF(Inputs!$B$39="pvp",15,MAX(0.1,Skills!D21-IF(Skills!E21=TRUE,Inputs!$B$32,0))))+1)),0)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Skills!Y19*(1+Inputs!$B$34/100))+MIN((Skills!Y19*(1+Inputs!$B$34/100)),MAX(0,Inputs!$B$44-((R1561-1)*Skills!D19))))/Inputs!$B$44),IF(Inputs!$B$39="pvp",MIN((Skills!Y19*(1+Inputs!$B$34/100)),15)/15,(Skills!Y19*(1+Inputs!$B$34/100))/Skills!D19)))/150)))/100</f>
        <v/>
      </c>
    </row>
    <row r="1576">
      <c r="A1576" t="inlineStr">
        <is>
          <t>Alchemic Adrenaline Uptime</t>
        </is>
      </c>
      <c r="B1576">
        <f>(Skills!Y6*(1+Inputs!$B$34/100))/((Skills!Y6*(1+Inputs!$B$34/100))+(5/B1575))</f>
        <v/>
      </c>
    </row>
    <row r="1577">
      <c r="A1577" t="inlineStr">
        <is>
          <t>Attack Speed Buff Bonus %</t>
        </is>
      </c>
      <c r="B1577">
        <f>((C1561=TRUE)*F1561*IF(AND(Inputs!$B$39&lt;&gt;"pvp",Inputs!$B$44&gt;0),(((R1561-1)*(Skills!Y19*(1+Inputs!$B$34/100))+MIN((Skills!Y19*(1+Inputs!$B$34/100)),MAX(0,Inputs!$B$44-((R1561-1)*Skills!D19))))/Inputs!$B$44),IF(Inputs!$B$39="pvp",MIN((Skills!Y19*(1+Inputs!$B$34/100)),15)/15,(Skills!Y19*(1+Inputs!$B$34/100))/Skills!D19)))+((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f>
        <v/>
      </c>
    </row>
    <row r="1582">
      <c r="A1582" t="inlineStr">
        <is>
          <t>Global Crit Rate Bonus %</t>
        </is>
      </c>
      <c r="B1582">
        <f>IF(Inputs!$B$3&gt;=47,8,0)+((C1562=TRUE)*F1562*IF(AND(Inputs!$B$39&lt;&gt;"pvp",Inputs!$B$44&gt;0),(((R1562-1)*(Skills!Y20*(1+Inputs!$B$34/100))+MIN((Skills!Y20*(1+Inputs!$B$34/100)),MAX(0,Inputs!$B$44-((R1562-1)*Skills!D20))))/Inputs!$B$44),IF(Inputs!$B$39="pvp",MIN((Skills!Y20*(1+Inputs!$B$34/100)),15)/15,(Skills!Y20*(1+Inputs!$B$34/100))/Skills!D20)))</f>
        <v/>
      </c>
    </row>
    <row r="1583">
      <c r="A1583" t="inlineStr">
        <is>
          <t>Global Monster Damage-Taken Bonus %</t>
        </is>
      </c>
      <c r="B1583">
        <f>IF(Inputs!$B$3&gt;=82,15,0)+((C1558=TRUE)*F1558*IF(AND(Inputs!$B$39&lt;&gt;"pvp",Inputs!$B$44&gt;0),(((R1558-1)*(Skills!Y16*(1+Inputs!$B$34/100))+MIN((Skills!Y16*(1+Inputs!$B$34/100)),MAX(0,Inputs!$B$44-((R1558-1)*Skills!D16))))/Inputs!$B$44),IF(Inputs!$B$39="pvp",MIN((Skills!Y16*(1+Inputs!$B$34/100)),15)/15,(Skills!Y16*(1+Inputs!$B$34/100))/Skills!D16)))</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Skills!Y16*(1+Inputs!$B$34/100))+MIN((Skills!Y16*(1+Inputs!$B$34/100)),MAX(0,Inputs!$B$44-((R1558-1)*Skills!D16))))/Inputs!$B$44),IF(Inputs!$B$39="pvp",MIN((Skills!Y16*(1+Inputs!$B$34/100)),15)/15,(Skills!Y16*(1+Inputs!$B$34/100))/Skills!D16))</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IFERROR(1/IF(Inputs!$B$39="pvp",15,MAX(0.1,Skills!D3-IF(Skills!E3=TRUE,Inputs!$B$32,0))),0)</f>
        <v/>
      </c>
      <c r="R1594">
        <f>IF(AND(Inputs!$B$39&lt;&gt;"pvp",Inputs!$B$44&gt;0),IF(MAX(0,Inputs!$B$44-B1636)&lt;=0,0,(INT(MAX(0,Inputs!$B$44-B1636)/IF(Inputs!$B$39="pvp",15,MAX(0.1,Skills!D3-IF(Skills!E3=TRUE,Inputs!$B$32,0))))+1)),0)</f>
        <v/>
      </c>
      <c r="S1594">
        <f>IFERROR(O1594/N1594,0)</f>
        <v/>
      </c>
      <c r="T1594">
        <f>IF(C1594,(H1594*N1594*IF(AND(Inputs!$B$39&lt;&gt;"pvp",Inputs!$B$44&gt;0),((Skills!G3*((R1594-1)*IF(Skills!H3&gt;0,Skills!I3/Skills!H3,1)+IF(Skills!H3&gt;0,MIN(Skills!I3,MAX(0,MAX(0,Inputs!$B$44-B1636)-((R1594-1)*IF(Inputs!$B$39="pvp",15,MAX(0.1,Skills!D3-IF(Skills!E3=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Skills!E3=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IFERROR(1/IF(Inputs!$B$39="pvp",15,MAX(0.1,Skills!D4-IF(Skills!E4=TRUE,Inputs!$B$32,0))),0)</f>
        <v/>
      </c>
      <c r="R1595">
        <f>IF(AND(Inputs!$B$39&lt;&gt;"pvp",Inputs!$B$44&gt;0),IF(MAX(0,Inputs!$B$44-B1636)&lt;=0,0,(INT(MAX(0,Inputs!$B$44-B1636)/IF(Inputs!$B$39="pvp",15,MAX(0.1,Skills!D4-IF(Skills!E4=TRUE,Inputs!$B$32,0))))+1)),0)</f>
        <v/>
      </c>
      <c r="S1595">
        <f>IFERROR(O1595/N1595,0)</f>
        <v/>
      </c>
      <c r="T1595">
        <f>IF(C1595,(H1595*N1595*IF(AND(Inputs!$B$39&lt;&gt;"pvp",Inputs!$B$44&gt;0),((Skills!G4*((R1595-1)*IF(Skills!H4&gt;0,Skills!I4/Skills!H4,1)+IF(Skills!H4&gt;0,MIN(Skills!I4,MAX(0,MAX(0,Inputs!$B$44-B1636)-((R1595-1)*IF(Inputs!$B$39="pvp",15,MAX(0.1,Skills!D4-IF(Skills!E4=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Skills!E4=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IFERROR(1/IF(Inputs!$B$39="pvp",15,MAX(0.1,Skills!D5-IF(Skills!E5=TRUE,Inputs!$B$32,0))),0)</f>
        <v/>
      </c>
      <c r="R1596">
        <f>IF(AND(Inputs!$B$39&lt;&gt;"pvp",Inputs!$B$44&gt;0),IF(MAX(0,Inputs!$B$44-B1636)&lt;=0,0,(INT(MAX(0,Inputs!$B$44-B1636)/IF(Inputs!$B$39="pvp",15,MAX(0.1,Skills!D5-IF(Skills!E5=TRUE,Inputs!$B$32,0))))+1)),0)</f>
        <v/>
      </c>
      <c r="S1596">
        <f>IFERROR(O1596/N1596,0)</f>
        <v/>
      </c>
      <c r="T1596">
        <f>IF(C1596,(H1596*N1596*IF(AND(Inputs!$B$39&lt;&gt;"pvp",Inputs!$B$44&gt;0),((Skills!G5*((R1596-1)*IF(Skills!H5&gt;0,Skills!I5/Skills!H5,1)+IF(Skills!H5&gt;0,MIN(Skills!I5,MAX(0,MAX(0,Inputs!$B$44-B1636)-((R1596-1)*IF(Inputs!$B$39="pvp",15,MAX(0.1,Skills!D5-IF(Skills!E5=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Skills!E5=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IFERROR(1/IF(Inputs!$B$39="pvp",15,MAX(0.1,Skills!D8-IF(Skills!E8=TRUE,Inputs!$B$32,0))),0)</f>
        <v/>
      </c>
      <c r="R1599">
        <f>IF(AND(Inputs!$B$39&lt;&gt;"pvp",Inputs!$B$44&gt;0),IF(MAX(0,Inputs!$B$44-B1636)&lt;=0,0,(INT(MAX(0,Inputs!$B$44-B1636)/IF(Inputs!$B$39="pvp",15,MAX(0.1,Skills!D8-IF(Skills!E8=TRUE,Inputs!$B$32,0))))+1)),0)</f>
        <v/>
      </c>
      <c r="S1599">
        <f>IFERROR(O1599/N1599,0)</f>
        <v/>
      </c>
      <c r="T1599">
        <f>IF(C1599,(H1599*N1599*IF(AND(Inputs!$B$39&lt;&gt;"pvp",Inputs!$B$44&gt;0),((Skills!G8*((R1599-1)*IF(Skills!H8&gt;0,Skills!I8/Skills!H8,1)+IF(Skills!H8&gt;0,MIN(Skills!I8,MAX(0,MAX(0,Inputs!$B$44-B1636)-((R1599-1)*IF(Inputs!$B$39="pvp",15,MAX(0.1,Skills!D8-IF(Skills!E8=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Skills!E8=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Inputs!$B$3&gt;=72</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IFERROR(1/IF(Inputs!$B$39="pvp",15,MAX(0.1,Skills!D9-IF(Skills!E9=TRUE,Inputs!$B$32,0))),0)</f>
        <v/>
      </c>
      <c r="R1600">
        <f>IF(AND(Inputs!$B$39&lt;&gt;"pvp",Inputs!$B$44&gt;0),IF(MAX(0,Inputs!$B$44-B1636)&lt;=0,0,(INT(MAX(0,Inputs!$B$44-B1636)/IF(Inputs!$B$39="pvp",15,MAX(0.1,Skills!D9-IF(Skills!E9=TRUE,Inputs!$B$32,0))))+1)),0)</f>
        <v/>
      </c>
      <c r="S1600">
        <f>IFERROR(O1600/N1600,0)</f>
        <v/>
      </c>
      <c r="T1600">
        <f>IF(C1600,(H1600*N1600*IF(AND(Inputs!$B$39&lt;&gt;"pvp",Inputs!$B$44&gt;0),((Skills!G9*((R1600-1)*IF(Skills!H9&gt;0,Skills!I9/Skills!H9,1)+IF(Skills!H9&gt;0,MIN(Skills!I9,MAX(0,MAX(0,Inputs!$B$44-B1636)-((R1600-1)*IF(Inputs!$B$39="pvp",15,MAX(0.1,Skills!D9-IF(Skills!E9=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Skills!E9=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IFERROR(1/IF(Inputs!$B$39="pvp",15,MAX(0.1,Skills!D12-IF(Skills!E12=TRUE,Inputs!$B$32,0))),0)</f>
        <v/>
      </c>
      <c r="R1603">
        <f>IF(AND(Inputs!$B$39&lt;&gt;"pvp",Inputs!$B$44&gt;0),IF(MAX(0,Inputs!$B$44-B1636)&lt;=0,0,(INT(MAX(0,Inputs!$B$44-B1636)/IF(Inputs!$B$39="pvp",15,MAX(0.1,Skills!D12-IF(Skills!E12=TRUE,Inputs!$B$32,0))))+1)),0)</f>
        <v/>
      </c>
      <c r="S1603">
        <f>IFERROR(O1603/N1603,0)</f>
        <v/>
      </c>
      <c r="T1603">
        <f>IF(C1603,(H1603*N1603*IF(AND(Inputs!$B$39&lt;&gt;"pvp",Inputs!$B$44&gt;0),((Skills!G12*((R1603-1)*IF(Skills!H12&gt;0,Skills!I12/Skills!H12,1)+IF(Skills!H12&gt;0,MIN(Skills!I12,MAX(0,MAX(0,Inputs!$B$44-B1636)-((R1603-1)*IF(Inputs!$B$39="pvp",15,MAX(0.1,Skills!D12-IF(Skills!E12=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Skills!E12=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IFERROR(1/IF(Inputs!$B$39="pvp",15,MAX(0.1,Skills!D13-IF(Skills!E13=TRUE,Inputs!$B$32,0))),0)</f>
        <v/>
      </c>
      <c r="R1604">
        <f>IF(AND(Inputs!$B$39&lt;&gt;"pvp",Inputs!$B$44&gt;0),IF(MAX(0,Inputs!$B$44-B1636)&lt;=0,0,(INT(MAX(0,Inputs!$B$44-B1636)/IF(Inputs!$B$39="pvp",15,MAX(0.1,Skills!D13-IF(Skills!E13=TRUE,Inputs!$B$32,0))))+1)),0)</f>
        <v/>
      </c>
      <c r="S1604">
        <f>IFERROR(O1604/N1604,0)</f>
        <v/>
      </c>
      <c r="T1604">
        <f>IF(C1604,(H1604*N1604*IF(AND(Inputs!$B$39&lt;&gt;"pvp",Inputs!$B$44&gt;0),((Skills!G13*((R1604-1)*IF(Skills!H13&gt;0,Skills!I13/Skills!H13,1)+IF(Skills!H13&gt;0,MIN(Skills!I13,MAX(0,MAX(0,Inputs!$B$44-B1636)-((R1604-1)*IF(Inputs!$B$39="pvp",15,MAX(0.1,Skills!D13-IF(Skills!E13=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Skills!E13=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IFERROR(1/IF(Inputs!$B$39="pvp",15,MAX(0.1,Skills!D14-IF(Skills!E14=TRUE,Inputs!$B$32,0))),0)</f>
        <v/>
      </c>
      <c r="R1605">
        <f>IF(AND(Inputs!$B$39&lt;&gt;"pvp",Inputs!$B$44&gt;0),IF(MAX(0,Inputs!$B$44-B1636)&lt;=0,0,(INT(MAX(0,Inputs!$B$44-B1636)/IF(Inputs!$B$39="pvp",15,MAX(0.1,Skills!D14-IF(Skills!E14=TRUE,Inputs!$B$32,0))))+1)),0)</f>
        <v/>
      </c>
      <c r="S1605">
        <f>IFERROR(O1605/N1605,0)</f>
        <v/>
      </c>
      <c r="T1605">
        <f>IF(C1605,(H1605*N1605*IF(AND(Inputs!$B$39&lt;&gt;"pvp",Inputs!$B$44&gt;0),((Skills!G14*((R1605-1)*IF(Skills!H14&gt;0,Skills!I14/Skills!H14,1)+IF(Skills!H14&gt;0,MIN(Skills!I14,MAX(0,MAX(0,Inputs!$B$44-B1636)-((R1605-1)*IF(Inputs!$B$39="pvp",15,MAX(0.1,Skills!D14-IF(Skills!E14=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Skills!E14=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IFERROR(1/IF(Inputs!$B$39="pvp",15,MAX(0.1,Skills!D15-IF(Skills!E15=TRUE,Inputs!$B$32,0))),0)</f>
        <v/>
      </c>
      <c r="R1606">
        <f>IF(AND(Inputs!$B$39&lt;&gt;"pvp",Inputs!$B$44&gt;0),IF(Inputs!$B$44&lt;=0,0,(INT(Inputs!$B$44/IF(Inputs!$B$39="pvp",15,MAX(0.1,Skills!D15-IF(Skills!E15=TRUE,Inputs!$B$32,0))))+1)),0)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IFERROR(1/IF(Inputs!$B$39="pvp",15,MAX(0.1,Skills!D16-IF(Skills!E16=TRUE,Inputs!$B$32,0))),0)</f>
        <v/>
      </c>
      <c r="R1607">
        <f>IF(AND(Inputs!$B$39&lt;&gt;"pvp",Inputs!$B$44&gt;0),IF(Inputs!$B$44&lt;=0,0,(INT(Inputs!$B$44/IF(Inputs!$B$39="pvp",15,MAX(0.1,Skills!D16-IF(Skills!E16=TRUE,Inputs!$B$32,0))))+1)),0)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IFERROR(1/IF(Inputs!$B$39="pvp",15,MAX(0.1,Skills!D19-IF(Skills!E19=TRUE,Inputs!$B$32,0))),0)</f>
        <v/>
      </c>
      <c r="R1610">
        <f>IF(AND(Inputs!$B$39&lt;&gt;"pvp",Inputs!$B$44&gt;0),IF(Inputs!$B$44&lt;=0,0,(INT(Inputs!$B$44/IF(Inputs!$B$39="pvp",15,MAX(0.1,Skills!D19-IF(Skills!E19=TRUE,Inputs!$B$32,0))))+1)),0)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IFERROR(1/IF(Inputs!$B$39="pvp",15,MAX(0.1,Skills!D20-IF(Skills!E20=TRUE,Inputs!$B$32,0))),0)</f>
        <v/>
      </c>
      <c r="R1611">
        <f>IF(AND(Inputs!$B$39&lt;&gt;"pvp",Inputs!$B$44&gt;0),IF(Inputs!$B$44&lt;=0,0,(INT(Inputs!$B$44/IF(Inputs!$B$39="pvp",15,MAX(0.1,Skills!D20-IF(Skills!E20=TRUE,Inputs!$B$32,0))))+1)),0)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IFERROR(1/IF(Inputs!$B$39="pvp",15,MAX(0.1,Skills!D21-IF(Skills!E21=TRUE,Inputs!$B$32,0))),0)</f>
        <v/>
      </c>
      <c r="R1612">
        <f>IF(AND(Inputs!$B$39&lt;&gt;"pvp",Inputs!$B$44&gt;0),IF(Inputs!$B$44&lt;=0,0,(INT(Inputs!$B$44/IF(Inputs!$B$39="pvp",15,MAX(0.1,Skills!D21-IF(Skills!E21=TRUE,Inputs!$B$32,0))))+1)),0)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Skills!Y19*(1+Inputs!$B$34/100))+MIN((Skills!Y19*(1+Inputs!$B$34/100)),MAX(0,Inputs!$B$44-((R1610-1)*Skills!D19))))/Inputs!$B$44),IF(Inputs!$B$39="pvp",MIN((Skills!Y19*(1+Inputs!$B$34/100)),15)/15,(Skills!Y19*(1+Inputs!$B$34/100))/Skills!D19)))/150)))/100</f>
        <v/>
      </c>
    </row>
    <row r="1625">
      <c r="A1625" t="inlineStr">
        <is>
          <t>Alchemic Adrenaline Uptime</t>
        </is>
      </c>
      <c r="B1625">
        <f>(Skills!Y6*(1+Inputs!$B$34/100))/((Skills!Y6*(1+Inputs!$B$34/100))+(5/B1624))</f>
        <v/>
      </c>
    </row>
    <row r="1626">
      <c r="A1626" t="inlineStr">
        <is>
          <t>Attack Speed Buff Bonus %</t>
        </is>
      </c>
      <c r="B1626">
        <f>((C1610=TRUE)*F1610*IF(AND(Inputs!$B$39&lt;&gt;"pvp",Inputs!$B$44&gt;0),(((R1610-1)*(Skills!Y19*(1+Inputs!$B$34/100))+MIN((Skills!Y19*(1+Inputs!$B$34/100)),MAX(0,Inputs!$B$44-((R1610-1)*Skills!D19))))/Inputs!$B$44),IF(Inputs!$B$39="pvp",MIN((Skills!Y19*(1+Inputs!$B$34/100)),15)/15,(Skills!Y19*(1+Inputs!$B$34/100))/Skills!D19)))+((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f>
        <v/>
      </c>
    </row>
    <row r="1631">
      <c r="A1631" t="inlineStr">
        <is>
          <t>Global Crit Rate Bonus %</t>
        </is>
      </c>
      <c r="B1631">
        <f>IF(Inputs!$B$3&gt;=47,8,0)+((C1611=TRUE)*F1611*IF(AND(Inputs!$B$39&lt;&gt;"pvp",Inputs!$B$44&gt;0),(((R1611-1)*(Skills!Y20*(1+Inputs!$B$34/100))+MIN((Skills!Y20*(1+Inputs!$B$34/100)),MAX(0,Inputs!$B$44-((R1611-1)*Skills!D20))))/Inputs!$B$44),IF(Inputs!$B$39="pvp",MIN((Skills!Y20*(1+Inputs!$B$34/100)),15)/15,(Skills!Y20*(1+Inputs!$B$34/100))/Skills!D20)))</f>
        <v/>
      </c>
    </row>
    <row r="1632">
      <c r="A1632" t="inlineStr">
        <is>
          <t>Global Monster Damage-Taken Bonus %</t>
        </is>
      </c>
      <c r="B1632">
        <f>IF(Inputs!$B$3&gt;=82,15,0)+((C1607=TRUE)*F1607*IF(AND(Inputs!$B$39&lt;&gt;"pvp",Inputs!$B$44&gt;0),(((R1607-1)*(Skills!Y16*(1+Inputs!$B$34/100))+MIN((Skills!Y16*(1+Inputs!$B$34/100)),MAX(0,Inputs!$B$44-((R1607-1)*Skills!D16))))/Inputs!$B$44),IF(Inputs!$B$39="pvp",MIN((Skills!Y16*(1+Inputs!$B$34/100)),15)/15,(Skills!Y16*(1+Inputs!$B$34/100))/Skills!D16)))</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Skills!Y16*(1+Inputs!$B$34/100))+MIN((Skills!Y16*(1+Inputs!$B$34/100)),MAX(0,Inputs!$B$44-((R1607-1)*Skills!D16))))/Inputs!$B$44),IF(Inputs!$B$39="pvp",MIN((Skills!Y16*(1+Inputs!$B$34/100)),15)/15,(Skills!Y16*(1+Inputs!$B$34/100))/Skills!D16))</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IFERROR(1/IF(Inputs!$B$39="pvp",15,MAX(0.1,Skills!D3-IF(Skills!E3=TRUE,Inputs!$B$32,0))),0)</f>
        <v/>
      </c>
      <c r="R1643">
        <f>IF(AND(Inputs!$B$39&lt;&gt;"pvp",Inputs!$B$44&gt;0),IF(MAX(0,Inputs!$B$44-B1685)&lt;=0,0,(INT(MAX(0,Inputs!$B$44-B1685)/IF(Inputs!$B$39="pvp",15,MAX(0.1,Skills!D3-IF(Skills!E3=TRUE,Inputs!$B$32,0))))+1)),0)</f>
        <v/>
      </c>
      <c r="S1643">
        <f>IFERROR(O1643/N1643,0)</f>
        <v/>
      </c>
      <c r="T1643">
        <f>IF(C1643,(H1643*N1643*IF(AND(Inputs!$B$39&lt;&gt;"pvp",Inputs!$B$44&gt;0),((Skills!G3*((R1643-1)*IF(Skills!H3&gt;0,Skills!I3/Skills!H3,1)+IF(Skills!H3&gt;0,MIN(Skills!I3,MAX(0,MAX(0,Inputs!$B$44-B1685)-((R1643-1)*IF(Inputs!$B$39="pvp",15,MAX(0.1,Skills!D3-IF(Skills!E3=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Skills!E3=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Inputs!$B$3&gt;=40</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IFERROR(1/IF(Inputs!$B$39="pvp",15,MAX(0.1,Skills!D4-IF(Skills!E4=TRUE,Inputs!$B$32,0))),0)</f>
        <v/>
      </c>
      <c r="R1644">
        <f>IF(AND(Inputs!$B$39&lt;&gt;"pvp",Inputs!$B$44&gt;0),IF(MAX(0,Inputs!$B$44-B1685)&lt;=0,0,(INT(MAX(0,Inputs!$B$44-B1685)/IF(Inputs!$B$39="pvp",15,MAX(0.1,Skills!D4-IF(Skills!E4=TRUE,Inputs!$B$32,0))))+1)),0)</f>
        <v/>
      </c>
      <c r="S1644">
        <f>IFERROR(O1644/N1644,0)</f>
        <v/>
      </c>
      <c r="T1644">
        <f>IF(C1644,(H1644*N1644*IF(AND(Inputs!$B$39&lt;&gt;"pvp",Inputs!$B$44&gt;0),((Skills!G4*((R1644-1)*IF(Skills!H4&gt;0,Skills!I4/Skills!H4,1)+IF(Skills!H4&gt;0,MIN(Skills!I4,MAX(0,MAX(0,Inputs!$B$44-B1685)-((R1644-1)*IF(Inputs!$B$39="pvp",15,MAX(0.1,Skills!D4-IF(Skills!E4=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Skills!E4=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IFERROR(1/IF(Inputs!$B$39="pvp",15,MAX(0.1,Skills!D5-IF(Skills!E5=TRUE,Inputs!$B$32,0))),0)</f>
        <v/>
      </c>
      <c r="R1645">
        <f>IF(AND(Inputs!$B$39&lt;&gt;"pvp",Inputs!$B$44&gt;0),IF(MAX(0,Inputs!$B$44-B1685)&lt;=0,0,(INT(MAX(0,Inputs!$B$44-B1685)/IF(Inputs!$B$39="pvp",15,MAX(0.1,Skills!D5-IF(Skills!E5=TRUE,Inputs!$B$32,0))))+1)),0)</f>
        <v/>
      </c>
      <c r="S1645">
        <f>IFERROR(O1645/N1645,0)</f>
        <v/>
      </c>
      <c r="T1645">
        <f>IF(C1645,(H1645*N1645*IF(AND(Inputs!$B$39&lt;&gt;"pvp",Inputs!$B$44&gt;0),((Skills!G5*((R1645-1)*IF(Skills!H5&gt;0,Skills!I5/Skills!H5,1)+IF(Skills!H5&gt;0,MIN(Skills!I5,MAX(0,MAX(0,Inputs!$B$44-B1685)-((R1645-1)*IF(Inputs!$B$39="pvp",15,MAX(0.1,Skills!D5-IF(Skills!E5=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Skills!E5=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IFERROR(1/IF(Inputs!$B$39="pvp",15,MAX(0.1,Skills!D8-IF(Skills!E8=TRUE,Inputs!$B$32,0))),0)</f>
        <v/>
      </c>
      <c r="R1648">
        <f>IF(AND(Inputs!$B$39&lt;&gt;"pvp",Inputs!$B$44&gt;0),IF(MAX(0,Inputs!$B$44-B1685)&lt;=0,0,(INT(MAX(0,Inputs!$B$44-B1685)/IF(Inputs!$B$39="pvp",15,MAX(0.1,Skills!D8-IF(Skills!E8=TRUE,Inputs!$B$32,0))))+1)),0)</f>
        <v/>
      </c>
      <c r="S1648">
        <f>IFERROR(O1648/N1648,0)</f>
        <v/>
      </c>
      <c r="T1648">
        <f>IF(C1648,(H1648*N1648*IF(AND(Inputs!$B$39&lt;&gt;"pvp",Inputs!$B$44&gt;0),((Skills!G8*((R1648-1)*IF(Skills!H8&gt;0,Skills!I8/Skills!H8,1)+IF(Skills!H8&gt;0,MIN(Skills!I8,MAX(0,MAX(0,Inputs!$B$44-B1685)-((R1648-1)*IF(Inputs!$B$39="pvp",15,MAX(0.1,Skills!D8-IF(Skills!E8=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Skills!E8=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Inputs!$B$3&gt;=72</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IFERROR(1/IF(Inputs!$B$39="pvp",15,MAX(0.1,Skills!D9-IF(Skills!E9=TRUE,Inputs!$B$32,0))),0)</f>
        <v/>
      </c>
      <c r="R1649">
        <f>IF(AND(Inputs!$B$39&lt;&gt;"pvp",Inputs!$B$44&gt;0),IF(MAX(0,Inputs!$B$44-B1685)&lt;=0,0,(INT(MAX(0,Inputs!$B$44-B1685)/IF(Inputs!$B$39="pvp",15,MAX(0.1,Skills!D9-IF(Skills!E9=TRUE,Inputs!$B$32,0))))+1)),0)</f>
        <v/>
      </c>
      <c r="S1649">
        <f>IFERROR(O1649/N1649,0)</f>
        <v/>
      </c>
      <c r="T1649">
        <f>IF(C1649,(H1649*N1649*IF(AND(Inputs!$B$39&lt;&gt;"pvp",Inputs!$B$44&gt;0),((Skills!G9*((R1649-1)*IF(Skills!H9&gt;0,Skills!I9/Skills!H9,1)+IF(Skills!H9&gt;0,MIN(Skills!I9,MAX(0,MAX(0,Inputs!$B$44-B1685)-((R1649-1)*IF(Inputs!$B$39="pvp",15,MAX(0.1,Skills!D9-IF(Skills!E9=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Skills!E9=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IFERROR(1/IF(Inputs!$B$39="pvp",15,MAX(0.1,Skills!D12-IF(Skills!E12=TRUE,Inputs!$B$32,0))),0)</f>
        <v/>
      </c>
      <c r="R1652">
        <f>IF(AND(Inputs!$B$39&lt;&gt;"pvp",Inputs!$B$44&gt;0),IF(MAX(0,Inputs!$B$44-B1685)&lt;=0,0,(INT(MAX(0,Inputs!$B$44-B1685)/IF(Inputs!$B$39="pvp",15,MAX(0.1,Skills!D12-IF(Skills!E12=TRUE,Inputs!$B$32,0))))+1)),0)</f>
        <v/>
      </c>
      <c r="S1652">
        <f>IFERROR(O1652/N1652,0)</f>
        <v/>
      </c>
      <c r="T1652">
        <f>IF(C1652,(H1652*N1652*IF(AND(Inputs!$B$39&lt;&gt;"pvp",Inputs!$B$44&gt;0),((Skills!G12*((R1652-1)*IF(Skills!H12&gt;0,Skills!I12/Skills!H12,1)+IF(Skills!H12&gt;0,MIN(Skills!I12,MAX(0,MAX(0,Inputs!$B$44-B1685)-((R1652-1)*IF(Inputs!$B$39="pvp",15,MAX(0.1,Skills!D12-IF(Skills!E12=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Skills!E12=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IFERROR(1/IF(Inputs!$B$39="pvp",15,MAX(0.1,Skills!D13-IF(Skills!E13=TRUE,Inputs!$B$32,0))),0)</f>
        <v/>
      </c>
      <c r="R1653">
        <f>IF(AND(Inputs!$B$39&lt;&gt;"pvp",Inputs!$B$44&gt;0),IF(MAX(0,Inputs!$B$44-B1685)&lt;=0,0,(INT(MAX(0,Inputs!$B$44-B1685)/IF(Inputs!$B$39="pvp",15,MAX(0.1,Skills!D13-IF(Skills!E13=TRUE,Inputs!$B$32,0))))+1)),0)</f>
        <v/>
      </c>
      <c r="S1653">
        <f>IFERROR(O1653/N1653,0)</f>
        <v/>
      </c>
      <c r="T1653">
        <f>IF(C1653,(H1653*N1653*IF(AND(Inputs!$B$39&lt;&gt;"pvp",Inputs!$B$44&gt;0),((Skills!G13*((R1653-1)*IF(Skills!H13&gt;0,Skills!I13/Skills!H13,1)+IF(Skills!H13&gt;0,MIN(Skills!I13,MAX(0,MAX(0,Inputs!$B$44-B1685)-((R1653-1)*IF(Inputs!$B$39="pvp",15,MAX(0.1,Skills!D13-IF(Skills!E13=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Skills!E13=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IFERROR(1/IF(Inputs!$B$39="pvp",15,MAX(0.1,Skills!D14-IF(Skills!E14=TRUE,Inputs!$B$32,0))),0)</f>
        <v/>
      </c>
      <c r="R1654">
        <f>IF(AND(Inputs!$B$39&lt;&gt;"pvp",Inputs!$B$44&gt;0),IF(MAX(0,Inputs!$B$44-B1685)&lt;=0,0,(INT(MAX(0,Inputs!$B$44-B1685)/IF(Inputs!$B$39="pvp",15,MAX(0.1,Skills!D14-IF(Skills!E14=TRUE,Inputs!$B$32,0))))+1)),0)</f>
        <v/>
      </c>
      <c r="S1654">
        <f>IFERROR(O1654/N1654,0)</f>
        <v/>
      </c>
      <c r="T1654">
        <f>IF(C1654,(H1654*N1654*IF(AND(Inputs!$B$39&lt;&gt;"pvp",Inputs!$B$44&gt;0),((Skills!G14*((R1654-1)*IF(Skills!H14&gt;0,Skills!I14/Skills!H14,1)+IF(Skills!H14&gt;0,MIN(Skills!I14,MAX(0,MAX(0,Inputs!$B$44-B1685)-((R1654-1)*IF(Inputs!$B$39="pvp",15,MAX(0.1,Skills!D14-IF(Skills!E14=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Skills!E14=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IFERROR(1/IF(Inputs!$B$39="pvp",15,MAX(0.1,Skills!D15-IF(Skills!E15=TRUE,Inputs!$B$32,0))),0)</f>
        <v/>
      </c>
      <c r="R1655">
        <f>IF(AND(Inputs!$B$39&lt;&gt;"pvp",Inputs!$B$44&gt;0),IF(Inputs!$B$44&lt;=0,0,(INT(Inputs!$B$44/IF(Inputs!$B$39="pvp",15,MAX(0.1,Skills!D15-IF(Skills!E15=TRUE,Inputs!$B$32,0))))+1)),0)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IFERROR(1/IF(Inputs!$B$39="pvp",15,MAX(0.1,Skills!D16-IF(Skills!E16=TRUE,Inputs!$B$32,0))),0)</f>
        <v/>
      </c>
      <c r="R1656">
        <f>IF(AND(Inputs!$B$39&lt;&gt;"pvp",Inputs!$B$44&gt;0),IF(Inputs!$B$44&lt;=0,0,(INT(Inputs!$B$44/IF(Inputs!$B$39="pvp",15,MAX(0.1,Skills!D16-IF(Skills!E16=TRUE,Inputs!$B$32,0))))+1)),0)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IFERROR(1/IF(Inputs!$B$39="pvp",15,MAX(0.1,Skills!D19-IF(Skills!E19=TRUE,Inputs!$B$32,0))),0)</f>
        <v/>
      </c>
      <c r="R1659">
        <f>IF(AND(Inputs!$B$39&lt;&gt;"pvp",Inputs!$B$44&gt;0),IF(Inputs!$B$44&lt;=0,0,(INT(Inputs!$B$44/IF(Inputs!$B$39="pvp",15,MAX(0.1,Skills!D19-IF(Skills!E19=TRUE,Inputs!$B$32,0))))+1)),0)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IFERROR(1/IF(Inputs!$B$39="pvp",15,MAX(0.1,Skills!D20-IF(Skills!E20=TRUE,Inputs!$B$32,0))),0)</f>
        <v/>
      </c>
      <c r="R1660">
        <f>IF(AND(Inputs!$B$39&lt;&gt;"pvp",Inputs!$B$44&gt;0),IF(Inputs!$B$44&lt;=0,0,(INT(Inputs!$B$44/IF(Inputs!$B$39="pvp",15,MAX(0.1,Skills!D20-IF(Skills!E20=TRUE,Inputs!$B$32,0))))+1)),0)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IFERROR(1/IF(Inputs!$B$39="pvp",15,MAX(0.1,Skills!D21-IF(Skills!E21=TRUE,Inputs!$B$32,0))),0)</f>
        <v/>
      </c>
      <c r="R1661">
        <f>IF(AND(Inputs!$B$39&lt;&gt;"pvp",Inputs!$B$44&gt;0),IF(Inputs!$B$44&lt;=0,0,(INT(Inputs!$B$44/IF(Inputs!$B$39="pvp",15,MAX(0.1,Skills!D21-IF(Skills!E21=TRUE,Inputs!$B$32,0))))+1)),0)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Skills!Y19*(1+Inputs!$B$34/100))+MIN((Skills!Y19*(1+Inputs!$B$34/100)),MAX(0,Inputs!$B$44-((R1659-1)*Skills!D19))))/Inputs!$B$44),IF(Inputs!$B$39="pvp",MIN((Skills!Y19*(1+Inputs!$B$34/100)),15)/15,(Skills!Y19*(1+Inputs!$B$34/100))/Skills!D19)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Skills!Y19*(1+Inputs!$B$34/100))+MIN((Skills!Y19*(1+Inputs!$B$34/100)),MAX(0,Inputs!$B$44-((R1659-1)*Skills!D19))))/Inputs!$B$44),IF(Inputs!$B$39="pvp",MIN((Skills!Y19*(1+Inputs!$B$34/100)),15)/15,(Skills!Y19*(1+Inputs!$B$34/100))/Skills!D19)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f>
        <v/>
      </c>
    </row>
    <row r="1680">
      <c r="A1680" t="inlineStr">
        <is>
          <t>Global Crit Rate Bonus %</t>
        </is>
      </c>
      <c r="B1680">
        <f>IF(Inputs!$B$3&gt;=47,8,0)+((C1660=TRUE)*F1660*IF(AND(Inputs!$B$39&lt;&gt;"pvp",Inputs!$B$44&gt;0),(((R1660-1)*(Skills!Y20*(1+Inputs!$B$34/100))+MIN((Skills!Y20*(1+Inputs!$B$34/100)),MAX(0,Inputs!$B$44-((R1660-1)*Skills!D20))))/Inputs!$B$44),IF(Inputs!$B$39="pvp",MIN((Skills!Y20*(1+Inputs!$B$34/100)),15)/15,(Skills!Y20*(1+Inputs!$B$34/100))/Skills!D20)))</f>
        <v/>
      </c>
    </row>
    <row r="1681">
      <c r="A1681" t="inlineStr">
        <is>
          <t>Global Monster Damage-Taken Bonus %</t>
        </is>
      </c>
      <c r="B1681">
        <f>IF(Inputs!$B$3&gt;=82,15,0)+((C1656=TRUE)*F1656*IF(AND(Inputs!$B$39&lt;&gt;"pvp",Inputs!$B$44&gt;0),(((R1656-1)*(Skills!Y16*(1+Inputs!$B$34/100))+MIN((Skills!Y16*(1+Inputs!$B$34/100)),MAX(0,Inputs!$B$44-((R1656-1)*Skills!D16))))/Inputs!$B$44),IF(Inputs!$B$39="pvp",MIN((Skills!Y16*(1+Inputs!$B$34/100)),15)/15,(Skills!Y16*(1+Inputs!$B$34/100))/Skills!D16)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Skills!Y16*(1+Inputs!$B$34/100))+MIN((Skills!Y16*(1+Inputs!$B$34/100)),MAX(0,Inputs!$B$44-((R1656-1)*Skills!D16))))/Inputs!$B$44),IF(Inputs!$B$39="pvp",MIN((Skills!Y16*(1+Inputs!$B$34/100)),15)/15,(Skills!Y16*(1+Inputs!$B$34/100))/Skills!D16)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IFERROR(1/IF(Inputs!$B$39="pvp",15,MAX(0.1,Skills!D3-IF(Skills!E3=TRUE,Inputs!$B$32,0))),0)</f>
        <v/>
      </c>
      <c r="R1692">
        <f>IF(AND(Inputs!$B$39&lt;&gt;"pvp",Inputs!$B$44&gt;0),IF(MAX(0,Inputs!$B$44-B1734)&lt;=0,0,(INT(MAX(0,Inputs!$B$44-B1734)/IF(Inputs!$B$39="pvp",15,MAX(0.1,Skills!D3-IF(Skills!E3=TRUE,Inputs!$B$32,0))))+1)),0)</f>
        <v/>
      </c>
      <c r="S1692">
        <f>IFERROR(O1692/N1692,0)</f>
        <v/>
      </c>
      <c r="T1692">
        <f>IF(C1692,(H1692*N1692*IF(AND(Inputs!$B$39&lt;&gt;"pvp",Inputs!$B$44&gt;0),((Skills!G3*((R1692-1)*IF(Skills!H3&gt;0,Skills!I3/Skills!H3,1)+IF(Skills!H3&gt;0,MIN(Skills!I3,MAX(0,MAX(0,Inputs!$B$44-B1734)-((R1692-1)*IF(Inputs!$B$39="pvp",15,MAX(0.1,Skills!D3-IF(Skills!E3=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Skills!E3=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Inputs!$B$3&gt;=40</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IFERROR(1/IF(Inputs!$B$39="pvp",15,MAX(0.1,Skills!D4-IF(Skills!E4=TRUE,Inputs!$B$32,0))),0)</f>
        <v/>
      </c>
      <c r="R1693">
        <f>IF(AND(Inputs!$B$39&lt;&gt;"pvp",Inputs!$B$44&gt;0),IF(MAX(0,Inputs!$B$44-B1734)&lt;=0,0,(INT(MAX(0,Inputs!$B$44-B1734)/IF(Inputs!$B$39="pvp",15,MAX(0.1,Skills!D4-IF(Skills!E4=TRUE,Inputs!$B$32,0))))+1)),0)</f>
        <v/>
      </c>
      <c r="S1693">
        <f>IFERROR(O1693/N1693,0)</f>
        <v/>
      </c>
      <c r="T1693">
        <f>IF(C1693,(H1693*N1693*IF(AND(Inputs!$B$39&lt;&gt;"pvp",Inputs!$B$44&gt;0),((Skills!G4*((R1693-1)*IF(Skills!H4&gt;0,Skills!I4/Skills!H4,1)+IF(Skills!H4&gt;0,MIN(Skills!I4,MAX(0,MAX(0,Inputs!$B$44-B1734)-((R1693-1)*IF(Inputs!$B$39="pvp",15,MAX(0.1,Skills!D4-IF(Skills!E4=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Skills!E4=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IFERROR(1/IF(Inputs!$B$39="pvp",15,MAX(0.1,Skills!D5-IF(Skills!E5=TRUE,Inputs!$B$32,0))),0)</f>
        <v/>
      </c>
      <c r="R1694">
        <f>IF(AND(Inputs!$B$39&lt;&gt;"pvp",Inputs!$B$44&gt;0),IF(MAX(0,Inputs!$B$44-B1734)&lt;=0,0,(INT(MAX(0,Inputs!$B$44-B1734)/IF(Inputs!$B$39="pvp",15,MAX(0.1,Skills!D5-IF(Skills!E5=TRUE,Inputs!$B$32,0))))+1)),0)</f>
        <v/>
      </c>
      <c r="S1694">
        <f>IFERROR(O1694/N1694,0)</f>
        <v/>
      </c>
      <c r="T1694">
        <f>IF(C1694,(H1694*N1694*IF(AND(Inputs!$B$39&lt;&gt;"pvp",Inputs!$B$44&gt;0),((Skills!G5*((R1694-1)*IF(Skills!H5&gt;0,Skills!I5/Skills!H5,1)+IF(Skills!H5&gt;0,MIN(Skills!I5,MAX(0,MAX(0,Inputs!$B$44-B1734)-((R1694-1)*IF(Inputs!$B$39="pvp",15,MAX(0.1,Skills!D5-IF(Skills!E5=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Skills!E5=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IFERROR(1/IF(Inputs!$B$39="pvp",15,MAX(0.1,Skills!D8-IF(Skills!E8=TRUE,Inputs!$B$32,0))),0)</f>
        <v/>
      </c>
      <c r="R1697">
        <f>IF(AND(Inputs!$B$39&lt;&gt;"pvp",Inputs!$B$44&gt;0),IF(MAX(0,Inputs!$B$44-B1734)&lt;=0,0,(INT(MAX(0,Inputs!$B$44-B1734)/IF(Inputs!$B$39="pvp",15,MAX(0.1,Skills!D8-IF(Skills!E8=TRUE,Inputs!$B$32,0))))+1)),0)</f>
        <v/>
      </c>
      <c r="S1697">
        <f>IFERROR(O1697/N1697,0)</f>
        <v/>
      </c>
      <c r="T1697">
        <f>IF(C1697,(H1697*N1697*IF(AND(Inputs!$B$39&lt;&gt;"pvp",Inputs!$B$44&gt;0),((Skills!G8*((R1697-1)*IF(Skills!H8&gt;0,Skills!I8/Skills!H8,1)+IF(Skills!H8&gt;0,MIN(Skills!I8,MAX(0,MAX(0,Inputs!$B$44-B1734)-((R1697-1)*IF(Inputs!$B$39="pvp",15,MAX(0.1,Skills!D8-IF(Skills!E8=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Skills!E8=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Inputs!$B$3&gt;=72</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IFERROR(1/IF(Inputs!$B$39="pvp",15,MAX(0.1,Skills!D9-IF(Skills!E9=TRUE,Inputs!$B$32,0))),0)</f>
        <v/>
      </c>
      <c r="R1698">
        <f>IF(AND(Inputs!$B$39&lt;&gt;"pvp",Inputs!$B$44&gt;0),IF(MAX(0,Inputs!$B$44-B1734)&lt;=0,0,(INT(MAX(0,Inputs!$B$44-B1734)/IF(Inputs!$B$39="pvp",15,MAX(0.1,Skills!D9-IF(Skills!E9=TRUE,Inputs!$B$32,0))))+1)),0)</f>
        <v/>
      </c>
      <c r="S1698">
        <f>IFERROR(O1698/N1698,0)</f>
        <v/>
      </c>
      <c r="T1698">
        <f>IF(C1698,(H1698*N1698*IF(AND(Inputs!$B$39&lt;&gt;"pvp",Inputs!$B$44&gt;0),((Skills!G9*((R1698-1)*IF(Skills!H9&gt;0,Skills!I9/Skills!H9,1)+IF(Skills!H9&gt;0,MIN(Skills!I9,MAX(0,MAX(0,Inputs!$B$44-B1734)-((R1698-1)*IF(Inputs!$B$39="pvp",15,MAX(0.1,Skills!D9-IF(Skills!E9=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Skills!E9=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IFERROR(1/IF(Inputs!$B$39="pvp",15,MAX(0.1,Skills!D12-IF(Skills!E12=TRUE,Inputs!$B$32,0))),0)</f>
        <v/>
      </c>
      <c r="R1701">
        <f>IF(AND(Inputs!$B$39&lt;&gt;"pvp",Inputs!$B$44&gt;0),IF(MAX(0,Inputs!$B$44-B1734)&lt;=0,0,(INT(MAX(0,Inputs!$B$44-B1734)/IF(Inputs!$B$39="pvp",15,MAX(0.1,Skills!D12-IF(Skills!E12=TRUE,Inputs!$B$32,0))))+1)),0)</f>
        <v/>
      </c>
      <c r="S1701">
        <f>IFERROR(O1701/N1701,0)</f>
        <v/>
      </c>
      <c r="T1701">
        <f>IF(C1701,(H1701*N1701*IF(AND(Inputs!$B$39&lt;&gt;"pvp",Inputs!$B$44&gt;0),((Skills!G12*((R1701-1)*IF(Skills!H12&gt;0,Skills!I12/Skills!H12,1)+IF(Skills!H12&gt;0,MIN(Skills!I12,MAX(0,MAX(0,Inputs!$B$44-B1734)-((R1701-1)*IF(Inputs!$B$39="pvp",15,MAX(0.1,Skills!D12-IF(Skills!E12=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Skills!E12=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IFERROR(1/IF(Inputs!$B$39="pvp",15,MAX(0.1,Skills!D13-IF(Skills!E13=TRUE,Inputs!$B$32,0))),0)</f>
        <v/>
      </c>
      <c r="R1702">
        <f>IF(AND(Inputs!$B$39&lt;&gt;"pvp",Inputs!$B$44&gt;0),IF(MAX(0,Inputs!$B$44-B1734)&lt;=0,0,(INT(MAX(0,Inputs!$B$44-B1734)/IF(Inputs!$B$39="pvp",15,MAX(0.1,Skills!D13-IF(Skills!E13=TRUE,Inputs!$B$32,0))))+1)),0)</f>
        <v/>
      </c>
      <c r="S1702">
        <f>IFERROR(O1702/N1702,0)</f>
        <v/>
      </c>
      <c r="T1702">
        <f>IF(C1702,(H1702*N1702*IF(AND(Inputs!$B$39&lt;&gt;"pvp",Inputs!$B$44&gt;0),((Skills!G13*((R1702-1)*IF(Skills!H13&gt;0,Skills!I13/Skills!H13,1)+IF(Skills!H13&gt;0,MIN(Skills!I13,MAX(0,MAX(0,Inputs!$B$44-B1734)-((R1702-1)*IF(Inputs!$B$39="pvp",15,MAX(0.1,Skills!D13-IF(Skills!E13=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Skills!E13=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IFERROR(1/IF(Inputs!$B$39="pvp",15,MAX(0.1,Skills!D14-IF(Skills!E14=TRUE,Inputs!$B$32,0))),0)</f>
        <v/>
      </c>
      <c r="R1703">
        <f>IF(AND(Inputs!$B$39&lt;&gt;"pvp",Inputs!$B$44&gt;0),IF(MAX(0,Inputs!$B$44-B1734)&lt;=0,0,(INT(MAX(0,Inputs!$B$44-B1734)/IF(Inputs!$B$39="pvp",15,MAX(0.1,Skills!D14-IF(Skills!E14=TRUE,Inputs!$B$32,0))))+1)),0)</f>
        <v/>
      </c>
      <c r="S1703">
        <f>IFERROR(O1703/N1703,0)</f>
        <v/>
      </c>
      <c r="T1703">
        <f>IF(C1703,(H1703*N1703*IF(AND(Inputs!$B$39&lt;&gt;"pvp",Inputs!$B$44&gt;0),((Skills!G14*((R1703-1)*IF(Skills!H14&gt;0,Skills!I14/Skills!H14,1)+IF(Skills!H14&gt;0,MIN(Skills!I14,MAX(0,MAX(0,Inputs!$B$44-B1734)-((R1703-1)*IF(Inputs!$B$39="pvp",15,MAX(0.1,Skills!D14-IF(Skills!E14=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Skills!E14=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IFERROR(1/IF(Inputs!$B$39="pvp",15,MAX(0.1,Skills!D15-IF(Skills!E15=TRUE,Inputs!$B$32,0))),0)</f>
        <v/>
      </c>
      <c r="R1704">
        <f>IF(AND(Inputs!$B$39&lt;&gt;"pvp",Inputs!$B$44&gt;0),IF(Inputs!$B$44&lt;=0,0,(INT(Inputs!$B$44/IF(Inputs!$B$39="pvp",15,MAX(0.1,Skills!D15-IF(Skills!E15=TRUE,Inputs!$B$32,0))))+1)),0)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IFERROR(1/IF(Inputs!$B$39="pvp",15,MAX(0.1,Skills!D16-IF(Skills!E16=TRUE,Inputs!$B$32,0))),0)</f>
        <v/>
      </c>
      <c r="R1705">
        <f>IF(AND(Inputs!$B$39&lt;&gt;"pvp",Inputs!$B$44&gt;0),IF(Inputs!$B$44&lt;=0,0,(INT(Inputs!$B$44/IF(Inputs!$B$39="pvp",15,MAX(0.1,Skills!D16-IF(Skills!E16=TRUE,Inputs!$B$32,0))))+1)),0)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IFERROR(1/IF(Inputs!$B$39="pvp",15,MAX(0.1,Skills!D19-IF(Skills!E19=TRUE,Inputs!$B$32,0))),0)</f>
        <v/>
      </c>
      <c r="R1708">
        <f>IF(AND(Inputs!$B$39&lt;&gt;"pvp",Inputs!$B$44&gt;0),IF(Inputs!$B$44&lt;=0,0,(INT(Inputs!$B$44/IF(Inputs!$B$39="pvp",15,MAX(0.1,Skills!D19-IF(Skills!E19=TRUE,Inputs!$B$32,0))))+1)),0)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IFERROR(1/IF(Inputs!$B$39="pvp",15,MAX(0.1,Skills!D20-IF(Skills!E20=TRUE,Inputs!$B$32,0))),0)</f>
        <v/>
      </c>
      <c r="R1709">
        <f>IF(AND(Inputs!$B$39&lt;&gt;"pvp",Inputs!$B$44&gt;0),IF(Inputs!$B$44&lt;=0,0,(INT(Inputs!$B$44/IF(Inputs!$B$39="pvp",15,MAX(0.1,Skills!D20-IF(Skills!E20=TRUE,Inputs!$B$32,0))))+1)),0)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IFERROR(1/IF(Inputs!$B$39="pvp",15,MAX(0.1,Skills!D21-IF(Skills!E21=TRUE,Inputs!$B$32,0))),0)</f>
        <v/>
      </c>
      <c r="R1710">
        <f>IF(AND(Inputs!$B$39&lt;&gt;"pvp",Inputs!$B$44&gt;0),IF(Inputs!$B$44&lt;=0,0,(INT(Inputs!$B$44/IF(Inputs!$B$39="pvp",15,MAX(0.1,Skills!D21-IF(Skills!E21=TRUE,Inputs!$B$32,0))))+1)),0)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Skills!Y19*(1+Inputs!$B$34/100))+MIN((Skills!Y19*(1+Inputs!$B$34/100)),MAX(0,Inputs!$B$44-((R1708-1)*Skills!D19))))/Inputs!$B$44),IF(Inputs!$B$39="pvp",MIN((Skills!Y19*(1+Inputs!$B$34/100)),15)/15,(Skills!Y19*(1+Inputs!$B$34/100))/Skills!D19)))/150)))/100</f>
        <v/>
      </c>
    </row>
    <row r="1723">
      <c r="A1723" t="inlineStr">
        <is>
          <t>Alchemic Adrenaline Uptime</t>
        </is>
      </c>
      <c r="B1723">
        <f>(Skills!Y6*(1+Inputs!$B$34/100))/((Skills!Y6*(1+Inputs!$B$34/100))+(5/B1722))</f>
        <v/>
      </c>
    </row>
    <row r="1724">
      <c r="A1724" t="inlineStr">
        <is>
          <t>Attack Speed Buff Bonus %</t>
        </is>
      </c>
      <c r="B1724">
        <f>((C1708=TRUE)*F1708*IF(AND(Inputs!$B$39&lt;&gt;"pvp",Inputs!$B$44&gt;0),(((R1708-1)*(Skills!Y19*(1+Inputs!$B$34/100))+MIN((Skills!Y19*(1+Inputs!$B$34/100)),MAX(0,Inputs!$B$44-((R1708-1)*Skills!D19))))/Inputs!$B$44),IF(Inputs!$B$39="pvp",MIN((Skills!Y19*(1+Inputs!$B$34/100)),15)/15,(Skills!Y19*(1+Inputs!$B$34/100))/Skills!D19)))+((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f>
        <v/>
      </c>
    </row>
    <row r="1729">
      <c r="A1729" t="inlineStr">
        <is>
          <t>Global Crit Rate Bonus %</t>
        </is>
      </c>
      <c r="B1729">
        <f>IF(Inputs!$B$3&gt;=47,8,0)+((C1709=TRUE)*F1709*IF(AND(Inputs!$B$39&lt;&gt;"pvp",Inputs!$B$44&gt;0),(((R1709-1)*(Skills!Y20*(1+Inputs!$B$34/100))+MIN((Skills!Y20*(1+Inputs!$B$34/100)),MAX(0,Inputs!$B$44-((R1709-1)*Skills!D20))))/Inputs!$B$44),IF(Inputs!$B$39="pvp",MIN((Skills!Y20*(1+Inputs!$B$34/100)),15)/15,(Skills!Y20*(1+Inputs!$B$34/100))/Skills!D20)))</f>
        <v/>
      </c>
    </row>
    <row r="1730">
      <c r="A1730" t="inlineStr">
        <is>
          <t>Global Monster Damage-Taken Bonus %</t>
        </is>
      </c>
      <c r="B1730">
        <f>IF(Inputs!$B$3&gt;=82,15,0)+((C1705=TRUE)*F1705*IF(AND(Inputs!$B$39&lt;&gt;"pvp",Inputs!$B$44&gt;0),(((R1705-1)*(Skills!Y16*(1+Inputs!$B$34/100))+MIN((Skills!Y16*(1+Inputs!$B$34/100)),MAX(0,Inputs!$B$44-((R1705-1)*Skills!D16))))/Inputs!$B$44),IF(Inputs!$B$39="pvp",MIN((Skills!Y16*(1+Inputs!$B$34/100)),15)/15,(Skills!Y16*(1+Inputs!$B$34/100))/Skills!D16)))</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Skills!Y16*(1+Inputs!$B$34/100))+MIN((Skills!Y16*(1+Inputs!$B$34/100)),MAX(0,Inputs!$B$44-((R1705-1)*Skills!D16))))/Inputs!$B$44),IF(Inputs!$B$39="pvp",MIN((Skills!Y16*(1+Inputs!$B$34/100)),15)/15,(Skills!Y16*(1+Inputs!$B$34/100))/Skills!D16))</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IFERROR(1/IF(Inputs!$B$39="pvp",15,MAX(0.1,Skills!D3-IF(Skills!E3=TRUE,Inputs!$B$32,0))),0)</f>
        <v/>
      </c>
      <c r="R1741">
        <f>IF(AND(Inputs!$B$39&lt;&gt;"pvp",Inputs!$B$44&gt;0),IF(MAX(0,Inputs!$B$44-B1783)&lt;=0,0,(INT(MAX(0,Inputs!$B$44-B1783)/IF(Inputs!$B$39="pvp",15,MAX(0.1,Skills!D3-IF(Skills!E3=TRUE,Inputs!$B$32,0))))+1)),0)</f>
        <v/>
      </c>
      <c r="S1741">
        <f>IFERROR(O1741/N1741,0)</f>
        <v/>
      </c>
      <c r="T1741">
        <f>IF(C1741,(H1741*N1741*IF(AND(Inputs!$B$39&lt;&gt;"pvp",Inputs!$B$44&gt;0),((Skills!G3*((R1741-1)*IF(Skills!H3&gt;0,Skills!I3/Skills!H3,1)+IF(Skills!H3&gt;0,MIN(Skills!I3,MAX(0,MAX(0,Inputs!$B$44-B1783)-((R1741-1)*IF(Inputs!$B$39="pvp",15,MAX(0.1,Skills!D3-IF(Skills!E3=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Skills!E3=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Inputs!$B$3&gt;=40</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IFERROR(1/IF(Inputs!$B$39="pvp",15,MAX(0.1,Skills!D4-IF(Skills!E4=TRUE,Inputs!$B$32,0))),0)</f>
        <v/>
      </c>
      <c r="R1742">
        <f>IF(AND(Inputs!$B$39&lt;&gt;"pvp",Inputs!$B$44&gt;0),IF(MAX(0,Inputs!$B$44-B1783)&lt;=0,0,(INT(MAX(0,Inputs!$B$44-B1783)/IF(Inputs!$B$39="pvp",15,MAX(0.1,Skills!D4-IF(Skills!E4=TRUE,Inputs!$B$32,0))))+1)),0)</f>
        <v/>
      </c>
      <c r="S1742">
        <f>IFERROR(O1742/N1742,0)</f>
        <v/>
      </c>
      <c r="T1742">
        <f>IF(C1742,(H1742*N1742*IF(AND(Inputs!$B$39&lt;&gt;"pvp",Inputs!$B$44&gt;0),((Skills!G4*((R1742-1)*IF(Skills!H4&gt;0,Skills!I4/Skills!H4,1)+IF(Skills!H4&gt;0,MIN(Skills!I4,MAX(0,MAX(0,Inputs!$B$44-B1783)-((R1742-1)*IF(Inputs!$B$39="pvp",15,MAX(0.1,Skills!D4-IF(Skills!E4=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Skills!E4=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IFERROR(1/IF(Inputs!$B$39="pvp",15,MAX(0.1,Skills!D5-IF(Skills!E5=TRUE,Inputs!$B$32,0))),0)</f>
        <v/>
      </c>
      <c r="R1743">
        <f>IF(AND(Inputs!$B$39&lt;&gt;"pvp",Inputs!$B$44&gt;0),IF(MAX(0,Inputs!$B$44-B1783)&lt;=0,0,(INT(MAX(0,Inputs!$B$44-B1783)/IF(Inputs!$B$39="pvp",15,MAX(0.1,Skills!D5-IF(Skills!E5=TRUE,Inputs!$B$32,0))))+1)),0)</f>
        <v/>
      </c>
      <c r="S1743">
        <f>IFERROR(O1743/N1743,0)</f>
        <v/>
      </c>
      <c r="T1743">
        <f>IF(C1743,(H1743*N1743*IF(AND(Inputs!$B$39&lt;&gt;"pvp",Inputs!$B$44&gt;0),((Skills!G5*((R1743-1)*IF(Skills!H5&gt;0,Skills!I5/Skills!H5,1)+IF(Skills!H5&gt;0,MIN(Skills!I5,MAX(0,MAX(0,Inputs!$B$44-B1783)-((R1743-1)*IF(Inputs!$B$39="pvp",15,MAX(0.1,Skills!D5-IF(Skills!E5=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Skills!E5=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IFERROR(1/IF(Inputs!$B$39="pvp",15,MAX(0.1,Skills!D8-IF(Skills!E8=TRUE,Inputs!$B$32,0))),0)</f>
        <v/>
      </c>
      <c r="R1746">
        <f>IF(AND(Inputs!$B$39&lt;&gt;"pvp",Inputs!$B$44&gt;0),IF(MAX(0,Inputs!$B$44-B1783)&lt;=0,0,(INT(MAX(0,Inputs!$B$44-B1783)/IF(Inputs!$B$39="pvp",15,MAX(0.1,Skills!D8-IF(Skills!E8=TRUE,Inputs!$B$32,0))))+1)),0)</f>
        <v/>
      </c>
      <c r="S1746">
        <f>IFERROR(O1746/N1746,0)</f>
        <v/>
      </c>
      <c r="T1746">
        <f>IF(C1746,(H1746*N1746*IF(AND(Inputs!$B$39&lt;&gt;"pvp",Inputs!$B$44&gt;0),((Skills!G8*((R1746-1)*IF(Skills!H8&gt;0,Skills!I8/Skills!H8,1)+IF(Skills!H8&gt;0,MIN(Skills!I8,MAX(0,MAX(0,Inputs!$B$44-B1783)-((R1746-1)*IF(Inputs!$B$39="pvp",15,MAX(0.1,Skills!D8-IF(Skills!E8=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Skills!E8=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Inputs!$B$3&gt;=72</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IFERROR(1/IF(Inputs!$B$39="pvp",15,MAX(0.1,Skills!D9-IF(Skills!E9=TRUE,Inputs!$B$32,0))),0)</f>
        <v/>
      </c>
      <c r="R1747">
        <f>IF(AND(Inputs!$B$39&lt;&gt;"pvp",Inputs!$B$44&gt;0),IF(MAX(0,Inputs!$B$44-B1783)&lt;=0,0,(INT(MAX(0,Inputs!$B$44-B1783)/IF(Inputs!$B$39="pvp",15,MAX(0.1,Skills!D9-IF(Skills!E9=TRUE,Inputs!$B$32,0))))+1)),0)</f>
        <v/>
      </c>
      <c r="S1747">
        <f>IFERROR(O1747/N1747,0)</f>
        <v/>
      </c>
      <c r="T1747">
        <f>IF(C1747,(H1747*N1747*IF(AND(Inputs!$B$39&lt;&gt;"pvp",Inputs!$B$44&gt;0),((Skills!G9*((R1747-1)*IF(Skills!H9&gt;0,Skills!I9/Skills!H9,1)+IF(Skills!H9&gt;0,MIN(Skills!I9,MAX(0,MAX(0,Inputs!$B$44-B1783)-((R1747-1)*IF(Inputs!$B$39="pvp",15,MAX(0.1,Skills!D9-IF(Skills!E9=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Skills!E9=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IFERROR(1/IF(Inputs!$B$39="pvp",15,MAX(0.1,Skills!D12-IF(Skills!E12=TRUE,Inputs!$B$32,0))),0)</f>
        <v/>
      </c>
      <c r="R1750">
        <f>IF(AND(Inputs!$B$39&lt;&gt;"pvp",Inputs!$B$44&gt;0),IF(MAX(0,Inputs!$B$44-B1783)&lt;=0,0,(INT(MAX(0,Inputs!$B$44-B1783)/IF(Inputs!$B$39="pvp",15,MAX(0.1,Skills!D12-IF(Skills!E12=TRUE,Inputs!$B$32,0))))+1)),0)</f>
        <v/>
      </c>
      <c r="S1750">
        <f>IFERROR(O1750/N1750,0)</f>
        <v/>
      </c>
      <c r="T1750">
        <f>IF(C1750,(H1750*N1750*IF(AND(Inputs!$B$39&lt;&gt;"pvp",Inputs!$B$44&gt;0),((Skills!G12*((R1750-1)*IF(Skills!H12&gt;0,Skills!I12/Skills!H12,1)+IF(Skills!H12&gt;0,MIN(Skills!I12,MAX(0,MAX(0,Inputs!$B$44-B1783)-((R1750-1)*IF(Inputs!$B$39="pvp",15,MAX(0.1,Skills!D12-IF(Skills!E12=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Skills!E12=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IFERROR(1/IF(Inputs!$B$39="pvp",15,MAX(0.1,Skills!D13-IF(Skills!E13=TRUE,Inputs!$B$32,0))),0)</f>
        <v/>
      </c>
      <c r="R1751">
        <f>IF(AND(Inputs!$B$39&lt;&gt;"pvp",Inputs!$B$44&gt;0),IF(MAX(0,Inputs!$B$44-B1783)&lt;=0,0,(INT(MAX(0,Inputs!$B$44-B1783)/IF(Inputs!$B$39="pvp",15,MAX(0.1,Skills!D13-IF(Skills!E13=TRUE,Inputs!$B$32,0))))+1)),0)</f>
        <v/>
      </c>
      <c r="S1751">
        <f>IFERROR(O1751/N1751,0)</f>
        <v/>
      </c>
      <c r="T1751">
        <f>IF(C1751,(H1751*N1751*IF(AND(Inputs!$B$39&lt;&gt;"pvp",Inputs!$B$44&gt;0),((Skills!G13*((R1751-1)*IF(Skills!H13&gt;0,Skills!I13/Skills!H13,1)+IF(Skills!H13&gt;0,MIN(Skills!I13,MAX(0,MAX(0,Inputs!$B$44-B1783)-((R1751-1)*IF(Inputs!$B$39="pvp",15,MAX(0.1,Skills!D13-IF(Skills!E13=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Skills!E13=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IFERROR(1/IF(Inputs!$B$39="pvp",15,MAX(0.1,Skills!D14-IF(Skills!E14=TRUE,Inputs!$B$32,0))),0)</f>
        <v/>
      </c>
      <c r="R1752">
        <f>IF(AND(Inputs!$B$39&lt;&gt;"pvp",Inputs!$B$44&gt;0),IF(MAX(0,Inputs!$B$44-B1783)&lt;=0,0,(INT(MAX(0,Inputs!$B$44-B1783)/IF(Inputs!$B$39="pvp",15,MAX(0.1,Skills!D14-IF(Skills!E14=TRUE,Inputs!$B$32,0))))+1)),0)</f>
        <v/>
      </c>
      <c r="S1752">
        <f>IFERROR(O1752/N1752,0)</f>
        <v/>
      </c>
      <c r="T1752">
        <f>IF(C1752,(H1752*N1752*IF(AND(Inputs!$B$39&lt;&gt;"pvp",Inputs!$B$44&gt;0),((Skills!G14*((R1752-1)*IF(Skills!H14&gt;0,Skills!I14/Skills!H14,1)+IF(Skills!H14&gt;0,MIN(Skills!I14,MAX(0,MAX(0,Inputs!$B$44-B1783)-((R1752-1)*IF(Inputs!$B$39="pvp",15,MAX(0.1,Skills!D14-IF(Skills!E14=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Skills!E14=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IFERROR(1/IF(Inputs!$B$39="pvp",15,MAX(0.1,Skills!D15-IF(Skills!E15=TRUE,Inputs!$B$32,0))),0)</f>
        <v/>
      </c>
      <c r="R1753">
        <f>IF(AND(Inputs!$B$39&lt;&gt;"pvp",Inputs!$B$44&gt;0),IF(Inputs!$B$44&lt;=0,0,(INT(Inputs!$B$44/IF(Inputs!$B$39="pvp",15,MAX(0.1,Skills!D15-IF(Skills!E15=TRUE,Inputs!$B$32,0))))+1)),0)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IFERROR(1/IF(Inputs!$B$39="pvp",15,MAX(0.1,Skills!D16-IF(Skills!E16=TRUE,Inputs!$B$32,0))),0)</f>
        <v/>
      </c>
      <c r="R1754">
        <f>IF(AND(Inputs!$B$39&lt;&gt;"pvp",Inputs!$B$44&gt;0),IF(Inputs!$B$44&lt;=0,0,(INT(Inputs!$B$44/IF(Inputs!$B$39="pvp",15,MAX(0.1,Skills!D16-IF(Skills!E16=TRUE,Inputs!$B$32,0))))+1)),0)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IFERROR(1/IF(Inputs!$B$39="pvp",15,MAX(0.1,Skills!D19-IF(Skills!E19=TRUE,Inputs!$B$32,0))),0)</f>
        <v/>
      </c>
      <c r="R1757">
        <f>IF(AND(Inputs!$B$39&lt;&gt;"pvp",Inputs!$B$44&gt;0),IF(Inputs!$B$44&lt;=0,0,(INT(Inputs!$B$44/IF(Inputs!$B$39="pvp",15,MAX(0.1,Skills!D19-IF(Skills!E19=TRUE,Inputs!$B$32,0))))+1)),0)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IFERROR(1/IF(Inputs!$B$39="pvp",15,MAX(0.1,Skills!D20-IF(Skills!E20=TRUE,Inputs!$B$32,0))),0)</f>
        <v/>
      </c>
      <c r="R1758">
        <f>IF(AND(Inputs!$B$39&lt;&gt;"pvp",Inputs!$B$44&gt;0),IF(Inputs!$B$44&lt;=0,0,(INT(Inputs!$B$44/IF(Inputs!$B$39="pvp",15,MAX(0.1,Skills!D20-IF(Skills!E20=TRUE,Inputs!$B$32,0))))+1)),0)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IFERROR(1/IF(Inputs!$B$39="pvp",15,MAX(0.1,Skills!D21-IF(Skills!E21=TRUE,Inputs!$B$32,0))),0)</f>
        <v/>
      </c>
      <c r="R1759">
        <f>IF(AND(Inputs!$B$39&lt;&gt;"pvp",Inputs!$B$44&gt;0),IF(Inputs!$B$44&lt;=0,0,(INT(Inputs!$B$44/IF(Inputs!$B$39="pvp",15,MAX(0.1,Skills!D21-IF(Skills!E21=TRUE,Inputs!$B$32,0))))+1)),0)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Skills!Y19*(1+Inputs!$B$34/100))+MIN((Skills!Y19*(1+Inputs!$B$34/100)),MAX(0,Inputs!$B$44-((R1757-1)*Skills!D19))))/Inputs!$B$44),IF(Inputs!$B$39="pvp",MIN((Skills!Y19*(1+Inputs!$B$34/100)),15)/15,(Skills!Y19*(1+Inputs!$B$34/100))/Skills!D19)))/150)))/100</f>
        <v/>
      </c>
    </row>
    <row r="1772">
      <c r="A1772" t="inlineStr">
        <is>
          <t>Alchemic Adrenaline Uptime</t>
        </is>
      </c>
      <c r="B1772">
        <f>(Skills!Y6*(1+Inputs!$B$34/100))/((Skills!Y6*(1+Inputs!$B$34/100))+(5/B1771))</f>
        <v/>
      </c>
    </row>
    <row r="1773">
      <c r="A1773" t="inlineStr">
        <is>
          <t>Attack Speed Buff Bonus %</t>
        </is>
      </c>
      <c r="B1773">
        <f>((C1757=TRUE)*F1757*IF(AND(Inputs!$B$39&lt;&gt;"pvp",Inputs!$B$44&gt;0),(((R1757-1)*(Skills!Y19*(1+Inputs!$B$34/100))+MIN((Skills!Y19*(1+Inputs!$B$34/100)),MAX(0,Inputs!$B$44-((R1757-1)*Skills!D19))))/Inputs!$B$44),IF(Inputs!$B$39="pvp",MIN((Skills!Y19*(1+Inputs!$B$34/100)),15)/15,(Skills!Y19*(1+Inputs!$B$34/100))/Skills!D19)))+((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f>
        <v/>
      </c>
    </row>
    <row r="1778">
      <c r="A1778" t="inlineStr">
        <is>
          <t>Global Crit Rate Bonus %</t>
        </is>
      </c>
      <c r="B1778">
        <f>IF(Inputs!$B$3&gt;=47,8,0)+((C1758=TRUE)*F1758*IF(AND(Inputs!$B$39&lt;&gt;"pvp",Inputs!$B$44&gt;0),(((R1758-1)*(Skills!Y20*(1+Inputs!$B$34/100))+MIN((Skills!Y20*(1+Inputs!$B$34/100)),MAX(0,Inputs!$B$44-((R1758-1)*Skills!D20))))/Inputs!$B$44),IF(Inputs!$B$39="pvp",MIN((Skills!Y20*(1+Inputs!$B$34/100)),15)/15,(Skills!Y20*(1+Inputs!$B$34/100))/Skills!D20)))</f>
        <v/>
      </c>
    </row>
    <row r="1779">
      <c r="A1779" t="inlineStr">
        <is>
          <t>Global Monster Damage-Taken Bonus %</t>
        </is>
      </c>
      <c r="B1779">
        <f>IF(Inputs!$B$3&gt;=82,15,0)+((C1754=TRUE)*F1754*IF(AND(Inputs!$B$39&lt;&gt;"pvp",Inputs!$B$44&gt;0),(((R1754-1)*(Skills!Y16*(1+Inputs!$B$34/100))+MIN((Skills!Y16*(1+Inputs!$B$34/100)),MAX(0,Inputs!$B$44-((R1754-1)*Skills!D16))))/Inputs!$B$44),IF(Inputs!$B$39="pvp",MIN((Skills!Y16*(1+Inputs!$B$34/100)),15)/15,(Skills!Y16*(1+Inputs!$B$34/100))/Skills!D16)))</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Skills!Y16*(1+Inputs!$B$34/100))+MIN((Skills!Y16*(1+Inputs!$B$34/100)),MAX(0,Inputs!$B$44-((R1754-1)*Skills!D16))))/Inputs!$B$44),IF(Inputs!$B$39="pvp",MIN((Skills!Y16*(1+Inputs!$B$34/100)),15)/15,(Skills!Y16*(1+Inputs!$B$34/100))/Skills!D16))</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IFERROR(1/IF(Inputs!$B$39="pvp",15,MAX(0.1,Skills!D3-IF(Skills!E3=TRUE,Inputs!$B$32,0))),0)</f>
        <v/>
      </c>
      <c r="R1790">
        <f>IF(AND(Inputs!$B$39&lt;&gt;"pvp",Inputs!$B$44&gt;0),IF(MAX(0,Inputs!$B$44-B1832)&lt;=0,0,(INT(MAX(0,Inputs!$B$44-B1832)/IF(Inputs!$B$39="pvp",15,MAX(0.1,Skills!D3-IF(Skills!E3=TRUE,Inputs!$B$32,0))))+1)),0)</f>
        <v/>
      </c>
      <c r="S1790">
        <f>IFERROR(O1790/N1790,0)</f>
        <v/>
      </c>
      <c r="T1790">
        <f>IF(C1790,(H1790*N1790*IF(AND(Inputs!$B$39&lt;&gt;"pvp",Inputs!$B$44&gt;0),((Skills!G3*((R1790-1)*IF(Skills!H3&gt;0,Skills!I3/Skills!H3,1)+IF(Skills!H3&gt;0,MIN(Skills!I3,MAX(0,MAX(0,Inputs!$B$44-B1832)-((R1790-1)*IF(Inputs!$B$39="pvp",15,MAX(0.1,Skills!D3-IF(Skills!E3=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Skills!E3=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IFERROR(1/IF(Inputs!$B$39="pvp",15,MAX(0.1,Skills!D4-IF(Skills!E4=TRUE,Inputs!$B$32,0))),0)</f>
        <v/>
      </c>
      <c r="R1791">
        <f>IF(AND(Inputs!$B$39&lt;&gt;"pvp",Inputs!$B$44&gt;0),IF(MAX(0,Inputs!$B$44-B1832)&lt;=0,0,(INT(MAX(0,Inputs!$B$44-B1832)/IF(Inputs!$B$39="pvp",15,MAX(0.1,Skills!D4-IF(Skills!E4=TRUE,Inputs!$B$32,0))))+1)),0)</f>
        <v/>
      </c>
      <c r="S1791">
        <f>IFERROR(O1791/N1791,0)</f>
        <v/>
      </c>
      <c r="T1791">
        <f>IF(C1791,(H1791*N1791*IF(AND(Inputs!$B$39&lt;&gt;"pvp",Inputs!$B$44&gt;0),((Skills!G4*((R1791-1)*IF(Skills!H4&gt;0,Skills!I4/Skills!H4,1)+IF(Skills!H4&gt;0,MIN(Skills!I4,MAX(0,MAX(0,Inputs!$B$44-B1832)-((R1791-1)*IF(Inputs!$B$39="pvp",15,MAX(0.1,Skills!D4-IF(Skills!E4=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Skills!E4=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IFERROR(1/IF(Inputs!$B$39="pvp",15,MAX(0.1,Skills!D5-IF(Skills!E5=TRUE,Inputs!$B$32,0))),0)</f>
        <v/>
      </c>
      <c r="R1792">
        <f>IF(AND(Inputs!$B$39&lt;&gt;"pvp",Inputs!$B$44&gt;0),IF(MAX(0,Inputs!$B$44-B1832)&lt;=0,0,(INT(MAX(0,Inputs!$B$44-B1832)/IF(Inputs!$B$39="pvp",15,MAX(0.1,Skills!D5-IF(Skills!E5=TRUE,Inputs!$B$32,0))))+1)),0)</f>
        <v/>
      </c>
      <c r="S1792">
        <f>IFERROR(O1792/N1792,0)</f>
        <v/>
      </c>
      <c r="T1792">
        <f>IF(C1792,(H1792*N1792*IF(AND(Inputs!$B$39&lt;&gt;"pvp",Inputs!$B$44&gt;0),((Skills!G5*((R1792-1)*IF(Skills!H5&gt;0,Skills!I5/Skills!H5,1)+IF(Skills!H5&gt;0,MIN(Skills!I5,MAX(0,MAX(0,Inputs!$B$44-B1832)-((R1792-1)*IF(Inputs!$B$39="pvp",15,MAX(0.1,Skills!D5-IF(Skills!E5=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Skills!E5=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IFERROR(1/IF(Inputs!$B$39="pvp",15,MAX(0.1,Skills!D8-IF(Skills!E8=TRUE,Inputs!$B$32,0))),0)</f>
        <v/>
      </c>
      <c r="R1795">
        <f>IF(AND(Inputs!$B$39&lt;&gt;"pvp",Inputs!$B$44&gt;0),IF(MAX(0,Inputs!$B$44-B1832)&lt;=0,0,(INT(MAX(0,Inputs!$B$44-B1832)/IF(Inputs!$B$39="pvp",15,MAX(0.1,Skills!D8-IF(Skills!E8=TRUE,Inputs!$B$32,0))))+1)),0)</f>
        <v/>
      </c>
      <c r="S1795">
        <f>IFERROR(O1795/N1795,0)</f>
        <v/>
      </c>
      <c r="T1795">
        <f>IF(C1795,(H1795*N1795*IF(AND(Inputs!$B$39&lt;&gt;"pvp",Inputs!$B$44&gt;0),((Skills!G8*((R1795-1)*IF(Skills!H8&gt;0,Skills!I8/Skills!H8,1)+IF(Skills!H8&gt;0,MIN(Skills!I8,MAX(0,MAX(0,Inputs!$B$44-B1832)-((R1795-1)*IF(Inputs!$B$39="pvp",15,MAX(0.1,Skills!D8-IF(Skills!E8=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Skills!E8=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Inputs!$B$3&gt;=72</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IFERROR(1/IF(Inputs!$B$39="pvp",15,MAX(0.1,Skills!D9-IF(Skills!E9=TRUE,Inputs!$B$32,0))),0)</f>
        <v/>
      </c>
      <c r="R1796">
        <f>IF(AND(Inputs!$B$39&lt;&gt;"pvp",Inputs!$B$44&gt;0),IF(MAX(0,Inputs!$B$44-B1832)&lt;=0,0,(INT(MAX(0,Inputs!$B$44-B1832)/IF(Inputs!$B$39="pvp",15,MAX(0.1,Skills!D9-IF(Skills!E9=TRUE,Inputs!$B$32,0))))+1)),0)</f>
        <v/>
      </c>
      <c r="S1796">
        <f>IFERROR(O1796/N1796,0)</f>
        <v/>
      </c>
      <c r="T1796">
        <f>IF(C1796,(H1796*N1796*IF(AND(Inputs!$B$39&lt;&gt;"pvp",Inputs!$B$44&gt;0),((Skills!G9*((R1796-1)*IF(Skills!H9&gt;0,Skills!I9/Skills!H9,1)+IF(Skills!H9&gt;0,MIN(Skills!I9,MAX(0,MAX(0,Inputs!$B$44-B1832)-((R1796-1)*IF(Inputs!$B$39="pvp",15,MAX(0.1,Skills!D9-IF(Skills!E9=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Skills!E9=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IFERROR(1/IF(Inputs!$B$39="pvp",15,MAX(0.1,Skills!D12-IF(Skills!E12=TRUE,Inputs!$B$32,0))),0)</f>
        <v/>
      </c>
      <c r="R1799">
        <f>IF(AND(Inputs!$B$39&lt;&gt;"pvp",Inputs!$B$44&gt;0),IF(MAX(0,Inputs!$B$44-B1832)&lt;=0,0,(INT(MAX(0,Inputs!$B$44-B1832)/IF(Inputs!$B$39="pvp",15,MAX(0.1,Skills!D12-IF(Skills!E12=TRUE,Inputs!$B$32,0))))+1)),0)</f>
        <v/>
      </c>
      <c r="S1799">
        <f>IFERROR(O1799/N1799,0)</f>
        <v/>
      </c>
      <c r="T1799">
        <f>IF(C1799,(H1799*N1799*IF(AND(Inputs!$B$39&lt;&gt;"pvp",Inputs!$B$44&gt;0),((Skills!G12*((R1799-1)*IF(Skills!H12&gt;0,Skills!I12/Skills!H12,1)+IF(Skills!H12&gt;0,MIN(Skills!I12,MAX(0,MAX(0,Inputs!$B$44-B1832)-((R1799-1)*IF(Inputs!$B$39="pvp",15,MAX(0.1,Skills!D12-IF(Skills!E12=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Skills!E12=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IFERROR(1/IF(Inputs!$B$39="pvp",15,MAX(0.1,Skills!D13-IF(Skills!E13=TRUE,Inputs!$B$32,0))),0)</f>
        <v/>
      </c>
      <c r="R1800">
        <f>IF(AND(Inputs!$B$39&lt;&gt;"pvp",Inputs!$B$44&gt;0),IF(MAX(0,Inputs!$B$44-B1832)&lt;=0,0,(INT(MAX(0,Inputs!$B$44-B1832)/IF(Inputs!$B$39="pvp",15,MAX(0.1,Skills!D13-IF(Skills!E13=TRUE,Inputs!$B$32,0))))+1)),0)</f>
        <v/>
      </c>
      <c r="S1800">
        <f>IFERROR(O1800/N1800,0)</f>
        <v/>
      </c>
      <c r="T1800">
        <f>IF(C1800,(H1800*N1800*IF(AND(Inputs!$B$39&lt;&gt;"pvp",Inputs!$B$44&gt;0),((Skills!G13*((R1800-1)*IF(Skills!H13&gt;0,Skills!I13/Skills!H13,1)+IF(Skills!H13&gt;0,MIN(Skills!I13,MAX(0,MAX(0,Inputs!$B$44-B1832)-((R1800-1)*IF(Inputs!$B$39="pvp",15,MAX(0.1,Skills!D13-IF(Skills!E13=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Skills!E13=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IFERROR(1/IF(Inputs!$B$39="pvp",15,MAX(0.1,Skills!D14-IF(Skills!E14=TRUE,Inputs!$B$32,0))),0)</f>
        <v/>
      </c>
      <c r="R1801">
        <f>IF(AND(Inputs!$B$39&lt;&gt;"pvp",Inputs!$B$44&gt;0),IF(MAX(0,Inputs!$B$44-B1832)&lt;=0,0,(INT(MAX(0,Inputs!$B$44-B1832)/IF(Inputs!$B$39="pvp",15,MAX(0.1,Skills!D14-IF(Skills!E14=TRUE,Inputs!$B$32,0))))+1)),0)</f>
        <v/>
      </c>
      <c r="S1801">
        <f>IFERROR(O1801/N1801,0)</f>
        <v/>
      </c>
      <c r="T1801">
        <f>IF(C1801,(H1801*N1801*IF(AND(Inputs!$B$39&lt;&gt;"pvp",Inputs!$B$44&gt;0),((Skills!G14*((R1801-1)*IF(Skills!H14&gt;0,Skills!I14/Skills!H14,1)+IF(Skills!H14&gt;0,MIN(Skills!I14,MAX(0,MAX(0,Inputs!$B$44-B1832)-((R1801-1)*IF(Inputs!$B$39="pvp",15,MAX(0.1,Skills!D14-IF(Skills!E14=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Skills!E14=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IFERROR(1/IF(Inputs!$B$39="pvp",15,MAX(0.1,Skills!D15-IF(Skills!E15=TRUE,Inputs!$B$32,0))),0)</f>
        <v/>
      </c>
      <c r="R1802">
        <f>IF(AND(Inputs!$B$39&lt;&gt;"pvp",Inputs!$B$44&gt;0),IF(Inputs!$B$44&lt;=0,0,(INT(Inputs!$B$44/IF(Inputs!$B$39="pvp",15,MAX(0.1,Skills!D15-IF(Skills!E15=TRUE,Inputs!$B$32,0))))+1)),0)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IFERROR(1/IF(Inputs!$B$39="pvp",15,MAX(0.1,Skills!D16-IF(Skills!E16=TRUE,Inputs!$B$32,0))),0)</f>
        <v/>
      </c>
      <c r="R1803">
        <f>IF(AND(Inputs!$B$39&lt;&gt;"pvp",Inputs!$B$44&gt;0),IF(Inputs!$B$44&lt;=0,0,(INT(Inputs!$B$44/IF(Inputs!$B$39="pvp",15,MAX(0.1,Skills!D16-IF(Skills!E16=TRUE,Inputs!$B$32,0))))+1)),0)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IFERROR(1/IF(Inputs!$B$39="pvp",15,MAX(0.1,Skills!D19-IF(Skills!E19=TRUE,Inputs!$B$32,0))),0)</f>
        <v/>
      </c>
      <c r="R1806">
        <f>IF(AND(Inputs!$B$39&lt;&gt;"pvp",Inputs!$B$44&gt;0),IF(Inputs!$B$44&lt;=0,0,(INT(Inputs!$B$44/IF(Inputs!$B$39="pvp",15,MAX(0.1,Skills!D19-IF(Skills!E19=TRUE,Inputs!$B$32,0))))+1)),0)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IFERROR(1/IF(Inputs!$B$39="pvp",15,MAX(0.1,Skills!D20-IF(Skills!E20=TRUE,Inputs!$B$32,0))),0)</f>
        <v/>
      </c>
      <c r="R1807">
        <f>IF(AND(Inputs!$B$39&lt;&gt;"pvp",Inputs!$B$44&gt;0),IF(Inputs!$B$44&lt;=0,0,(INT(Inputs!$B$44/IF(Inputs!$B$39="pvp",15,MAX(0.1,Skills!D20-IF(Skills!E20=TRUE,Inputs!$B$32,0))))+1)),0)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IFERROR(1/IF(Inputs!$B$39="pvp",15,MAX(0.1,Skills!D21-IF(Skills!E21=TRUE,Inputs!$B$32,0))),0)</f>
        <v/>
      </c>
      <c r="R1808">
        <f>IF(AND(Inputs!$B$39&lt;&gt;"pvp",Inputs!$B$44&gt;0),IF(Inputs!$B$44&lt;=0,0,(INT(Inputs!$B$44/IF(Inputs!$B$39="pvp",15,MAX(0.1,Skills!D21-IF(Skills!E21=TRUE,Inputs!$B$32,0))))+1)),0)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Skills!Y19*(1+Inputs!$B$34/100))+MIN((Skills!Y19*(1+Inputs!$B$34/100)),MAX(0,Inputs!$B$44-((R1806-1)*Skills!D19))))/Inputs!$B$44),IF(Inputs!$B$39="pvp",MIN((Skills!Y19*(1+Inputs!$B$34/100)),15)/15,(Skills!Y19*(1+Inputs!$B$34/100))/Skills!D19)))/150)))/100</f>
        <v/>
      </c>
    </row>
    <row r="1821">
      <c r="A1821" t="inlineStr">
        <is>
          <t>Alchemic Adrenaline Uptime</t>
        </is>
      </c>
      <c r="B1821">
        <f>(Skills!Y6*(1+Inputs!$B$34/100))/((Skills!Y6*(1+Inputs!$B$34/100))+(5/B1820))</f>
        <v/>
      </c>
    </row>
    <row r="1822">
      <c r="A1822" t="inlineStr">
        <is>
          <t>Attack Speed Buff Bonus %</t>
        </is>
      </c>
      <c r="B1822">
        <f>((C1806=TRUE)*F1806*IF(AND(Inputs!$B$39&lt;&gt;"pvp",Inputs!$B$44&gt;0),(((R1806-1)*(Skills!Y19*(1+Inputs!$B$34/100))+MIN((Skills!Y19*(1+Inputs!$B$34/100)),MAX(0,Inputs!$B$44-((R1806-1)*Skills!D19))))/Inputs!$B$44),IF(Inputs!$B$39="pvp",MIN((Skills!Y19*(1+Inputs!$B$34/100)),15)/15,(Skills!Y19*(1+Inputs!$B$34/100))/Skills!D19)))+((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f>
        <v/>
      </c>
    </row>
    <row r="1827">
      <c r="A1827" t="inlineStr">
        <is>
          <t>Global Crit Rate Bonus %</t>
        </is>
      </c>
      <c r="B1827">
        <f>IF(Inputs!$B$3&gt;=47,8,0)+((C1807=TRUE)*F1807*IF(AND(Inputs!$B$39&lt;&gt;"pvp",Inputs!$B$44&gt;0),(((R1807-1)*(Skills!Y20*(1+Inputs!$B$34/100))+MIN((Skills!Y20*(1+Inputs!$B$34/100)),MAX(0,Inputs!$B$44-((R1807-1)*Skills!D20))))/Inputs!$B$44),IF(Inputs!$B$39="pvp",MIN((Skills!Y20*(1+Inputs!$B$34/100)),15)/15,(Skills!Y20*(1+Inputs!$B$34/100))/Skills!D20)))</f>
        <v/>
      </c>
    </row>
    <row r="1828">
      <c r="A1828" t="inlineStr">
        <is>
          <t>Global Monster Damage-Taken Bonus %</t>
        </is>
      </c>
      <c r="B1828">
        <f>IF(Inputs!$B$3&gt;=82,15,0)+((C1803=TRUE)*F1803*IF(AND(Inputs!$B$39&lt;&gt;"pvp",Inputs!$B$44&gt;0),(((R1803-1)*(Skills!Y16*(1+Inputs!$B$34/100))+MIN((Skills!Y16*(1+Inputs!$B$34/100)),MAX(0,Inputs!$B$44-((R1803-1)*Skills!D16))))/Inputs!$B$44),IF(Inputs!$B$39="pvp",MIN((Skills!Y16*(1+Inputs!$B$34/100)),15)/15,(Skills!Y16*(1+Inputs!$B$34/100))/Skills!D16)))</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Skills!Y16*(1+Inputs!$B$34/100))+MIN((Skills!Y16*(1+Inputs!$B$34/100)),MAX(0,Inputs!$B$44-((R1803-1)*Skills!D16))))/Inputs!$B$44),IF(Inputs!$B$39="pvp",MIN((Skills!Y16*(1+Inputs!$B$34/100)),15)/15,(Skills!Y16*(1+Inputs!$B$34/100))/Skills!D16))</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IFERROR(1/IF(Inputs!$B$39="pvp",15,MAX(0.1,Skills!D3-IF(Skills!E3=TRUE,Inputs!$B$32,0))),0)</f>
        <v/>
      </c>
      <c r="R1839">
        <f>IF(AND(Inputs!$B$39&lt;&gt;"pvp",Inputs!$B$44&gt;0),IF(MAX(0,Inputs!$B$44-B1881)&lt;=0,0,(INT(MAX(0,Inputs!$B$44-B1881)/IF(Inputs!$B$39="pvp",15,MAX(0.1,Skills!D3-IF(Skills!E3=TRUE,Inputs!$B$32,0))))+1)),0)</f>
        <v/>
      </c>
      <c r="S1839">
        <f>IFERROR(O1839/N1839,0)</f>
        <v/>
      </c>
      <c r="T1839">
        <f>IF(C1839,(H1839*N1839*IF(AND(Inputs!$B$39&lt;&gt;"pvp",Inputs!$B$44&gt;0),((Skills!G3*((R1839-1)*IF(Skills!H3&gt;0,Skills!I3/Skills!H3,1)+IF(Skills!H3&gt;0,MIN(Skills!I3,MAX(0,MAX(0,Inputs!$B$44-B1881)-((R1839-1)*IF(Inputs!$B$39="pvp",15,MAX(0.1,Skills!D3-IF(Skills!E3=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Skills!E3=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Inputs!$B$3&gt;=40</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IFERROR(1/IF(Inputs!$B$39="pvp",15,MAX(0.1,Skills!D4-IF(Skills!E4=TRUE,Inputs!$B$32,0))),0)</f>
        <v/>
      </c>
      <c r="R1840">
        <f>IF(AND(Inputs!$B$39&lt;&gt;"pvp",Inputs!$B$44&gt;0),IF(MAX(0,Inputs!$B$44-B1881)&lt;=0,0,(INT(MAX(0,Inputs!$B$44-B1881)/IF(Inputs!$B$39="pvp",15,MAX(0.1,Skills!D4-IF(Skills!E4=TRUE,Inputs!$B$32,0))))+1)),0)</f>
        <v/>
      </c>
      <c r="S1840">
        <f>IFERROR(O1840/N1840,0)</f>
        <v/>
      </c>
      <c r="T1840">
        <f>IF(C1840,(H1840*N1840*IF(AND(Inputs!$B$39&lt;&gt;"pvp",Inputs!$B$44&gt;0),((Skills!G4*((R1840-1)*IF(Skills!H4&gt;0,Skills!I4/Skills!H4,1)+IF(Skills!H4&gt;0,MIN(Skills!I4,MAX(0,MAX(0,Inputs!$B$44-B1881)-((R1840-1)*IF(Inputs!$B$39="pvp",15,MAX(0.1,Skills!D4-IF(Skills!E4=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Skills!E4=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IFERROR(1/IF(Inputs!$B$39="pvp",15,MAX(0.1,Skills!D5-IF(Skills!E5=TRUE,Inputs!$B$32,0))),0)</f>
        <v/>
      </c>
      <c r="R1841">
        <f>IF(AND(Inputs!$B$39&lt;&gt;"pvp",Inputs!$B$44&gt;0),IF(MAX(0,Inputs!$B$44-B1881)&lt;=0,0,(INT(MAX(0,Inputs!$B$44-B1881)/IF(Inputs!$B$39="pvp",15,MAX(0.1,Skills!D5-IF(Skills!E5=TRUE,Inputs!$B$32,0))))+1)),0)</f>
        <v/>
      </c>
      <c r="S1841">
        <f>IFERROR(O1841/N1841,0)</f>
        <v/>
      </c>
      <c r="T1841">
        <f>IF(C1841,(H1841*N1841*IF(AND(Inputs!$B$39&lt;&gt;"pvp",Inputs!$B$44&gt;0),((Skills!G5*((R1841-1)*IF(Skills!H5&gt;0,Skills!I5/Skills!H5,1)+IF(Skills!H5&gt;0,MIN(Skills!I5,MAX(0,MAX(0,Inputs!$B$44-B1881)-((R1841-1)*IF(Inputs!$B$39="pvp",15,MAX(0.1,Skills!D5-IF(Skills!E5=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Skills!E5=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IFERROR(1/IF(Inputs!$B$39="pvp",15,MAX(0.1,Skills!D8-IF(Skills!E8=TRUE,Inputs!$B$32,0))),0)</f>
        <v/>
      </c>
      <c r="R1844">
        <f>IF(AND(Inputs!$B$39&lt;&gt;"pvp",Inputs!$B$44&gt;0),IF(MAX(0,Inputs!$B$44-B1881)&lt;=0,0,(INT(MAX(0,Inputs!$B$44-B1881)/IF(Inputs!$B$39="pvp",15,MAX(0.1,Skills!D8-IF(Skills!E8=TRUE,Inputs!$B$32,0))))+1)),0)</f>
        <v/>
      </c>
      <c r="S1844">
        <f>IFERROR(O1844/N1844,0)</f>
        <v/>
      </c>
      <c r="T1844">
        <f>IF(C1844,(H1844*N1844*IF(AND(Inputs!$B$39&lt;&gt;"pvp",Inputs!$B$44&gt;0),((Skills!G8*((R1844-1)*IF(Skills!H8&gt;0,Skills!I8/Skills!H8,1)+IF(Skills!H8&gt;0,MIN(Skills!I8,MAX(0,MAX(0,Inputs!$B$44-B1881)-((R1844-1)*IF(Inputs!$B$39="pvp",15,MAX(0.1,Skills!D8-IF(Skills!E8=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Skills!E8=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Inputs!$B$3&gt;=72</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IFERROR(1/IF(Inputs!$B$39="pvp",15,MAX(0.1,Skills!D9-IF(Skills!E9=TRUE,Inputs!$B$32,0))),0)</f>
        <v/>
      </c>
      <c r="R1845">
        <f>IF(AND(Inputs!$B$39&lt;&gt;"pvp",Inputs!$B$44&gt;0),IF(MAX(0,Inputs!$B$44-B1881)&lt;=0,0,(INT(MAX(0,Inputs!$B$44-B1881)/IF(Inputs!$B$39="pvp",15,MAX(0.1,Skills!D9-IF(Skills!E9=TRUE,Inputs!$B$32,0))))+1)),0)</f>
        <v/>
      </c>
      <c r="S1845">
        <f>IFERROR(O1845/N1845,0)</f>
        <v/>
      </c>
      <c r="T1845">
        <f>IF(C1845,(H1845*N1845*IF(AND(Inputs!$B$39&lt;&gt;"pvp",Inputs!$B$44&gt;0),((Skills!G9*((R1845-1)*IF(Skills!H9&gt;0,Skills!I9/Skills!H9,1)+IF(Skills!H9&gt;0,MIN(Skills!I9,MAX(0,MAX(0,Inputs!$B$44-B1881)-((R1845-1)*IF(Inputs!$B$39="pvp",15,MAX(0.1,Skills!D9-IF(Skills!E9=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Skills!E9=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IFERROR(1/IF(Inputs!$B$39="pvp",15,MAX(0.1,Skills!D12-IF(Skills!E12=TRUE,Inputs!$B$32,0))),0)</f>
        <v/>
      </c>
      <c r="R1848">
        <f>IF(AND(Inputs!$B$39&lt;&gt;"pvp",Inputs!$B$44&gt;0),IF(MAX(0,Inputs!$B$44-B1881)&lt;=0,0,(INT(MAX(0,Inputs!$B$44-B1881)/IF(Inputs!$B$39="pvp",15,MAX(0.1,Skills!D12-IF(Skills!E12=TRUE,Inputs!$B$32,0))))+1)),0)</f>
        <v/>
      </c>
      <c r="S1848">
        <f>IFERROR(O1848/N1848,0)</f>
        <v/>
      </c>
      <c r="T1848">
        <f>IF(C1848,(H1848*N1848*IF(AND(Inputs!$B$39&lt;&gt;"pvp",Inputs!$B$44&gt;0),((Skills!G12*((R1848-1)*IF(Skills!H12&gt;0,Skills!I12/Skills!H12,1)+IF(Skills!H12&gt;0,MIN(Skills!I12,MAX(0,MAX(0,Inputs!$B$44-B1881)-((R1848-1)*IF(Inputs!$B$39="pvp",15,MAX(0.1,Skills!D12-IF(Skills!E12=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Skills!E12=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IFERROR(1/IF(Inputs!$B$39="pvp",15,MAX(0.1,Skills!D13-IF(Skills!E13=TRUE,Inputs!$B$32,0))),0)</f>
        <v/>
      </c>
      <c r="R1849">
        <f>IF(AND(Inputs!$B$39&lt;&gt;"pvp",Inputs!$B$44&gt;0),IF(MAX(0,Inputs!$B$44-B1881)&lt;=0,0,(INT(MAX(0,Inputs!$B$44-B1881)/IF(Inputs!$B$39="pvp",15,MAX(0.1,Skills!D13-IF(Skills!E13=TRUE,Inputs!$B$32,0))))+1)),0)</f>
        <v/>
      </c>
      <c r="S1849">
        <f>IFERROR(O1849/N1849,0)</f>
        <v/>
      </c>
      <c r="T1849">
        <f>IF(C1849,(H1849*N1849*IF(AND(Inputs!$B$39&lt;&gt;"pvp",Inputs!$B$44&gt;0),((Skills!G13*((R1849-1)*IF(Skills!H13&gt;0,Skills!I13/Skills!H13,1)+IF(Skills!H13&gt;0,MIN(Skills!I13,MAX(0,MAX(0,Inputs!$B$44-B1881)-((R1849-1)*IF(Inputs!$B$39="pvp",15,MAX(0.1,Skills!D13-IF(Skills!E13=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Skills!E13=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IFERROR(1/IF(Inputs!$B$39="pvp",15,MAX(0.1,Skills!D14-IF(Skills!E14=TRUE,Inputs!$B$32,0))),0)</f>
        <v/>
      </c>
      <c r="R1850">
        <f>IF(AND(Inputs!$B$39&lt;&gt;"pvp",Inputs!$B$44&gt;0),IF(MAX(0,Inputs!$B$44-B1881)&lt;=0,0,(INT(MAX(0,Inputs!$B$44-B1881)/IF(Inputs!$B$39="pvp",15,MAX(0.1,Skills!D14-IF(Skills!E14=TRUE,Inputs!$B$32,0))))+1)),0)</f>
        <v/>
      </c>
      <c r="S1850">
        <f>IFERROR(O1850/N1850,0)</f>
        <v/>
      </c>
      <c r="T1850">
        <f>IF(C1850,(H1850*N1850*IF(AND(Inputs!$B$39&lt;&gt;"pvp",Inputs!$B$44&gt;0),((Skills!G14*((R1850-1)*IF(Skills!H14&gt;0,Skills!I14/Skills!H14,1)+IF(Skills!H14&gt;0,MIN(Skills!I14,MAX(0,MAX(0,Inputs!$B$44-B1881)-((R1850-1)*IF(Inputs!$B$39="pvp",15,MAX(0.1,Skills!D14-IF(Skills!E14=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Skills!E14=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IFERROR(1/IF(Inputs!$B$39="pvp",15,MAX(0.1,Skills!D15-IF(Skills!E15=TRUE,Inputs!$B$32,0))),0)</f>
        <v/>
      </c>
      <c r="R1851">
        <f>IF(AND(Inputs!$B$39&lt;&gt;"pvp",Inputs!$B$44&gt;0),IF(Inputs!$B$44&lt;=0,0,(INT(Inputs!$B$44/IF(Inputs!$B$39="pvp",15,MAX(0.1,Skills!D15-IF(Skills!E15=TRUE,Inputs!$B$32,0))))+1)),0)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IFERROR(1/IF(Inputs!$B$39="pvp",15,MAX(0.1,Skills!D16-IF(Skills!E16=TRUE,Inputs!$B$32,0))),0)</f>
        <v/>
      </c>
      <c r="R1852">
        <f>IF(AND(Inputs!$B$39&lt;&gt;"pvp",Inputs!$B$44&gt;0),IF(Inputs!$B$44&lt;=0,0,(INT(Inputs!$B$44/IF(Inputs!$B$39="pvp",15,MAX(0.1,Skills!D16-IF(Skills!E16=TRUE,Inputs!$B$32,0))))+1)),0)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IFERROR(1/IF(Inputs!$B$39="pvp",15,MAX(0.1,Skills!D19-IF(Skills!E19=TRUE,Inputs!$B$32,0))),0)</f>
        <v/>
      </c>
      <c r="R1855">
        <f>IF(AND(Inputs!$B$39&lt;&gt;"pvp",Inputs!$B$44&gt;0),IF(Inputs!$B$44&lt;=0,0,(INT(Inputs!$B$44/IF(Inputs!$B$39="pvp",15,MAX(0.1,Skills!D19-IF(Skills!E19=TRUE,Inputs!$B$32,0))))+1)),0)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IFERROR(1/IF(Inputs!$B$39="pvp",15,MAX(0.1,Skills!D20-IF(Skills!E20=TRUE,Inputs!$B$32,0))),0)</f>
        <v/>
      </c>
      <c r="R1856">
        <f>IF(AND(Inputs!$B$39&lt;&gt;"pvp",Inputs!$B$44&gt;0),IF(Inputs!$B$44&lt;=0,0,(INT(Inputs!$B$44/IF(Inputs!$B$39="pvp",15,MAX(0.1,Skills!D20-IF(Skills!E20=TRUE,Inputs!$B$32,0))))+1)),0)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IFERROR(1/IF(Inputs!$B$39="pvp",15,MAX(0.1,Skills!D21-IF(Skills!E21=TRUE,Inputs!$B$32,0))),0)</f>
        <v/>
      </c>
      <c r="R1857">
        <f>IF(AND(Inputs!$B$39&lt;&gt;"pvp",Inputs!$B$44&gt;0),IF(Inputs!$B$44&lt;=0,0,(INT(Inputs!$B$44/IF(Inputs!$B$39="pvp",15,MAX(0.1,Skills!D21-IF(Skills!E21=TRUE,Inputs!$B$32,0))))+1)),0)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Skills!Y19*(1+Inputs!$B$34/100))+MIN((Skills!Y19*(1+Inputs!$B$34/100)),MAX(0,Inputs!$B$44-((R1855-1)*Skills!D19))))/Inputs!$B$44),IF(Inputs!$B$39="pvp",MIN((Skills!Y19*(1+Inputs!$B$34/100)),15)/15,(Skills!Y19*(1+Inputs!$B$34/100))/Skills!D19)))/150)))/100</f>
        <v/>
      </c>
    </row>
    <row r="1870">
      <c r="A1870" t="inlineStr">
        <is>
          <t>Alchemic Adrenaline Uptime</t>
        </is>
      </c>
      <c r="B1870">
        <f>(Skills!Y6*(1+Inputs!$B$34/100))/((Skills!Y6*(1+Inputs!$B$34/100))+(5/B1869))</f>
        <v/>
      </c>
    </row>
    <row r="1871">
      <c r="A1871" t="inlineStr">
        <is>
          <t>Attack Speed Buff Bonus %</t>
        </is>
      </c>
      <c r="B1871">
        <f>((C1855=TRUE)*F1855*IF(AND(Inputs!$B$39&lt;&gt;"pvp",Inputs!$B$44&gt;0),(((R1855-1)*(Skills!Y19*(1+Inputs!$B$34/100))+MIN((Skills!Y19*(1+Inputs!$B$34/100)),MAX(0,Inputs!$B$44-((R1855-1)*Skills!D19))))/Inputs!$B$44),IF(Inputs!$B$39="pvp",MIN((Skills!Y19*(1+Inputs!$B$34/100)),15)/15,(Skills!Y19*(1+Inputs!$B$34/100))/Skills!D19)))+((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f>
        <v/>
      </c>
    </row>
    <row r="1876">
      <c r="A1876" t="inlineStr">
        <is>
          <t>Global Crit Rate Bonus %</t>
        </is>
      </c>
      <c r="B1876">
        <f>IF(Inputs!$B$3&gt;=47,8,0)+((C1856=TRUE)*F1856*IF(AND(Inputs!$B$39&lt;&gt;"pvp",Inputs!$B$44&gt;0),(((R1856-1)*(Skills!Y20*(1+Inputs!$B$34/100))+MIN((Skills!Y20*(1+Inputs!$B$34/100)),MAX(0,Inputs!$B$44-((R1856-1)*Skills!D20))))/Inputs!$B$44),IF(Inputs!$B$39="pvp",MIN((Skills!Y20*(1+Inputs!$B$34/100)),15)/15,(Skills!Y20*(1+Inputs!$B$34/100))/Skills!D20)))</f>
        <v/>
      </c>
    </row>
    <row r="1877">
      <c r="A1877" t="inlineStr">
        <is>
          <t>Global Monster Damage-Taken Bonus %</t>
        </is>
      </c>
      <c r="B1877">
        <f>IF(Inputs!$B$3&gt;=82,15,0)+((C1852=TRUE)*F1852*IF(AND(Inputs!$B$39&lt;&gt;"pvp",Inputs!$B$44&gt;0),(((R1852-1)*(Skills!Y16*(1+Inputs!$B$34/100))+MIN((Skills!Y16*(1+Inputs!$B$34/100)),MAX(0,Inputs!$B$44-((R1852-1)*Skills!D16))))/Inputs!$B$44),IF(Inputs!$B$39="pvp",MIN((Skills!Y16*(1+Inputs!$B$34/100)),15)/15,(Skills!Y16*(1+Inputs!$B$34/100))/Skills!D16)))</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Skills!Y16*(1+Inputs!$B$34/100))+MIN((Skills!Y16*(1+Inputs!$B$34/100)),MAX(0,Inputs!$B$44-((R1852-1)*Skills!D16))))/Inputs!$B$44),IF(Inputs!$B$39="pvp",MIN((Skills!Y16*(1+Inputs!$B$34/100)),15)/15,(Skills!Y16*(1+Inputs!$B$34/100))/Skills!D16))</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IFERROR(1/IF(Inputs!$B$39="pvp",15,MAX(0.1,Skills!D3-IF(Skills!E3=TRUE,Inputs!$B$32,0))),0)</f>
        <v/>
      </c>
      <c r="R1888">
        <f>IF(AND(Inputs!$B$39&lt;&gt;"pvp",Inputs!$B$44&gt;0),IF(MAX(0,Inputs!$B$44-B1930)&lt;=0,0,(INT(MAX(0,Inputs!$B$44-B1930)/IF(Inputs!$B$39="pvp",15,MAX(0.1,Skills!D3-IF(Skills!E3=TRUE,Inputs!$B$32,0))))+1)),0)</f>
        <v/>
      </c>
      <c r="S1888">
        <f>IFERROR(O1888/N1888,0)</f>
        <v/>
      </c>
      <c r="T1888">
        <f>IF(C1888,(H1888*N1888*IF(AND(Inputs!$B$39&lt;&gt;"pvp",Inputs!$B$44&gt;0),((Skills!G3*((R1888-1)*IF(Skills!H3&gt;0,Skills!I3/Skills!H3,1)+IF(Skills!H3&gt;0,MIN(Skills!I3,MAX(0,MAX(0,Inputs!$B$44-B1930)-((R1888-1)*IF(Inputs!$B$39="pvp",15,MAX(0.1,Skills!D3-IF(Skills!E3=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Skills!E3=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Inputs!$B$3&gt;=40</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IFERROR(1/IF(Inputs!$B$39="pvp",15,MAX(0.1,Skills!D4-IF(Skills!E4=TRUE,Inputs!$B$32,0))),0)</f>
        <v/>
      </c>
      <c r="R1889">
        <f>IF(AND(Inputs!$B$39&lt;&gt;"pvp",Inputs!$B$44&gt;0),IF(MAX(0,Inputs!$B$44-B1930)&lt;=0,0,(INT(MAX(0,Inputs!$B$44-B1930)/IF(Inputs!$B$39="pvp",15,MAX(0.1,Skills!D4-IF(Skills!E4=TRUE,Inputs!$B$32,0))))+1)),0)</f>
        <v/>
      </c>
      <c r="S1889">
        <f>IFERROR(O1889/N1889,0)</f>
        <v/>
      </c>
      <c r="T1889">
        <f>IF(C1889,(H1889*N1889*IF(AND(Inputs!$B$39&lt;&gt;"pvp",Inputs!$B$44&gt;0),((Skills!G4*((R1889-1)*IF(Skills!H4&gt;0,Skills!I4/Skills!H4,1)+IF(Skills!H4&gt;0,MIN(Skills!I4,MAX(0,MAX(0,Inputs!$B$44-B1930)-((R1889-1)*IF(Inputs!$B$39="pvp",15,MAX(0.1,Skills!D4-IF(Skills!E4=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Skills!E4=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IFERROR(1/IF(Inputs!$B$39="pvp",15,MAX(0.1,Skills!D5-IF(Skills!E5=TRUE,Inputs!$B$32,0))),0)</f>
        <v/>
      </c>
      <c r="R1890">
        <f>IF(AND(Inputs!$B$39&lt;&gt;"pvp",Inputs!$B$44&gt;0),IF(MAX(0,Inputs!$B$44-B1930)&lt;=0,0,(INT(MAX(0,Inputs!$B$44-B1930)/IF(Inputs!$B$39="pvp",15,MAX(0.1,Skills!D5-IF(Skills!E5=TRUE,Inputs!$B$32,0))))+1)),0)</f>
        <v/>
      </c>
      <c r="S1890">
        <f>IFERROR(O1890/N1890,0)</f>
        <v/>
      </c>
      <c r="T1890">
        <f>IF(C1890,(H1890*N1890*IF(AND(Inputs!$B$39&lt;&gt;"pvp",Inputs!$B$44&gt;0),((Skills!G5*((R1890-1)*IF(Skills!H5&gt;0,Skills!I5/Skills!H5,1)+IF(Skills!H5&gt;0,MIN(Skills!I5,MAX(0,MAX(0,Inputs!$B$44-B1930)-((R1890-1)*IF(Inputs!$B$39="pvp",15,MAX(0.1,Skills!D5-IF(Skills!E5=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Skills!E5=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IFERROR(1/IF(Inputs!$B$39="pvp",15,MAX(0.1,Skills!D8-IF(Skills!E8=TRUE,Inputs!$B$32,0))),0)</f>
        <v/>
      </c>
      <c r="R1893">
        <f>IF(AND(Inputs!$B$39&lt;&gt;"pvp",Inputs!$B$44&gt;0),IF(MAX(0,Inputs!$B$44-B1930)&lt;=0,0,(INT(MAX(0,Inputs!$B$44-B1930)/IF(Inputs!$B$39="pvp",15,MAX(0.1,Skills!D8-IF(Skills!E8=TRUE,Inputs!$B$32,0))))+1)),0)</f>
        <v/>
      </c>
      <c r="S1893">
        <f>IFERROR(O1893/N1893,0)</f>
        <v/>
      </c>
      <c r="T1893">
        <f>IF(C1893,(H1893*N1893*IF(AND(Inputs!$B$39&lt;&gt;"pvp",Inputs!$B$44&gt;0),((Skills!G8*((R1893-1)*IF(Skills!H8&gt;0,Skills!I8/Skills!H8,1)+IF(Skills!H8&gt;0,MIN(Skills!I8,MAX(0,MAX(0,Inputs!$B$44-B1930)-((R1893-1)*IF(Inputs!$B$39="pvp",15,MAX(0.1,Skills!D8-IF(Skills!E8=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Skills!E8=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Inputs!$B$3&gt;=72</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IFERROR(1/IF(Inputs!$B$39="pvp",15,MAX(0.1,Skills!D9-IF(Skills!E9=TRUE,Inputs!$B$32,0))),0)</f>
        <v/>
      </c>
      <c r="R1894">
        <f>IF(AND(Inputs!$B$39&lt;&gt;"pvp",Inputs!$B$44&gt;0),IF(MAX(0,Inputs!$B$44-B1930)&lt;=0,0,(INT(MAX(0,Inputs!$B$44-B1930)/IF(Inputs!$B$39="pvp",15,MAX(0.1,Skills!D9-IF(Skills!E9=TRUE,Inputs!$B$32,0))))+1)),0)</f>
        <v/>
      </c>
      <c r="S1894">
        <f>IFERROR(O1894/N1894,0)</f>
        <v/>
      </c>
      <c r="T1894">
        <f>IF(C1894,(H1894*N1894*IF(AND(Inputs!$B$39&lt;&gt;"pvp",Inputs!$B$44&gt;0),((Skills!G9*((R1894-1)*IF(Skills!H9&gt;0,Skills!I9/Skills!H9,1)+IF(Skills!H9&gt;0,MIN(Skills!I9,MAX(0,MAX(0,Inputs!$B$44-B1930)-((R1894-1)*IF(Inputs!$B$39="pvp",15,MAX(0.1,Skills!D9-IF(Skills!E9=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Skills!E9=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IFERROR(1/IF(Inputs!$B$39="pvp",15,MAX(0.1,Skills!D12-IF(Skills!E12=TRUE,Inputs!$B$32,0))),0)</f>
        <v/>
      </c>
      <c r="R1897">
        <f>IF(AND(Inputs!$B$39&lt;&gt;"pvp",Inputs!$B$44&gt;0),IF(MAX(0,Inputs!$B$44-B1930)&lt;=0,0,(INT(MAX(0,Inputs!$B$44-B1930)/IF(Inputs!$B$39="pvp",15,MAX(0.1,Skills!D12-IF(Skills!E12=TRUE,Inputs!$B$32,0))))+1)),0)</f>
        <v/>
      </c>
      <c r="S1897">
        <f>IFERROR(O1897/N1897,0)</f>
        <v/>
      </c>
      <c r="T1897">
        <f>IF(C1897,(H1897*N1897*IF(AND(Inputs!$B$39&lt;&gt;"pvp",Inputs!$B$44&gt;0),((Skills!G12*((R1897-1)*IF(Skills!H12&gt;0,Skills!I12/Skills!H12,1)+IF(Skills!H12&gt;0,MIN(Skills!I12,MAX(0,MAX(0,Inputs!$B$44-B1930)-((R1897-1)*IF(Inputs!$B$39="pvp",15,MAX(0.1,Skills!D12-IF(Skills!E12=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Skills!E12=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IFERROR(1/IF(Inputs!$B$39="pvp",15,MAX(0.1,Skills!D13-IF(Skills!E13=TRUE,Inputs!$B$32,0))),0)</f>
        <v/>
      </c>
      <c r="R1898">
        <f>IF(AND(Inputs!$B$39&lt;&gt;"pvp",Inputs!$B$44&gt;0),IF(MAX(0,Inputs!$B$44-B1930)&lt;=0,0,(INT(MAX(0,Inputs!$B$44-B1930)/IF(Inputs!$B$39="pvp",15,MAX(0.1,Skills!D13-IF(Skills!E13=TRUE,Inputs!$B$32,0))))+1)),0)</f>
        <v/>
      </c>
      <c r="S1898">
        <f>IFERROR(O1898/N1898,0)</f>
        <v/>
      </c>
      <c r="T1898">
        <f>IF(C1898,(H1898*N1898*IF(AND(Inputs!$B$39&lt;&gt;"pvp",Inputs!$B$44&gt;0),((Skills!G13*((R1898-1)*IF(Skills!H13&gt;0,Skills!I13/Skills!H13,1)+IF(Skills!H13&gt;0,MIN(Skills!I13,MAX(0,MAX(0,Inputs!$B$44-B1930)-((R1898-1)*IF(Inputs!$B$39="pvp",15,MAX(0.1,Skills!D13-IF(Skills!E13=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Skills!E13=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IFERROR(1/IF(Inputs!$B$39="pvp",15,MAX(0.1,Skills!D14-IF(Skills!E14=TRUE,Inputs!$B$32,0))),0)</f>
        <v/>
      </c>
      <c r="R1899">
        <f>IF(AND(Inputs!$B$39&lt;&gt;"pvp",Inputs!$B$44&gt;0),IF(MAX(0,Inputs!$B$44-B1930)&lt;=0,0,(INT(MAX(0,Inputs!$B$44-B1930)/IF(Inputs!$B$39="pvp",15,MAX(0.1,Skills!D14-IF(Skills!E14=TRUE,Inputs!$B$32,0))))+1)),0)</f>
        <v/>
      </c>
      <c r="S1899">
        <f>IFERROR(O1899/N1899,0)</f>
        <v/>
      </c>
      <c r="T1899">
        <f>IF(C1899,(H1899*N1899*IF(AND(Inputs!$B$39&lt;&gt;"pvp",Inputs!$B$44&gt;0),((Skills!G14*((R1899-1)*IF(Skills!H14&gt;0,Skills!I14/Skills!H14,1)+IF(Skills!H14&gt;0,MIN(Skills!I14,MAX(0,MAX(0,Inputs!$B$44-B1930)-((R1899-1)*IF(Inputs!$B$39="pvp",15,MAX(0.1,Skills!D14-IF(Skills!E14=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Skills!E14=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IFERROR(1/IF(Inputs!$B$39="pvp",15,MAX(0.1,Skills!D15-IF(Skills!E15=TRUE,Inputs!$B$32,0))),0)</f>
        <v/>
      </c>
      <c r="R1900">
        <f>IF(AND(Inputs!$B$39&lt;&gt;"pvp",Inputs!$B$44&gt;0),IF(Inputs!$B$44&lt;=0,0,(INT(Inputs!$B$44/IF(Inputs!$B$39="pvp",15,MAX(0.1,Skills!D15-IF(Skills!E15=TRUE,Inputs!$B$32,0))))+1)),0)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IFERROR(1/IF(Inputs!$B$39="pvp",15,MAX(0.1,Skills!D16-IF(Skills!E16=TRUE,Inputs!$B$32,0))),0)</f>
        <v/>
      </c>
      <c r="R1901">
        <f>IF(AND(Inputs!$B$39&lt;&gt;"pvp",Inputs!$B$44&gt;0),IF(Inputs!$B$44&lt;=0,0,(INT(Inputs!$B$44/IF(Inputs!$B$39="pvp",15,MAX(0.1,Skills!D16-IF(Skills!E16=TRUE,Inputs!$B$32,0))))+1)),0)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IFERROR(1/IF(Inputs!$B$39="pvp",15,MAX(0.1,Skills!D19-IF(Skills!E19=TRUE,Inputs!$B$32,0))),0)</f>
        <v/>
      </c>
      <c r="R1904">
        <f>IF(AND(Inputs!$B$39&lt;&gt;"pvp",Inputs!$B$44&gt;0),IF(Inputs!$B$44&lt;=0,0,(INT(Inputs!$B$44/IF(Inputs!$B$39="pvp",15,MAX(0.1,Skills!D19-IF(Skills!E19=TRUE,Inputs!$B$32,0))))+1)),0)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IFERROR(1/IF(Inputs!$B$39="pvp",15,MAX(0.1,Skills!D20-IF(Skills!E20=TRUE,Inputs!$B$32,0))),0)</f>
        <v/>
      </c>
      <c r="R1905">
        <f>IF(AND(Inputs!$B$39&lt;&gt;"pvp",Inputs!$B$44&gt;0),IF(Inputs!$B$44&lt;=0,0,(INT(Inputs!$B$44/IF(Inputs!$B$39="pvp",15,MAX(0.1,Skills!D20-IF(Skills!E20=TRUE,Inputs!$B$32,0))))+1)),0)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IFERROR(1/IF(Inputs!$B$39="pvp",15,MAX(0.1,Skills!D21-IF(Skills!E21=TRUE,Inputs!$B$32,0))),0)</f>
        <v/>
      </c>
      <c r="R1906">
        <f>IF(AND(Inputs!$B$39&lt;&gt;"pvp",Inputs!$B$44&gt;0),IF(Inputs!$B$44&lt;=0,0,(INT(Inputs!$B$44/IF(Inputs!$B$39="pvp",15,MAX(0.1,Skills!D21-IF(Skills!E21=TRUE,Inputs!$B$32,0))))+1)),0)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Skills!Y19*(1+Inputs!$B$34/100))+MIN((Skills!Y19*(1+Inputs!$B$34/100)),MAX(0,Inputs!$B$44-((R1904-1)*Skills!D19))))/Inputs!$B$44),IF(Inputs!$B$39="pvp",MIN((Skills!Y19*(1+Inputs!$B$34/100)),15)/15,(Skills!Y19*(1+Inputs!$B$34/100))/Skills!D19)))/150)))/100</f>
        <v/>
      </c>
    </row>
    <row r="1919">
      <c r="A1919" t="inlineStr">
        <is>
          <t>Alchemic Adrenaline Uptime</t>
        </is>
      </c>
      <c r="B1919">
        <f>(Skills!Y6*(1+Inputs!$B$34/100))/((Skills!Y6*(1+Inputs!$B$34/100))+(5/B1918))</f>
        <v/>
      </c>
    </row>
    <row r="1920">
      <c r="A1920" t="inlineStr">
        <is>
          <t>Attack Speed Buff Bonus %</t>
        </is>
      </c>
      <c r="B1920">
        <f>((C1904=TRUE)*F1904*IF(AND(Inputs!$B$39&lt;&gt;"pvp",Inputs!$B$44&gt;0),(((R1904-1)*(Skills!Y19*(1+Inputs!$B$34/100))+MIN((Skills!Y19*(1+Inputs!$B$34/100)),MAX(0,Inputs!$B$44-((R1904-1)*Skills!D19))))/Inputs!$B$44),IF(Inputs!$B$39="pvp",MIN((Skills!Y19*(1+Inputs!$B$34/100)),15)/15,(Skills!Y19*(1+Inputs!$B$34/100))/Skills!D19)))+((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f>
        <v/>
      </c>
    </row>
    <row r="1925">
      <c r="A1925" t="inlineStr">
        <is>
          <t>Global Crit Rate Bonus %</t>
        </is>
      </c>
      <c r="B1925">
        <f>IF(Inputs!$B$3&gt;=47,8,0)+((C1905=TRUE)*F1905*IF(AND(Inputs!$B$39&lt;&gt;"pvp",Inputs!$B$44&gt;0),(((R1905-1)*(Skills!Y20*(1+Inputs!$B$34/100))+MIN((Skills!Y20*(1+Inputs!$B$34/100)),MAX(0,Inputs!$B$44-((R1905-1)*Skills!D20))))/Inputs!$B$44),IF(Inputs!$B$39="pvp",MIN((Skills!Y20*(1+Inputs!$B$34/100)),15)/15,(Skills!Y20*(1+Inputs!$B$34/100))/Skills!D20)))</f>
        <v/>
      </c>
    </row>
    <row r="1926">
      <c r="A1926" t="inlineStr">
        <is>
          <t>Global Monster Damage-Taken Bonus %</t>
        </is>
      </c>
      <c r="B1926">
        <f>IF(Inputs!$B$3&gt;=82,15,0)+((C1901=TRUE)*F1901*IF(AND(Inputs!$B$39&lt;&gt;"pvp",Inputs!$B$44&gt;0),(((R1901-1)*(Skills!Y16*(1+Inputs!$B$34/100))+MIN((Skills!Y16*(1+Inputs!$B$34/100)),MAX(0,Inputs!$B$44-((R1901-1)*Skills!D16))))/Inputs!$B$44),IF(Inputs!$B$39="pvp",MIN((Skills!Y16*(1+Inputs!$B$34/100)),15)/15,(Skills!Y16*(1+Inputs!$B$34/100))/Skills!D16)))</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Skills!Y16*(1+Inputs!$B$34/100))+MIN((Skills!Y16*(1+Inputs!$B$34/100)),MAX(0,Inputs!$B$44-((R1901-1)*Skills!D16))))/Inputs!$B$44),IF(Inputs!$B$39="pvp",MIN((Skills!Y16*(1+Inputs!$B$34/100)),15)/15,(Skills!Y16*(1+Inputs!$B$34/100))/Skills!D16))</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IFERROR(1/IF(Inputs!$B$39="pvp",15,MAX(0.1,Skills!D3-IF(Skills!E3=TRUE,Inputs!$B$32,0))),0)</f>
        <v/>
      </c>
      <c r="R1937">
        <f>IF(AND(Inputs!$B$39&lt;&gt;"pvp",Inputs!$B$44&gt;0),IF(MAX(0,Inputs!$B$44-B1979)&lt;=0,0,(INT(MAX(0,Inputs!$B$44-B1979)/IF(Inputs!$B$39="pvp",15,MAX(0.1,Skills!D3-IF(Skills!E3=TRUE,Inputs!$B$32,0))))+1)),0)</f>
        <v/>
      </c>
      <c r="S1937">
        <f>IFERROR(O1937/N1937,0)</f>
        <v/>
      </c>
      <c r="T1937">
        <f>IF(C1937,(H1937*N1937*IF(AND(Inputs!$B$39&lt;&gt;"pvp",Inputs!$B$44&gt;0),((Skills!G3*((R1937-1)*IF(Skills!H3&gt;0,Skills!I3/Skills!H3,1)+IF(Skills!H3&gt;0,MIN(Skills!I3,MAX(0,MAX(0,Inputs!$B$44-B1979)-((R1937-1)*IF(Inputs!$B$39="pvp",15,MAX(0.1,Skills!D3-IF(Skills!E3=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Skills!E3=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Inputs!$B$3&gt;=40</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IFERROR(1/IF(Inputs!$B$39="pvp",15,MAX(0.1,Skills!D4-IF(Skills!E4=TRUE,Inputs!$B$32,0))),0)</f>
        <v/>
      </c>
      <c r="R1938">
        <f>IF(AND(Inputs!$B$39&lt;&gt;"pvp",Inputs!$B$44&gt;0),IF(MAX(0,Inputs!$B$44-B1979)&lt;=0,0,(INT(MAX(0,Inputs!$B$44-B1979)/IF(Inputs!$B$39="pvp",15,MAX(0.1,Skills!D4-IF(Skills!E4=TRUE,Inputs!$B$32,0))))+1)),0)</f>
        <v/>
      </c>
      <c r="S1938">
        <f>IFERROR(O1938/N1938,0)</f>
        <v/>
      </c>
      <c r="T1938">
        <f>IF(C1938,(H1938*N1938*IF(AND(Inputs!$B$39&lt;&gt;"pvp",Inputs!$B$44&gt;0),((Skills!G4*((R1938-1)*IF(Skills!H4&gt;0,Skills!I4/Skills!H4,1)+IF(Skills!H4&gt;0,MIN(Skills!I4,MAX(0,MAX(0,Inputs!$B$44-B1979)-((R1938-1)*IF(Inputs!$B$39="pvp",15,MAX(0.1,Skills!D4-IF(Skills!E4=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Skills!E4=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IFERROR(1/IF(Inputs!$B$39="pvp",15,MAX(0.1,Skills!D5-IF(Skills!E5=TRUE,Inputs!$B$32,0))),0)</f>
        <v/>
      </c>
      <c r="R1939">
        <f>IF(AND(Inputs!$B$39&lt;&gt;"pvp",Inputs!$B$44&gt;0),IF(MAX(0,Inputs!$B$44-B1979)&lt;=0,0,(INT(MAX(0,Inputs!$B$44-B1979)/IF(Inputs!$B$39="pvp",15,MAX(0.1,Skills!D5-IF(Skills!E5=TRUE,Inputs!$B$32,0))))+1)),0)</f>
        <v/>
      </c>
      <c r="S1939">
        <f>IFERROR(O1939/N1939,0)</f>
        <v/>
      </c>
      <c r="T1939">
        <f>IF(C1939,(H1939*N1939*IF(AND(Inputs!$B$39&lt;&gt;"pvp",Inputs!$B$44&gt;0),((Skills!G5*((R1939-1)*IF(Skills!H5&gt;0,Skills!I5/Skills!H5,1)+IF(Skills!H5&gt;0,MIN(Skills!I5,MAX(0,MAX(0,Inputs!$B$44-B1979)-((R1939-1)*IF(Inputs!$B$39="pvp",15,MAX(0.1,Skills!D5-IF(Skills!E5=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Skills!E5=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IFERROR(1/IF(Inputs!$B$39="pvp",15,MAX(0.1,Skills!D8-IF(Skills!E8=TRUE,Inputs!$B$32,0))),0)</f>
        <v/>
      </c>
      <c r="R1942">
        <f>IF(AND(Inputs!$B$39&lt;&gt;"pvp",Inputs!$B$44&gt;0),IF(MAX(0,Inputs!$B$44-B1979)&lt;=0,0,(INT(MAX(0,Inputs!$B$44-B1979)/IF(Inputs!$B$39="pvp",15,MAX(0.1,Skills!D8-IF(Skills!E8=TRUE,Inputs!$B$32,0))))+1)),0)</f>
        <v/>
      </c>
      <c r="S1942">
        <f>IFERROR(O1942/N1942,0)</f>
        <v/>
      </c>
      <c r="T1942">
        <f>IF(C1942,(H1942*N1942*IF(AND(Inputs!$B$39&lt;&gt;"pvp",Inputs!$B$44&gt;0),((Skills!G8*((R1942-1)*IF(Skills!H8&gt;0,Skills!I8/Skills!H8,1)+IF(Skills!H8&gt;0,MIN(Skills!I8,MAX(0,MAX(0,Inputs!$B$44-B1979)-((R1942-1)*IF(Inputs!$B$39="pvp",15,MAX(0.1,Skills!D8-IF(Skills!E8=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Skills!E8=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Inputs!$B$3&gt;=72</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IFERROR(1/IF(Inputs!$B$39="pvp",15,MAX(0.1,Skills!D9-IF(Skills!E9=TRUE,Inputs!$B$32,0))),0)</f>
        <v/>
      </c>
      <c r="R1943">
        <f>IF(AND(Inputs!$B$39&lt;&gt;"pvp",Inputs!$B$44&gt;0),IF(MAX(0,Inputs!$B$44-B1979)&lt;=0,0,(INT(MAX(0,Inputs!$B$44-B1979)/IF(Inputs!$B$39="pvp",15,MAX(0.1,Skills!D9-IF(Skills!E9=TRUE,Inputs!$B$32,0))))+1)),0)</f>
        <v/>
      </c>
      <c r="S1943">
        <f>IFERROR(O1943/N1943,0)</f>
        <v/>
      </c>
      <c r="T1943">
        <f>IF(C1943,(H1943*N1943*IF(AND(Inputs!$B$39&lt;&gt;"pvp",Inputs!$B$44&gt;0),((Skills!G9*((R1943-1)*IF(Skills!H9&gt;0,Skills!I9/Skills!H9,1)+IF(Skills!H9&gt;0,MIN(Skills!I9,MAX(0,MAX(0,Inputs!$B$44-B1979)-((R1943-1)*IF(Inputs!$B$39="pvp",15,MAX(0.1,Skills!D9-IF(Skills!E9=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Skills!E9=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IFERROR(1/IF(Inputs!$B$39="pvp",15,MAX(0.1,Skills!D12-IF(Skills!E12=TRUE,Inputs!$B$32,0))),0)</f>
        <v/>
      </c>
      <c r="R1946">
        <f>IF(AND(Inputs!$B$39&lt;&gt;"pvp",Inputs!$B$44&gt;0),IF(MAX(0,Inputs!$B$44-B1979)&lt;=0,0,(INT(MAX(0,Inputs!$B$44-B1979)/IF(Inputs!$B$39="pvp",15,MAX(0.1,Skills!D12-IF(Skills!E12=TRUE,Inputs!$B$32,0))))+1)),0)</f>
        <v/>
      </c>
      <c r="S1946">
        <f>IFERROR(O1946/N1946,0)</f>
        <v/>
      </c>
      <c r="T1946">
        <f>IF(C1946,(H1946*N1946*IF(AND(Inputs!$B$39&lt;&gt;"pvp",Inputs!$B$44&gt;0),((Skills!G12*((R1946-1)*IF(Skills!H12&gt;0,Skills!I12/Skills!H12,1)+IF(Skills!H12&gt;0,MIN(Skills!I12,MAX(0,MAX(0,Inputs!$B$44-B1979)-((R1946-1)*IF(Inputs!$B$39="pvp",15,MAX(0.1,Skills!D12-IF(Skills!E12=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Skills!E12=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IFERROR(1/IF(Inputs!$B$39="pvp",15,MAX(0.1,Skills!D13-IF(Skills!E13=TRUE,Inputs!$B$32,0))),0)</f>
        <v/>
      </c>
      <c r="R1947">
        <f>IF(AND(Inputs!$B$39&lt;&gt;"pvp",Inputs!$B$44&gt;0),IF(MAX(0,Inputs!$B$44-B1979)&lt;=0,0,(INT(MAX(0,Inputs!$B$44-B1979)/IF(Inputs!$B$39="pvp",15,MAX(0.1,Skills!D13-IF(Skills!E13=TRUE,Inputs!$B$32,0))))+1)),0)</f>
        <v/>
      </c>
      <c r="S1947">
        <f>IFERROR(O1947/N1947,0)</f>
        <v/>
      </c>
      <c r="T1947">
        <f>IF(C1947,(H1947*N1947*IF(AND(Inputs!$B$39&lt;&gt;"pvp",Inputs!$B$44&gt;0),((Skills!G13*((R1947-1)*IF(Skills!H13&gt;0,Skills!I13/Skills!H13,1)+IF(Skills!H13&gt;0,MIN(Skills!I13,MAX(0,MAX(0,Inputs!$B$44-B1979)-((R1947-1)*IF(Inputs!$B$39="pvp",15,MAX(0.1,Skills!D13-IF(Skills!E13=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Skills!E13=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IFERROR(1/IF(Inputs!$B$39="pvp",15,MAX(0.1,Skills!D14-IF(Skills!E14=TRUE,Inputs!$B$32,0))),0)</f>
        <v/>
      </c>
      <c r="R1948">
        <f>IF(AND(Inputs!$B$39&lt;&gt;"pvp",Inputs!$B$44&gt;0),IF(MAX(0,Inputs!$B$44-B1979)&lt;=0,0,(INT(MAX(0,Inputs!$B$44-B1979)/IF(Inputs!$B$39="pvp",15,MAX(0.1,Skills!D14-IF(Skills!E14=TRUE,Inputs!$B$32,0))))+1)),0)</f>
        <v/>
      </c>
      <c r="S1948">
        <f>IFERROR(O1948/N1948,0)</f>
        <v/>
      </c>
      <c r="T1948">
        <f>IF(C1948,(H1948*N1948*IF(AND(Inputs!$B$39&lt;&gt;"pvp",Inputs!$B$44&gt;0),((Skills!G14*((R1948-1)*IF(Skills!H14&gt;0,Skills!I14/Skills!H14,1)+IF(Skills!H14&gt;0,MIN(Skills!I14,MAX(0,MAX(0,Inputs!$B$44-B1979)-((R1948-1)*IF(Inputs!$B$39="pvp",15,MAX(0.1,Skills!D14-IF(Skills!E14=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Skills!E14=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IFERROR(1/IF(Inputs!$B$39="pvp",15,MAX(0.1,Skills!D15-IF(Skills!E15=TRUE,Inputs!$B$32,0))),0)</f>
        <v/>
      </c>
      <c r="R1949">
        <f>IF(AND(Inputs!$B$39&lt;&gt;"pvp",Inputs!$B$44&gt;0),IF(Inputs!$B$44&lt;=0,0,(INT(Inputs!$B$44/IF(Inputs!$B$39="pvp",15,MAX(0.1,Skills!D15-IF(Skills!E15=TRUE,Inputs!$B$32,0))))+1)),0)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IFERROR(1/IF(Inputs!$B$39="pvp",15,MAX(0.1,Skills!D16-IF(Skills!E16=TRUE,Inputs!$B$32,0))),0)</f>
        <v/>
      </c>
      <c r="R1950">
        <f>IF(AND(Inputs!$B$39&lt;&gt;"pvp",Inputs!$B$44&gt;0),IF(Inputs!$B$44&lt;=0,0,(INT(Inputs!$B$44/IF(Inputs!$B$39="pvp",15,MAX(0.1,Skills!D16-IF(Skills!E16=TRUE,Inputs!$B$32,0))))+1)),0)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IFERROR(1/IF(Inputs!$B$39="pvp",15,MAX(0.1,Skills!D19-IF(Skills!E19=TRUE,Inputs!$B$32,0))),0)</f>
        <v/>
      </c>
      <c r="R1953">
        <f>IF(AND(Inputs!$B$39&lt;&gt;"pvp",Inputs!$B$44&gt;0),IF(Inputs!$B$44&lt;=0,0,(INT(Inputs!$B$44/IF(Inputs!$B$39="pvp",15,MAX(0.1,Skills!D19-IF(Skills!E19=TRUE,Inputs!$B$32,0))))+1)),0)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IFERROR(1/IF(Inputs!$B$39="pvp",15,MAX(0.1,Skills!D20-IF(Skills!E20=TRUE,Inputs!$B$32,0))),0)</f>
        <v/>
      </c>
      <c r="R1954">
        <f>IF(AND(Inputs!$B$39&lt;&gt;"pvp",Inputs!$B$44&gt;0),IF(Inputs!$B$44&lt;=0,0,(INT(Inputs!$B$44/IF(Inputs!$B$39="pvp",15,MAX(0.1,Skills!D20-IF(Skills!E20=TRUE,Inputs!$B$32,0))))+1)),0)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IFERROR(1/IF(Inputs!$B$39="pvp",15,MAX(0.1,Skills!D21-IF(Skills!E21=TRUE,Inputs!$B$32,0))),0)</f>
        <v/>
      </c>
      <c r="R1955">
        <f>IF(AND(Inputs!$B$39&lt;&gt;"pvp",Inputs!$B$44&gt;0),IF(Inputs!$B$44&lt;=0,0,(INT(Inputs!$B$44/IF(Inputs!$B$39="pvp",15,MAX(0.1,Skills!D21-IF(Skills!E21=TRUE,Inputs!$B$32,0))))+1)),0)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Skills!Y19*(1+Inputs!$B$34/100))+MIN((Skills!Y19*(1+Inputs!$B$34/100)),MAX(0,Inputs!$B$44-((R1953-1)*Skills!D19))))/Inputs!$B$44),IF(Inputs!$B$39="pvp",MIN((Skills!Y19*(1+Inputs!$B$34/100)),15)/15,(Skills!Y19*(1+Inputs!$B$34/100))/Skills!D19)))/150)))/100</f>
        <v/>
      </c>
    </row>
    <row r="1968">
      <c r="A1968" t="inlineStr">
        <is>
          <t>Alchemic Adrenaline Uptime</t>
        </is>
      </c>
      <c r="B1968">
        <f>(Skills!Y6*(1+Inputs!$B$34/100))/((Skills!Y6*(1+Inputs!$B$34/100))+(5/B1967))</f>
        <v/>
      </c>
    </row>
    <row r="1969">
      <c r="A1969" t="inlineStr">
        <is>
          <t>Attack Speed Buff Bonus %</t>
        </is>
      </c>
      <c r="B1969">
        <f>((C1953=TRUE)*F1953*IF(AND(Inputs!$B$39&lt;&gt;"pvp",Inputs!$B$44&gt;0),(((R1953-1)*(Skills!Y19*(1+Inputs!$B$34/100))+MIN((Skills!Y19*(1+Inputs!$B$34/100)),MAX(0,Inputs!$B$44-((R1953-1)*Skills!D19))))/Inputs!$B$44),IF(Inputs!$B$39="pvp",MIN((Skills!Y19*(1+Inputs!$B$34/100)),15)/15,(Skills!Y19*(1+Inputs!$B$34/100))/Skills!D19)))+((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f>
        <v/>
      </c>
    </row>
    <row r="1974">
      <c r="A1974" t="inlineStr">
        <is>
          <t>Global Crit Rate Bonus %</t>
        </is>
      </c>
      <c r="B1974">
        <f>IF(Inputs!$B$3&gt;=47,8,0)+((C1954=TRUE)*F1954*IF(AND(Inputs!$B$39&lt;&gt;"pvp",Inputs!$B$44&gt;0),(((R1954-1)*(Skills!Y20*(1+Inputs!$B$34/100))+MIN((Skills!Y20*(1+Inputs!$B$34/100)),MAX(0,Inputs!$B$44-((R1954-1)*Skills!D20))))/Inputs!$B$44),IF(Inputs!$B$39="pvp",MIN((Skills!Y20*(1+Inputs!$B$34/100)),15)/15,(Skills!Y20*(1+Inputs!$B$34/100))/Skills!D20)))</f>
        <v/>
      </c>
    </row>
    <row r="1975">
      <c r="A1975" t="inlineStr">
        <is>
          <t>Global Monster Damage-Taken Bonus %</t>
        </is>
      </c>
      <c r="B1975">
        <f>IF(Inputs!$B$3&gt;=82,15,0)+((C1950=TRUE)*F1950*IF(AND(Inputs!$B$39&lt;&gt;"pvp",Inputs!$B$44&gt;0),(((R1950-1)*(Skills!Y16*(1+Inputs!$B$34/100))+MIN((Skills!Y16*(1+Inputs!$B$34/100)),MAX(0,Inputs!$B$44-((R1950-1)*Skills!D16))))/Inputs!$B$44),IF(Inputs!$B$39="pvp",MIN((Skills!Y16*(1+Inputs!$B$34/100)),15)/15,(Skills!Y16*(1+Inputs!$B$34/100))/Skills!D16)))</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Skills!Y16*(1+Inputs!$B$34/100))+MIN((Skills!Y16*(1+Inputs!$B$34/100)),MAX(0,Inputs!$B$44-((R1950-1)*Skills!D16))))/Inputs!$B$44),IF(Inputs!$B$39="pvp",MIN((Skills!Y16*(1+Inputs!$B$34/100)),15)/15,(Skills!Y16*(1+Inputs!$B$34/100))/Skills!D16))</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IFERROR(1/IF(Inputs!$B$39="pvp",15,MAX(0.1,Skills!D3-IF(Skills!E3=TRUE,Inputs!$B$32,0))),0)</f>
        <v/>
      </c>
      <c r="R1986">
        <f>IF(AND(Inputs!$B$39&lt;&gt;"pvp",Inputs!$B$44&gt;0),IF(MAX(0,Inputs!$B$44-B2028)&lt;=0,0,(INT(MAX(0,Inputs!$B$44-B2028)/IF(Inputs!$B$39="pvp",15,MAX(0.1,Skills!D3-IF(Skills!E3=TRUE,Inputs!$B$32,0))))+1)),0)</f>
        <v/>
      </c>
      <c r="S1986">
        <f>IFERROR(O1986/N1986,0)</f>
        <v/>
      </c>
      <c r="T1986">
        <f>IF(C1986,(H1986*N1986*IF(AND(Inputs!$B$39&lt;&gt;"pvp",Inputs!$B$44&gt;0),((Skills!G3*((R1986-1)*IF(Skills!H3&gt;0,Skills!I3/Skills!H3,1)+IF(Skills!H3&gt;0,MIN(Skills!I3,MAX(0,MAX(0,Inputs!$B$44-B2028)-((R1986-1)*IF(Inputs!$B$39="pvp",15,MAX(0.1,Skills!D3-IF(Skills!E3=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Skills!E3=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Inputs!$B$3&gt;=40</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IFERROR(1/IF(Inputs!$B$39="pvp",15,MAX(0.1,Skills!D4-IF(Skills!E4=TRUE,Inputs!$B$32,0))),0)</f>
        <v/>
      </c>
      <c r="R1987">
        <f>IF(AND(Inputs!$B$39&lt;&gt;"pvp",Inputs!$B$44&gt;0),IF(MAX(0,Inputs!$B$44-B2028)&lt;=0,0,(INT(MAX(0,Inputs!$B$44-B2028)/IF(Inputs!$B$39="pvp",15,MAX(0.1,Skills!D4-IF(Skills!E4=TRUE,Inputs!$B$32,0))))+1)),0)</f>
        <v/>
      </c>
      <c r="S1987">
        <f>IFERROR(O1987/N1987,0)</f>
        <v/>
      </c>
      <c r="T1987">
        <f>IF(C1987,(H1987*N1987*IF(AND(Inputs!$B$39&lt;&gt;"pvp",Inputs!$B$44&gt;0),((Skills!G4*((R1987-1)*IF(Skills!H4&gt;0,Skills!I4/Skills!H4,1)+IF(Skills!H4&gt;0,MIN(Skills!I4,MAX(0,MAX(0,Inputs!$B$44-B2028)-((R1987-1)*IF(Inputs!$B$39="pvp",15,MAX(0.1,Skills!D4-IF(Skills!E4=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Skills!E4=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IFERROR(1/IF(Inputs!$B$39="pvp",15,MAX(0.1,Skills!D5-IF(Skills!E5=TRUE,Inputs!$B$32,0))),0)</f>
        <v/>
      </c>
      <c r="R1988">
        <f>IF(AND(Inputs!$B$39&lt;&gt;"pvp",Inputs!$B$44&gt;0),IF(MAX(0,Inputs!$B$44-B2028)&lt;=0,0,(INT(MAX(0,Inputs!$B$44-B2028)/IF(Inputs!$B$39="pvp",15,MAX(0.1,Skills!D5-IF(Skills!E5=TRUE,Inputs!$B$32,0))))+1)),0)</f>
        <v/>
      </c>
      <c r="S1988">
        <f>IFERROR(O1988/N1988,0)</f>
        <v/>
      </c>
      <c r="T1988">
        <f>IF(C1988,(H1988*N1988*IF(AND(Inputs!$B$39&lt;&gt;"pvp",Inputs!$B$44&gt;0),((Skills!G5*((R1988-1)*IF(Skills!H5&gt;0,Skills!I5/Skills!H5,1)+IF(Skills!H5&gt;0,MIN(Skills!I5,MAX(0,MAX(0,Inputs!$B$44-B2028)-((R1988-1)*IF(Inputs!$B$39="pvp",15,MAX(0.1,Skills!D5-IF(Skills!E5=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Skills!E5=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IFERROR(1/IF(Inputs!$B$39="pvp",15,MAX(0.1,Skills!D8-IF(Skills!E8=TRUE,Inputs!$B$32,0))),0)</f>
        <v/>
      </c>
      <c r="R1991">
        <f>IF(AND(Inputs!$B$39&lt;&gt;"pvp",Inputs!$B$44&gt;0),IF(MAX(0,Inputs!$B$44-B2028)&lt;=0,0,(INT(MAX(0,Inputs!$B$44-B2028)/IF(Inputs!$B$39="pvp",15,MAX(0.1,Skills!D8-IF(Skills!E8=TRUE,Inputs!$B$32,0))))+1)),0)</f>
        <v/>
      </c>
      <c r="S1991">
        <f>IFERROR(O1991/N1991,0)</f>
        <v/>
      </c>
      <c r="T1991">
        <f>IF(C1991,(H1991*N1991*IF(AND(Inputs!$B$39&lt;&gt;"pvp",Inputs!$B$44&gt;0),((Skills!G8*((R1991-1)*IF(Skills!H8&gt;0,Skills!I8/Skills!H8,1)+IF(Skills!H8&gt;0,MIN(Skills!I8,MAX(0,MAX(0,Inputs!$B$44-B2028)-((R1991-1)*IF(Inputs!$B$39="pvp",15,MAX(0.1,Skills!D8-IF(Skills!E8=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Skills!E8=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Inputs!$B$3&gt;=72</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IFERROR(1/IF(Inputs!$B$39="pvp",15,MAX(0.1,Skills!D9-IF(Skills!E9=TRUE,Inputs!$B$32,0))),0)</f>
        <v/>
      </c>
      <c r="R1992">
        <f>IF(AND(Inputs!$B$39&lt;&gt;"pvp",Inputs!$B$44&gt;0),IF(MAX(0,Inputs!$B$44-B2028)&lt;=0,0,(INT(MAX(0,Inputs!$B$44-B2028)/IF(Inputs!$B$39="pvp",15,MAX(0.1,Skills!D9-IF(Skills!E9=TRUE,Inputs!$B$32,0))))+1)),0)</f>
        <v/>
      </c>
      <c r="S1992">
        <f>IFERROR(O1992/N1992,0)</f>
        <v/>
      </c>
      <c r="T1992">
        <f>IF(C1992,(H1992*N1992*IF(AND(Inputs!$B$39&lt;&gt;"pvp",Inputs!$B$44&gt;0),((Skills!G9*((R1992-1)*IF(Skills!H9&gt;0,Skills!I9/Skills!H9,1)+IF(Skills!H9&gt;0,MIN(Skills!I9,MAX(0,MAX(0,Inputs!$B$44-B2028)-((R1992-1)*IF(Inputs!$B$39="pvp",15,MAX(0.1,Skills!D9-IF(Skills!E9=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Skills!E9=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IFERROR(1/IF(Inputs!$B$39="pvp",15,MAX(0.1,Skills!D12-IF(Skills!E12=TRUE,Inputs!$B$32,0))),0)</f>
        <v/>
      </c>
      <c r="R1995">
        <f>IF(AND(Inputs!$B$39&lt;&gt;"pvp",Inputs!$B$44&gt;0),IF(MAX(0,Inputs!$B$44-B2028)&lt;=0,0,(INT(MAX(0,Inputs!$B$44-B2028)/IF(Inputs!$B$39="pvp",15,MAX(0.1,Skills!D12-IF(Skills!E12=TRUE,Inputs!$B$32,0))))+1)),0)</f>
        <v/>
      </c>
      <c r="S1995">
        <f>IFERROR(O1995/N1995,0)</f>
        <v/>
      </c>
      <c r="T1995">
        <f>IF(C1995,(H1995*N1995*IF(AND(Inputs!$B$39&lt;&gt;"pvp",Inputs!$B$44&gt;0),((Skills!G12*((R1995-1)*IF(Skills!H12&gt;0,Skills!I12/Skills!H12,1)+IF(Skills!H12&gt;0,MIN(Skills!I12,MAX(0,MAX(0,Inputs!$B$44-B2028)-((R1995-1)*IF(Inputs!$B$39="pvp",15,MAX(0.1,Skills!D12-IF(Skills!E12=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Skills!E12=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IFERROR(1/IF(Inputs!$B$39="pvp",15,MAX(0.1,Skills!D13-IF(Skills!E13=TRUE,Inputs!$B$32,0))),0)</f>
        <v/>
      </c>
      <c r="R1996">
        <f>IF(AND(Inputs!$B$39&lt;&gt;"pvp",Inputs!$B$44&gt;0),IF(MAX(0,Inputs!$B$44-B2028)&lt;=0,0,(INT(MAX(0,Inputs!$B$44-B2028)/IF(Inputs!$B$39="pvp",15,MAX(0.1,Skills!D13-IF(Skills!E13=TRUE,Inputs!$B$32,0))))+1)),0)</f>
        <v/>
      </c>
      <c r="S1996">
        <f>IFERROR(O1996/N1996,0)</f>
        <v/>
      </c>
      <c r="T1996">
        <f>IF(C1996,(H1996*N1996*IF(AND(Inputs!$B$39&lt;&gt;"pvp",Inputs!$B$44&gt;0),((Skills!G13*((R1996-1)*IF(Skills!H13&gt;0,Skills!I13/Skills!H13,1)+IF(Skills!H13&gt;0,MIN(Skills!I13,MAX(0,MAX(0,Inputs!$B$44-B2028)-((R1996-1)*IF(Inputs!$B$39="pvp",15,MAX(0.1,Skills!D13-IF(Skills!E13=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Skills!E13=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IFERROR(1/IF(Inputs!$B$39="pvp",15,MAX(0.1,Skills!D14-IF(Skills!E14=TRUE,Inputs!$B$32,0))),0)</f>
        <v/>
      </c>
      <c r="R1997">
        <f>IF(AND(Inputs!$B$39&lt;&gt;"pvp",Inputs!$B$44&gt;0),IF(MAX(0,Inputs!$B$44-B2028)&lt;=0,0,(INT(MAX(0,Inputs!$B$44-B2028)/IF(Inputs!$B$39="pvp",15,MAX(0.1,Skills!D14-IF(Skills!E14=TRUE,Inputs!$B$32,0))))+1)),0)</f>
        <v/>
      </c>
      <c r="S1997">
        <f>IFERROR(O1997/N1997,0)</f>
        <v/>
      </c>
      <c r="T1997">
        <f>IF(C1997,(H1997*N1997*IF(AND(Inputs!$B$39&lt;&gt;"pvp",Inputs!$B$44&gt;0),((Skills!G14*((R1997-1)*IF(Skills!H14&gt;0,Skills!I14/Skills!H14,1)+IF(Skills!H14&gt;0,MIN(Skills!I14,MAX(0,MAX(0,Inputs!$B$44-B2028)-((R1997-1)*IF(Inputs!$B$39="pvp",15,MAX(0.1,Skills!D14-IF(Skills!E14=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Skills!E14=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IFERROR(1/IF(Inputs!$B$39="pvp",15,MAX(0.1,Skills!D15-IF(Skills!E15=TRUE,Inputs!$B$32,0))),0)</f>
        <v/>
      </c>
      <c r="R1998">
        <f>IF(AND(Inputs!$B$39&lt;&gt;"pvp",Inputs!$B$44&gt;0),IF(Inputs!$B$44&lt;=0,0,(INT(Inputs!$B$44/IF(Inputs!$B$39="pvp",15,MAX(0.1,Skills!D15-IF(Skills!E15=TRUE,Inputs!$B$32,0))))+1)),0)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IFERROR(1/IF(Inputs!$B$39="pvp",15,MAX(0.1,Skills!D16-IF(Skills!E16=TRUE,Inputs!$B$32,0))),0)</f>
        <v/>
      </c>
      <c r="R1999">
        <f>IF(AND(Inputs!$B$39&lt;&gt;"pvp",Inputs!$B$44&gt;0),IF(Inputs!$B$44&lt;=0,0,(INT(Inputs!$B$44/IF(Inputs!$B$39="pvp",15,MAX(0.1,Skills!D16-IF(Skills!E16=TRUE,Inputs!$B$32,0))))+1)),0)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IFERROR(1/IF(Inputs!$B$39="pvp",15,MAX(0.1,Skills!D19-IF(Skills!E19=TRUE,Inputs!$B$32,0))),0)</f>
        <v/>
      </c>
      <c r="R2002">
        <f>IF(AND(Inputs!$B$39&lt;&gt;"pvp",Inputs!$B$44&gt;0),IF(Inputs!$B$44&lt;=0,0,(INT(Inputs!$B$44/IF(Inputs!$B$39="pvp",15,MAX(0.1,Skills!D19-IF(Skills!E19=TRUE,Inputs!$B$32,0))))+1)),0)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IFERROR(1/IF(Inputs!$B$39="pvp",15,MAX(0.1,Skills!D20-IF(Skills!E20=TRUE,Inputs!$B$32,0))),0)</f>
        <v/>
      </c>
      <c r="R2003">
        <f>IF(AND(Inputs!$B$39&lt;&gt;"pvp",Inputs!$B$44&gt;0),IF(Inputs!$B$44&lt;=0,0,(INT(Inputs!$B$44/IF(Inputs!$B$39="pvp",15,MAX(0.1,Skills!D20-IF(Skills!E20=TRUE,Inputs!$B$32,0))))+1)),0)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IFERROR(1/IF(Inputs!$B$39="pvp",15,MAX(0.1,Skills!D21-IF(Skills!E21=TRUE,Inputs!$B$32,0))),0)</f>
        <v/>
      </c>
      <c r="R2004">
        <f>IF(AND(Inputs!$B$39&lt;&gt;"pvp",Inputs!$B$44&gt;0),IF(Inputs!$B$44&lt;=0,0,(INT(Inputs!$B$44/IF(Inputs!$B$39="pvp",15,MAX(0.1,Skills!D21-IF(Skills!E21=TRUE,Inputs!$B$32,0))))+1)),0)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Skills!Y19*(1+Inputs!$B$34/100))+MIN((Skills!Y19*(1+Inputs!$B$34/100)),MAX(0,Inputs!$B$44-((R2002-1)*Skills!D19))))/Inputs!$B$44),IF(Inputs!$B$39="pvp",MIN((Skills!Y19*(1+Inputs!$B$34/100)),15)/15,(Skills!Y19*(1+Inputs!$B$34/100))/Skills!D19)))/150)))/100</f>
        <v/>
      </c>
    </row>
    <row r="2017">
      <c r="A2017" t="inlineStr">
        <is>
          <t>Alchemic Adrenaline Uptime</t>
        </is>
      </c>
      <c r="B2017">
        <f>(Skills!Y6*(1+Inputs!$B$34/100))/((Skills!Y6*(1+Inputs!$B$34/100))+(5/B2016))</f>
        <v/>
      </c>
    </row>
    <row r="2018">
      <c r="A2018" t="inlineStr">
        <is>
          <t>Attack Speed Buff Bonus %</t>
        </is>
      </c>
      <c r="B2018">
        <f>((C2002=TRUE)*F2002*IF(AND(Inputs!$B$39&lt;&gt;"pvp",Inputs!$B$44&gt;0),(((R2002-1)*(Skills!Y19*(1+Inputs!$B$34/100))+MIN((Skills!Y19*(1+Inputs!$B$34/100)),MAX(0,Inputs!$B$44-((R2002-1)*Skills!D19))))/Inputs!$B$44),IF(Inputs!$B$39="pvp",MIN((Skills!Y19*(1+Inputs!$B$34/100)),15)/15,(Skills!Y19*(1+Inputs!$B$34/100))/Skills!D19)))+((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f>
        <v/>
      </c>
    </row>
    <row r="2023">
      <c r="A2023" t="inlineStr">
        <is>
          <t>Global Crit Rate Bonus %</t>
        </is>
      </c>
      <c r="B2023">
        <f>IF(Inputs!$B$3&gt;=47,8,0)+((C2003=TRUE)*F2003*IF(AND(Inputs!$B$39&lt;&gt;"pvp",Inputs!$B$44&gt;0),(((R2003-1)*(Skills!Y20*(1+Inputs!$B$34/100))+MIN((Skills!Y20*(1+Inputs!$B$34/100)),MAX(0,Inputs!$B$44-((R2003-1)*Skills!D20))))/Inputs!$B$44),IF(Inputs!$B$39="pvp",MIN((Skills!Y20*(1+Inputs!$B$34/100)),15)/15,(Skills!Y20*(1+Inputs!$B$34/100))/Skills!D20)))</f>
        <v/>
      </c>
    </row>
    <row r="2024">
      <c r="A2024" t="inlineStr">
        <is>
          <t>Global Monster Damage-Taken Bonus %</t>
        </is>
      </c>
      <c r="B2024">
        <f>IF(Inputs!$B$3&gt;=82,15,0)+((C1999=TRUE)*F1999*IF(AND(Inputs!$B$39&lt;&gt;"pvp",Inputs!$B$44&gt;0),(((R1999-1)*(Skills!Y16*(1+Inputs!$B$34/100))+MIN((Skills!Y16*(1+Inputs!$B$34/100)),MAX(0,Inputs!$B$44-((R1999-1)*Skills!D16))))/Inputs!$B$44),IF(Inputs!$B$39="pvp",MIN((Skills!Y16*(1+Inputs!$B$34/100)),15)/15,(Skills!Y16*(1+Inputs!$B$34/100))/Skills!D16)))</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Skills!Y16*(1+Inputs!$B$34/100))+MIN((Skills!Y16*(1+Inputs!$B$34/100)),MAX(0,Inputs!$B$44-((R1999-1)*Skills!D16))))/Inputs!$B$44),IF(Inputs!$B$39="pvp",MIN((Skills!Y16*(1+Inputs!$B$34/100)),15)/15,(Skills!Y16*(1+Inputs!$B$34/100))/Skills!D16))</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IFERROR(1/IF(Inputs!$B$39="pvp",15,MAX(0.1,Skills!D3-IF(Skills!E3=TRUE,Inputs!$B$32,0))),0)</f>
        <v/>
      </c>
      <c r="R2035">
        <f>IF(AND(Inputs!$B$39&lt;&gt;"pvp",Inputs!$B$44&gt;0),IF(MAX(0,Inputs!$B$44-B2077)&lt;=0,0,(INT(MAX(0,Inputs!$B$44-B2077)/IF(Inputs!$B$39="pvp",15,MAX(0.1,Skills!D3-IF(Skills!E3=TRUE,Inputs!$B$32,0))))+1)),0)</f>
        <v/>
      </c>
      <c r="S2035">
        <f>IFERROR(O2035/N2035,0)</f>
        <v/>
      </c>
      <c r="T2035">
        <f>IF(C2035,(H2035*N2035*IF(AND(Inputs!$B$39&lt;&gt;"pvp",Inputs!$B$44&gt;0),((Skills!G3*((R2035-1)*IF(Skills!H3&gt;0,Skills!I3/Skills!H3,1)+IF(Skills!H3&gt;0,MIN(Skills!I3,MAX(0,MAX(0,Inputs!$B$44-B2077)-((R2035-1)*IF(Inputs!$B$39="pvp",15,MAX(0.1,Skills!D3-IF(Skills!E3=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Skills!E3=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Inputs!$B$3&gt;=40</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IFERROR(1/IF(Inputs!$B$39="pvp",15,MAX(0.1,Skills!D4-IF(Skills!E4=TRUE,Inputs!$B$32,0))),0)</f>
        <v/>
      </c>
      <c r="R2036">
        <f>IF(AND(Inputs!$B$39&lt;&gt;"pvp",Inputs!$B$44&gt;0),IF(MAX(0,Inputs!$B$44-B2077)&lt;=0,0,(INT(MAX(0,Inputs!$B$44-B2077)/IF(Inputs!$B$39="pvp",15,MAX(0.1,Skills!D4-IF(Skills!E4=TRUE,Inputs!$B$32,0))))+1)),0)</f>
        <v/>
      </c>
      <c r="S2036">
        <f>IFERROR(O2036/N2036,0)</f>
        <v/>
      </c>
      <c r="T2036">
        <f>IF(C2036,(H2036*N2036*IF(AND(Inputs!$B$39&lt;&gt;"pvp",Inputs!$B$44&gt;0),((Skills!G4*((R2036-1)*IF(Skills!H4&gt;0,Skills!I4/Skills!H4,1)+IF(Skills!H4&gt;0,MIN(Skills!I4,MAX(0,MAX(0,Inputs!$B$44-B2077)-((R2036-1)*IF(Inputs!$B$39="pvp",15,MAX(0.1,Skills!D4-IF(Skills!E4=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Skills!E4=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IFERROR(1/IF(Inputs!$B$39="pvp",15,MAX(0.1,Skills!D5-IF(Skills!E5=TRUE,Inputs!$B$32,0))),0)</f>
        <v/>
      </c>
      <c r="R2037">
        <f>IF(AND(Inputs!$B$39&lt;&gt;"pvp",Inputs!$B$44&gt;0),IF(MAX(0,Inputs!$B$44-B2077)&lt;=0,0,(INT(MAX(0,Inputs!$B$44-B2077)/IF(Inputs!$B$39="pvp",15,MAX(0.1,Skills!D5-IF(Skills!E5=TRUE,Inputs!$B$32,0))))+1)),0)</f>
        <v/>
      </c>
      <c r="S2037">
        <f>IFERROR(O2037/N2037,0)</f>
        <v/>
      </c>
      <c r="T2037">
        <f>IF(C2037,(H2037*N2037*IF(AND(Inputs!$B$39&lt;&gt;"pvp",Inputs!$B$44&gt;0),((Skills!G5*((R2037-1)*IF(Skills!H5&gt;0,Skills!I5/Skills!H5,1)+IF(Skills!H5&gt;0,MIN(Skills!I5,MAX(0,MAX(0,Inputs!$B$44-B2077)-((R2037-1)*IF(Inputs!$B$39="pvp",15,MAX(0.1,Skills!D5-IF(Skills!E5=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Skills!E5=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IFERROR(1/IF(Inputs!$B$39="pvp",15,MAX(0.1,Skills!D8-IF(Skills!E8=TRUE,Inputs!$B$32,0))),0)</f>
        <v/>
      </c>
      <c r="R2040">
        <f>IF(AND(Inputs!$B$39&lt;&gt;"pvp",Inputs!$B$44&gt;0),IF(MAX(0,Inputs!$B$44-B2077)&lt;=0,0,(INT(MAX(0,Inputs!$B$44-B2077)/IF(Inputs!$B$39="pvp",15,MAX(0.1,Skills!D8-IF(Skills!E8=TRUE,Inputs!$B$32,0))))+1)),0)</f>
        <v/>
      </c>
      <c r="S2040">
        <f>IFERROR(O2040/N2040,0)</f>
        <v/>
      </c>
      <c r="T2040">
        <f>IF(C2040,(H2040*N2040*IF(AND(Inputs!$B$39&lt;&gt;"pvp",Inputs!$B$44&gt;0),((Skills!G8*((R2040-1)*IF(Skills!H8&gt;0,Skills!I8/Skills!H8,1)+IF(Skills!H8&gt;0,MIN(Skills!I8,MAX(0,MAX(0,Inputs!$B$44-B2077)-((R2040-1)*IF(Inputs!$B$39="pvp",15,MAX(0.1,Skills!D8-IF(Skills!E8=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Skills!E8=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Inputs!$B$3&gt;=72</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IFERROR(1/IF(Inputs!$B$39="pvp",15,MAX(0.1,Skills!D9-IF(Skills!E9=TRUE,Inputs!$B$32,0))),0)</f>
        <v/>
      </c>
      <c r="R2041">
        <f>IF(AND(Inputs!$B$39&lt;&gt;"pvp",Inputs!$B$44&gt;0),IF(MAX(0,Inputs!$B$44-B2077)&lt;=0,0,(INT(MAX(0,Inputs!$B$44-B2077)/IF(Inputs!$B$39="pvp",15,MAX(0.1,Skills!D9-IF(Skills!E9=TRUE,Inputs!$B$32,0))))+1)),0)</f>
        <v/>
      </c>
      <c r="S2041">
        <f>IFERROR(O2041/N2041,0)</f>
        <v/>
      </c>
      <c r="T2041">
        <f>IF(C2041,(H2041*N2041*IF(AND(Inputs!$B$39&lt;&gt;"pvp",Inputs!$B$44&gt;0),((Skills!G9*((R2041-1)*IF(Skills!H9&gt;0,Skills!I9/Skills!H9,1)+IF(Skills!H9&gt;0,MIN(Skills!I9,MAX(0,MAX(0,Inputs!$B$44-B2077)-((R2041-1)*IF(Inputs!$B$39="pvp",15,MAX(0.1,Skills!D9-IF(Skills!E9=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Skills!E9=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IFERROR(1/IF(Inputs!$B$39="pvp",15,MAX(0.1,Skills!D12-IF(Skills!E12=TRUE,Inputs!$B$32,0))),0)</f>
        <v/>
      </c>
      <c r="R2044">
        <f>IF(AND(Inputs!$B$39&lt;&gt;"pvp",Inputs!$B$44&gt;0),IF(MAX(0,Inputs!$B$44-B2077)&lt;=0,0,(INT(MAX(0,Inputs!$B$44-B2077)/IF(Inputs!$B$39="pvp",15,MAX(0.1,Skills!D12-IF(Skills!E12=TRUE,Inputs!$B$32,0))))+1)),0)</f>
        <v/>
      </c>
      <c r="S2044">
        <f>IFERROR(O2044/N2044,0)</f>
        <v/>
      </c>
      <c r="T2044">
        <f>IF(C2044,(H2044*N2044*IF(AND(Inputs!$B$39&lt;&gt;"pvp",Inputs!$B$44&gt;0),((Skills!G12*((R2044-1)*IF(Skills!H12&gt;0,Skills!I12/Skills!H12,1)+IF(Skills!H12&gt;0,MIN(Skills!I12,MAX(0,MAX(0,Inputs!$B$44-B2077)-((R2044-1)*IF(Inputs!$B$39="pvp",15,MAX(0.1,Skills!D12-IF(Skills!E12=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Skills!E12=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IFERROR(1/IF(Inputs!$B$39="pvp",15,MAX(0.1,Skills!D13-IF(Skills!E13=TRUE,Inputs!$B$32,0))),0)</f>
        <v/>
      </c>
      <c r="R2045">
        <f>IF(AND(Inputs!$B$39&lt;&gt;"pvp",Inputs!$B$44&gt;0),IF(MAX(0,Inputs!$B$44-B2077)&lt;=0,0,(INT(MAX(0,Inputs!$B$44-B2077)/IF(Inputs!$B$39="pvp",15,MAX(0.1,Skills!D13-IF(Skills!E13=TRUE,Inputs!$B$32,0))))+1)),0)</f>
        <v/>
      </c>
      <c r="S2045">
        <f>IFERROR(O2045/N2045,0)</f>
        <v/>
      </c>
      <c r="T2045">
        <f>IF(C2045,(H2045*N2045*IF(AND(Inputs!$B$39&lt;&gt;"pvp",Inputs!$B$44&gt;0),((Skills!G13*((R2045-1)*IF(Skills!H13&gt;0,Skills!I13/Skills!H13,1)+IF(Skills!H13&gt;0,MIN(Skills!I13,MAX(0,MAX(0,Inputs!$B$44-B2077)-((R2045-1)*IF(Inputs!$B$39="pvp",15,MAX(0.1,Skills!D13-IF(Skills!E13=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Skills!E13=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IFERROR(1/IF(Inputs!$B$39="pvp",15,MAX(0.1,Skills!D14-IF(Skills!E14=TRUE,Inputs!$B$32,0))),0)</f>
        <v/>
      </c>
      <c r="R2046">
        <f>IF(AND(Inputs!$B$39&lt;&gt;"pvp",Inputs!$B$44&gt;0),IF(MAX(0,Inputs!$B$44-B2077)&lt;=0,0,(INT(MAX(0,Inputs!$B$44-B2077)/IF(Inputs!$B$39="pvp",15,MAX(0.1,Skills!D14-IF(Skills!E14=TRUE,Inputs!$B$32,0))))+1)),0)</f>
        <v/>
      </c>
      <c r="S2046">
        <f>IFERROR(O2046/N2046,0)</f>
        <v/>
      </c>
      <c r="T2046">
        <f>IF(C2046,(H2046*N2046*IF(AND(Inputs!$B$39&lt;&gt;"pvp",Inputs!$B$44&gt;0),((Skills!G14*((R2046-1)*IF(Skills!H14&gt;0,Skills!I14/Skills!H14,1)+IF(Skills!H14&gt;0,MIN(Skills!I14,MAX(0,MAX(0,Inputs!$B$44-B2077)-((R2046-1)*IF(Inputs!$B$39="pvp",15,MAX(0.1,Skills!D14-IF(Skills!E14=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Skills!E14=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IFERROR(1/IF(Inputs!$B$39="pvp",15,MAX(0.1,Skills!D15-IF(Skills!E15=TRUE,Inputs!$B$32,0))),0)</f>
        <v/>
      </c>
      <c r="R2047">
        <f>IF(AND(Inputs!$B$39&lt;&gt;"pvp",Inputs!$B$44&gt;0),IF(Inputs!$B$44&lt;=0,0,(INT(Inputs!$B$44/IF(Inputs!$B$39="pvp",15,MAX(0.1,Skills!D15-IF(Skills!E15=TRUE,Inputs!$B$32,0))))+1)),0)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IFERROR(1/IF(Inputs!$B$39="pvp",15,MAX(0.1,Skills!D16-IF(Skills!E16=TRUE,Inputs!$B$32,0))),0)</f>
        <v/>
      </c>
      <c r="R2048">
        <f>IF(AND(Inputs!$B$39&lt;&gt;"pvp",Inputs!$B$44&gt;0),IF(Inputs!$B$44&lt;=0,0,(INT(Inputs!$B$44/IF(Inputs!$B$39="pvp",15,MAX(0.1,Skills!D16-IF(Skills!E16=TRUE,Inputs!$B$32,0))))+1)),0)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IFERROR(1/IF(Inputs!$B$39="pvp",15,MAX(0.1,Skills!D19-IF(Skills!E19=TRUE,Inputs!$B$32,0))),0)</f>
        <v/>
      </c>
      <c r="R2051">
        <f>IF(AND(Inputs!$B$39&lt;&gt;"pvp",Inputs!$B$44&gt;0),IF(Inputs!$B$44&lt;=0,0,(INT(Inputs!$B$44/IF(Inputs!$B$39="pvp",15,MAX(0.1,Skills!D19-IF(Skills!E19=TRUE,Inputs!$B$32,0))))+1)),0)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IFERROR(1/IF(Inputs!$B$39="pvp",15,MAX(0.1,Skills!D20-IF(Skills!E20=TRUE,Inputs!$B$32,0))),0)</f>
        <v/>
      </c>
      <c r="R2052">
        <f>IF(AND(Inputs!$B$39&lt;&gt;"pvp",Inputs!$B$44&gt;0),IF(Inputs!$B$44&lt;=0,0,(INT(Inputs!$B$44/IF(Inputs!$B$39="pvp",15,MAX(0.1,Skills!D20-IF(Skills!E20=TRUE,Inputs!$B$32,0))))+1)),0)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IFERROR(1/IF(Inputs!$B$39="pvp",15,MAX(0.1,Skills!D21-IF(Skills!E21=TRUE,Inputs!$B$32,0))),0)</f>
        <v/>
      </c>
      <c r="R2053">
        <f>IF(AND(Inputs!$B$39&lt;&gt;"pvp",Inputs!$B$44&gt;0),IF(Inputs!$B$44&lt;=0,0,(INT(Inputs!$B$44/IF(Inputs!$B$39="pvp",15,MAX(0.1,Skills!D21-IF(Skills!E21=TRUE,Inputs!$B$32,0))))+1)),0)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Skills!Y19*(1+Inputs!$B$34/100))+MIN((Skills!Y19*(1+Inputs!$B$34/100)),MAX(0,Inputs!$B$44-((R2051-1)*Skills!D19))))/Inputs!$B$44),IF(Inputs!$B$39="pvp",MIN((Skills!Y19*(1+Inputs!$B$34/100)),15)/15,(Skills!Y19*(1+Inputs!$B$34/100))/Skills!D19)))/150)))/100</f>
        <v/>
      </c>
    </row>
    <row r="2066">
      <c r="A2066" t="inlineStr">
        <is>
          <t>Alchemic Adrenaline Uptime</t>
        </is>
      </c>
      <c r="B2066">
        <f>(Skills!Y6*(1+Inputs!$B$34/100))/((Skills!Y6*(1+Inputs!$B$34/100))+(5/B2065))</f>
        <v/>
      </c>
    </row>
    <row r="2067">
      <c r="A2067" t="inlineStr">
        <is>
          <t>Attack Speed Buff Bonus %</t>
        </is>
      </c>
      <c r="B2067">
        <f>((C2051=TRUE)*F2051*IF(AND(Inputs!$B$39&lt;&gt;"pvp",Inputs!$B$44&gt;0),(((R2051-1)*(Skills!Y19*(1+Inputs!$B$34/100))+MIN((Skills!Y19*(1+Inputs!$B$34/100)),MAX(0,Inputs!$B$44-((R2051-1)*Skills!D19))))/Inputs!$B$44),IF(Inputs!$B$39="pvp",MIN((Skills!Y19*(1+Inputs!$B$34/100)),15)/15,(Skills!Y19*(1+Inputs!$B$34/100))/Skills!D19)))+((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f>
        <v/>
      </c>
    </row>
    <row r="2072">
      <c r="A2072" t="inlineStr">
        <is>
          <t>Global Crit Rate Bonus %</t>
        </is>
      </c>
      <c r="B2072">
        <f>IF(Inputs!$B$3&gt;=47,8,0)+((C2052=TRUE)*F2052*IF(AND(Inputs!$B$39&lt;&gt;"pvp",Inputs!$B$44&gt;0),(((R2052-1)*(Skills!Y20*(1+Inputs!$B$34/100))+MIN((Skills!Y20*(1+Inputs!$B$34/100)),MAX(0,Inputs!$B$44-((R2052-1)*Skills!D20))))/Inputs!$B$44),IF(Inputs!$B$39="pvp",MIN((Skills!Y20*(1+Inputs!$B$34/100)),15)/15,(Skills!Y20*(1+Inputs!$B$34/100))/Skills!D20)))</f>
        <v/>
      </c>
    </row>
    <row r="2073">
      <c r="A2073" t="inlineStr">
        <is>
          <t>Global Monster Damage-Taken Bonus %</t>
        </is>
      </c>
      <c r="B2073">
        <f>IF(Inputs!$B$3&gt;=82,15,0)+((C2048=TRUE)*F2048*IF(AND(Inputs!$B$39&lt;&gt;"pvp",Inputs!$B$44&gt;0),(((R2048-1)*(Skills!Y16*(1+Inputs!$B$34/100))+MIN((Skills!Y16*(1+Inputs!$B$34/100)),MAX(0,Inputs!$B$44-((R2048-1)*Skills!D16))))/Inputs!$B$44),IF(Inputs!$B$39="pvp",MIN((Skills!Y16*(1+Inputs!$B$34/100)),15)/15,(Skills!Y16*(1+Inputs!$B$34/100))/Skills!D16)))</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Skills!Y16*(1+Inputs!$B$34/100))+MIN((Skills!Y16*(1+Inputs!$B$34/100)),MAX(0,Inputs!$B$44-((R2048-1)*Skills!D16))))/Inputs!$B$44),IF(Inputs!$B$39="pvp",MIN((Skills!Y16*(1+Inputs!$B$34/100)),15)/15,(Skills!Y16*(1+Inputs!$B$34/100))/Skills!D16))</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IFERROR(1/IF(Inputs!$B$39="pvp",15,MAX(0.1,Skills!D3-IF(Skills!E3=TRUE,Inputs!$B$32,0))),0)</f>
        <v/>
      </c>
      <c r="R2084">
        <f>IF(AND(Inputs!$B$39&lt;&gt;"pvp",Inputs!$B$44&gt;0),IF(MAX(0,Inputs!$B$44-B2126)&lt;=0,0,(INT(MAX(0,Inputs!$B$44-B2126)/IF(Inputs!$B$39="pvp",15,MAX(0.1,Skills!D3-IF(Skills!E3=TRUE,Inputs!$B$32,0))))+1)),0)</f>
        <v/>
      </c>
      <c r="S2084">
        <f>IFERROR(O2084/N2084,0)</f>
        <v/>
      </c>
      <c r="T2084">
        <f>IF(C2084,(H2084*N2084*IF(AND(Inputs!$B$39&lt;&gt;"pvp",Inputs!$B$44&gt;0),((Skills!G3*((R2084-1)*IF(Skills!H3&gt;0,Skills!I3/Skills!H3,1)+IF(Skills!H3&gt;0,MIN(Skills!I3,MAX(0,MAX(0,Inputs!$B$44-B2126)-((R2084-1)*IF(Inputs!$B$39="pvp",15,MAX(0.1,Skills!D3-IF(Skills!E3=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Skills!E3=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Inputs!$B$3&gt;=40</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IFERROR(1/IF(Inputs!$B$39="pvp",15,MAX(0.1,Skills!D4-IF(Skills!E4=TRUE,Inputs!$B$32,0))),0)</f>
        <v/>
      </c>
      <c r="R2085">
        <f>IF(AND(Inputs!$B$39&lt;&gt;"pvp",Inputs!$B$44&gt;0),IF(MAX(0,Inputs!$B$44-B2126)&lt;=0,0,(INT(MAX(0,Inputs!$B$44-B2126)/IF(Inputs!$B$39="pvp",15,MAX(0.1,Skills!D4-IF(Skills!E4=TRUE,Inputs!$B$32,0))))+1)),0)</f>
        <v/>
      </c>
      <c r="S2085">
        <f>IFERROR(O2085/N2085,0)</f>
        <v/>
      </c>
      <c r="T2085">
        <f>IF(C2085,(H2085*N2085*IF(AND(Inputs!$B$39&lt;&gt;"pvp",Inputs!$B$44&gt;0),((Skills!G4*((R2085-1)*IF(Skills!H4&gt;0,Skills!I4/Skills!H4,1)+IF(Skills!H4&gt;0,MIN(Skills!I4,MAX(0,MAX(0,Inputs!$B$44-B2126)-((R2085-1)*IF(Inputs!$B$39="pvp",15,MAX(0.1,Skills!D4-IF(Skills!E4=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Skills!E4=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IFERROR(1/IF(Inputs!$B$39="pvp",15,MAX(0.1,Skills!D5-IF(Skills!E5=TRUE,Inputs!$B$32,0))),0)</f>
        <v/>
      </c>
      <c r="R2086">
        <f>IF(AND(Inputs!$B$39&lt;&gt;"pvp",Inputs!$B$44&gt;0),IF(MAX(0,Inputs!$B$44-B2126)&lt;=0,0,(INT(MAX(0,Inputs!$B$44-B2126)/IF(Inputs!$B$39="pvp",15,MAX(0.1,Skills!D5-IF(Skills!E5=TRUE,Inputs!$B$32,0))))+1)),0)</f>
        <v/>
      </c>
      <c r="S2086">
        <f>IFERROR(O2086/N2086,0)</f>
        <v/>
      </c>
      <c r="T2086">
        <f>IF(C2086,(H2086*N2086*IF(AND(Inputs!$B$39&lt;&gt;"pvp",Inputs!$B$44&gt;0),((Skills!G5*((R2086-1)*IF(Skills!H5&gt;0,Skills!I5/Skills!H5,1)+IF(Skills!H5&gt;0,MIN(Skills!I5,MAX(0,MAX(0,Inputs!$B$44-B2126)-((R2086-1)*IF(Inputs!$B$39="pvp",15,MAX(0.1,Skills!D5-IF(Skills!E5=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Skills!E5=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IFERROR(1/IF(Inputs!$B$39="pvp",15,MAX(0.1,Skills!D8-IF(Skills!E8=TRUE,Inputs!$B$32,0))),0)</f>
        <v/>
      </c>
      <c r="R2089">
        <f>IF(AND(Inputs!$B$39&lt;&gt;"pvp",Inputs!$B$44&gt;0),IF(MAX(0,Inputs!$B$44-B2126)&lt;=0,0,(INT(MAX(0,Inputs!$B$44-B2126)/IF(Inputs!$B$39="pvp",15,MAX(0.1,Skills!D8-IF(Skills!E8=TRUE,Inputs!$B$32,0))))+1)),0)</f>
        <v/>
      </c>
      <c r="S2089">
        <f>IFERROR(O2089/N2089,0)</f>
        <v/>
      </c>
      <c r="T2089">
        <f>IF(C2089,(H2089*N2089*IF(AND(Inputs!$B$39&lt;&gt;"pvp",Inputs!$B$44&gt;0),((Skills!G8*((R2089-1)*IF(Skills!H8&gt;0,Skills!I8/Skills!H8,1)+IF(Skills!H8&gt;0,MIN(Skills!I8,MAX(0,MAX(0,Inputs!$B$44-B2126)-((R2089-1)*IF(Inputs!$B$39="pvp",15,MAX(0.1,Skills!D8-IF(Skills!E8=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Skills!E8=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Inputs!$B$3&gt;=72</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IFERROR(1/IF(Inputs!$B$39="pvp",15,MAX(0.1,Skills!D9-IF(Skills!E9=TRUE,Inputs!$B$32,0))),0)</f>
        <v/>
      </c>
      <c r="R2090">
        <f>IF(AND(Inputs!$B$39&lt;&gt;"pvp",Inputs!$B$44&gt;0),IF(MAX(0,Inputs!$B$44-B2126)&lt;=0,0,(INT(MAX(0,Inputs!$B$44-B2126)/IF(Inputs!$B$39="pvp",15,MAX(0.1,Skills!D9-IF(Skills!E9=TRUE,Inputs!$B$32,0))))+1)),0)</f>
        <v/>
      </c>
      <c r="S2090">
        <f>IFERROR(O2090/N2090,0)</f>
        <v/>
      </c>
      <c r="T2090">
        <f>IF(C2090,(H2090*N2090*IF(AND(Inputs!$B$39&lt;&gt;"pvp",Inputs!$B$44&gt;0),((Skills!G9*((R2090-1)*IF(Skills!H9&gt;0,Skills!I9/Skills!H9,1)+IF(Skills!H9&gt;0,MIN(Skills!I9,MAX(0,MAX(0,Inputs!$B$44-B2126)-((R2090-1)*IF(Inputs!$B$39="pvp",15,MAX(0.1,Skills!D9-IF(Skills!E9=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Skills!E9=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IFERROR(1/IF(Inputs!$B$39="pvp",15,MAX(0.1,Skills!D12-IF(Skills!E12=TRUE,Inputs!$B$32,0))),0)</f>
        <v/>
      </c>
      <c r="R2093">
        <f>IF(AND(Inputs!$B$39&lt;&gt;"pvp",Inputs!$B$44&gt;0),IF(MAX(0,Inputs!$B$44-B2126)&lt;=0,0,(INT(MAX(0,Inputs!$B$44-B2126)/IF(Inputs!$B$39="pvp",15,MAX(0.1,Skills!D12-IF(Skills!E12=TRUE,Inputs!$B$32,0))))+1)),0)</f>
        <v/>
      </c>
      <c r="S2093">
        <f>IFERROR(O2093/N2093,0)</f>
        <v/>
      </c>
      <c r="T2093">
        <f>IF(C2093,(H2093*N2093*IF(AND(Inputs!$B$39&lt;&gt;"pvp",Inputs!$B$44&gt;0),((Skills!G12*((R2093-1)*IF(Skills!H12&gt;0,Skills!I12/Skills!H12,1)+IF(Skills!H12&gt;0,MIN(Skills!I12,MAX(0,MAX(0,Inputs!$B$44-B2126)-((R2093-1)*IF(Inputs!$B$39="pvp",15,MAX(0.1,Skills!D12-IF(Skills!E12=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Skills!E12=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IFERROR(1/IF(Inputs!$B$39="pvp",15,MAX(0.1,Skills!D13-IF(Skills!E13=TRUE,Inputs!$B$32,0))),0)</f>
        <v/>
      </c>
      <c r="R2094">
        <f>IF(AND(Inputs!$B$39&lt;&gt;"pvp",Inputs!$B$44&gt;0),IF(MAX(0,Inputs!$B$44-B2126)&lt;=0,0,(INT(MAX(0,Inputs!$B$44-B2126)/IF(Inputs!$B$39="pvp",15,MAX(0.1,Skills!D13-IF(Skills!E13=TRUE,Inputs!$B$32,0))))+1)),0)</f>
        <v/>
      </c>
      <c r="S2094">
        <f>IFERROR(O2094/N2094,0)</f>
        <v/>
      </c>
      <c r="T2094">
        <f>IF(C2094,(H2094*N2094*IF(AND(Inputs!$B$39&lt;&gt;"pvp",Inputs!$B$44&gt;0),((Skills!G13*((R2094-1)*IF(Skills!H13&gt;0,Skills!I13/Skills!H13,1)+IF(Skills!H13&gt;0,MIN(Skills!I13,MAX(0,MAX(0,Inputs!$B$44-B2126)-((R2094-1)*IF(Inputs!$B$39="pvp",15,MAX(0.1,Skills!D13-IF(Skills!E13=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Skills!E13=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IFERROR(1/IF(Inputs!$B$39="pvp",15,MAX(0.1,Skills!D14-IF(Skills!E14=TRUE,Inputs!$B$32,0))),0)</f>
        <v/>
      </c>
      <c r="R2095">
        <f>IF(AND(Inputs!$B$39&lt;&gt;"pvp",Inputs!$B$44&gt;0),IF(MAX(0,Inputs!$B$44-B2126)&lt;=0,0,(INT(MAX(0,Inputs!$B$44-B2126)/IF(Inputs!$B$39="pvp",15,MAX(0.1,Skills!D14-IF(Skills!E14=TRUE,Inputs!$B$32,0))))+1)),0)</f>
        <v/>
      </c>
      <c r="S2095">
        <f>IFERROR(O2095/N2095,0)</f>
        <v/>
      </c>
      <c r="T2095">
        <f>IF(C2095,(H2095*N2095*IF(AND(Inputs!$B$39&lt;&gt;"pvp",Inputs!$B$44&gt;0),((Skills!G14*((R2095-1)*IF(Skills!H14&gt;0,Skills!I14/Skills!H14,1)+IF(Skills!H14&gt;0,MIN(Skills!I14,MAX(0,MAX(0,Inputs!$B$44-B2126)-((R2095-1)*IF(Inputs!$B$39="pvp",15,MAX(0.1,Skills!D14-IF(Skills!E14=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Skills!E14=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IFERROR(1/IF(Inputs!$B$39="pvp",15,MAX(0.1,Skills!D15-IF(Skills!E15=TRUE,Inputs!$B$32,0))),0)</f>
        <v/>
      </c>
      <c r="R2096">
        <f>IF(AND(Inputs!$B$39&lt;&gt;"pvp",Inputs!$B$44&gt;0),IF(Inputs!$B$44&lt;=0,0,(INT(Inputs!$B$44/IF(Inputs!$B$39="pvp",15,MAX(0.1,Skills!D15-IF(Skills!E15=TRUE,Inputs!$B$32,0))))+1)),0)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IFERROR(1/IF(Inputs!$B$39="pvp",15,MAX(0.1,Skills!D16-IF(Skills!E16=TRUE,Inputs!$B$32,0))),0)</f>
        <v/>
      </c>
      <c r="R2097">
        <f>IF(AND(Inputs!$B$39&lt;&gt;"pvp",Inputs!$B$44&gt;0),IF(Inputs!$B$44&lt;=0,0,(INT(Inputs!$B$44/IF(Inputs!$B$39="pvp",15,MAX(0.1,Skills!D16-IF(Skills!E16=TRUE,Inputs!$B$32,0))))+1)),0)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IFERROR(1/IF(Inputs!$B$39="pvp",15,MAX(0.1,Skills!D19-IF(Skills!E19=TRUE,Inputs!$B$32,0))),0)</f>
        <v/>
      </c>
      <c r="R2100">
        <f>IF(AND(Inputs!$B$39&lt;&gt;"pvp",Inputs!$B$44&gt;0),IF(Inputs!$B$44&lt;=0,0,(INT(Inputs!$B$44/IF(Inputs!$B$39="pvp",15,MAX(0.1,Skills!D19-IF(Skills!E19=TRUE,Inputs!$B$32,0))))+1)),0)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IFERROR(1/IF(Inputs!$B$39="pvp",15,MAX(0.1,Skills!D20-IF(Skills!E20=TRUE,Inputs!$B$32,0))),0)</f>
        <v/>
      </c>
      <c r="R2101">
        <f>IF(AND(Inputs!$B$39&lt;&gt;"pvp",Inputs!$B$44&gt;0),IF(Inputs!$B$44&lt;=0,0,(INT(Inputs!$B$44/IF(Inputs!$B$39="pvp",15,MAX(0.1,Skills!D20-IF(Skills!E20=TRUE,Inputs!$B$32,0))))+1)),0)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IFERROR(1/IF(Inputs!$B$39="pvp",15,MAX(0.1,Skills!D21-IF(Skills!E21=TRUE,Inputs!$B$32,0))),0)</f>
        <v/>
      </c>
      <c r="R2102">
        <f>IF(AND(Inputs!$B$39&lt;&gt;"pvp",Inputs!$B$44&gt;0),IF(Inputs!$B$44&lt;=0,0,(INT(Inputs!$B$44/IF(Inputs!$B$39="pvp",15,MAX(0.1,Skills!D21-IF(Skills!E21=TRUE,Inputs!$B$32,0))))+1)),0)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Skills!Y19*(1+Inputs!$B$34/100))+MIN((Skills!Y19*(1+Inputs!$B$34/100)),MAX(0,Inputs!$B$44-((R2100-1)*Skills!D19))))/Inputs!$B$44),IF(Inputs!$B$39="pvp",MIN((Skills!Y19*(1+Inputs!$B$34/100)),15)/15,(Skills!Y19*(1+Inputs!$B$34/100))/Skills!D19)))/150)))/100</f>
        <v/>
      </c>
    </row>
    <row r="2115">
      <c r="A2115" t="inlineStr">
        <is>
          <t>Alchemic Adrenaline Uptime</t>
        </is>
      </c>
      <c r="B2115">
        <f>(Skills!Y6*(1+Inputs!$B$34/100))/((Skills!Y6*(1+Inputs!$B$34/100))+(5/B2114))</f>
        <v/>
      </c>
    </row>
    <row r="2116">
      <c r="A2116" t="inlineStr">
        <is>
          <t>Attack Speed Buff Bonus %</t>
        </is>
      </c>
      <c r="B2116">
        <f>((C2100=TRUE)*F2100*IF(AND(Inputs!$B$39&lt;&gt;"pvp",Inputs!$B$44&gt;0),(((R2100-1)*(Skills!Y19*(1+Inputs!$B$34/100))+MIN((Skills!Y19*(1+Inputs!$B$34/100)),MAX(0,Inputs!$B$44-((R2100-1)*Skills!D19))))/Inputs!$B$44),IF(Inputs!$B$39="pvp",MIN((Skills!Y19*(1+Inputs!$B$34/100)),15)/15,(Skills!Y19*(1+Inputs!$B$34/100))/Skills!D19)))+((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f>
        <v/>
      </c>
    </row>
    <row r="2121">
      <c r="A2121" t="inlineStr">
        <is>
          <t>Global Crit Rate Bonus %</t>
        </is>
      </c>
      <c r="B2121">
        <f>IF(Inputs!$B$3&gt;=47,8,0)+((C2101=TRUE)*F2101*IF(AND(Inputs!$B$39&lt;&gt;"pvp",Inputs!$B$44&gt;0),(((R2101-1)*(Skills!Y20*(1+Inputs!$B$34/100))+MIN((Skills!Y20*(1+Inputs!$B$34/100)),MAX(0,Inputs!$B$44-((R2101-1)*Skills!D20))))/Inputs!$B$44),IF(Inputs!$B$39="pvp",MIN((Skills!Y20*(1+Inputs!$B$34/100)),15)/15,(Skills!Y20*(1+Inputs!$B$34/100))/Skills!D20)))</f>
        <v/>
      </c>
    </row>
    <row r="2122">
      <c r="A2122" t="inlineStr">
        <is>
          <t>Global Monster Damage-Taken Bonus %</t>
        </is>
      </c>
      <c r="B2122">
        <f>IF(Inputs!$B$3&gt;=82,15,0)+((C2097=TRUE)*F2097*IF(AND(Inputs!$B$39&lt;&gt;"pvp",Inputs!$B$44&gt;0),(((R2097-1)*(Skills!Y16*(1+Inputs!$B$34/100))+MIN((Skills!Y16*(1+Inputs!$B$34/100)),MAX(0,Inputs!$B$44-((R2097-1)*Skills!D16))))/Inputs!$B$44),IF(Inputs!$B$39="pvp",MIN((Skills!Y16*(1+Inputs!$B$34/100)),15)/15,(Skills!Y16*(1+Inputs!$B$34/100))/Skills!D16)))</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Skills!Y16*(1+Inputs!$B$34/100))+MIN((Skills!Y16*(1+Inputs!$B$34/100)),MAX(0,Inputs!$B$44-((R2097-1)*Skills!D16))))/Inputs!$B$44),IF(Inputs!$B$39="pvp",MIN((Skills!Y16*(1+Inputs!$B$34/100)),15)/15,(Skills!Y16*(1+Inputs!$B$34/100))/Skills!D16))</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IFERROR(1/IF(Inputs!$B$39="pvp",15,MAX(0.1,Skills!D3-IF(Skills!E3=TRUE,Inputs!$B$32,0))),0)</f>
        <v/>
      </c>
      <c r="R2133">
        <f>IF(AND(Inputs!$B$39&lt;&gt;"pvp",Inputs!$B$44&gt;0),IF(MAX(0,Inputs!$B$44-B2175)&lt;=0,0,(INT(MAX(0,Inputs!$B$44-B2175)/IF(Inputs!$B$39="pvp",15,MAX(0.1,Skills!D3-IF(Skills!E3=TRUE,Inputs!$B$32,0))))+1)),0)</f>
        <v/>
      </c>
      <c r="S2133">
        <f>IFERROR(O2133/N2133,0)</f>
        <v/>
      </c>
      <c r="T2133">
        <f>IF(C2133,(H2133*N2133*IF(AND(Inputs!$B$39&lt;&gt;"pvp",Inputs!$B$44&gt;0),((Skills!G3*((R2133-1)*IF(Skills!H3&gt;0,Skills!I3/Skills!H3,1)+IF(Skills!H3&gt;0,MIN(Skills!I3,MAX(0,MAX(0,Inputs!$B$44-B2175)-((R2133-1)*IF(Inputs!$B$39="pvp",15,MAX(0.1,Skills!D3-IF(Skills!E3=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Skills!E3=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Inputs!$B$3&gt;=40</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IFERROR(1/IF(Inputs!$B$39="pvp",15,MAX(0.1,Skills!D4-IF(Skills!E4=TRUE,Inputs!$B$32,0))),0)</f>
        <v/>
      </c>
      <c r="R2134">
        <f>IF(AND(Inputs!$B$39&lt;&gt;"pvp",Inputs!$B$44&gt;0),IF(MAX(0,Inputs!$B$44-B2175)&lt;=0,0,(INT(MAX(0,Inputs!$B$44-B2175)/IF(Inputs!$B$39="pvp",15,MAX(0.1,Skills!D4-IF(Skills!E4=TRUE,Inputs!$B$32,0))))+1)),0)</f>
        <v/>
      </c>
      <c r="S2134">
        <f>IFERROR(O2134/N2134,0)</f>
        <v/>
      </c>
      <c r="T2134">
        <f>IF(C2134,(H2134*N2134*IF(AND(Inputs!$B$39&lt;&gt;"pvp",Inputs!$B$44&gt;0),((Skills!G4*((R2134-1)*IF(Skills!H4&gt;0,Skills!I4/Skills!H4,1)+IF(Skills!H4&gt;0,MIN(Skills!I4,MAX(0,MAX(0,Inputs!$B$44-B2175)-((R2134-1)*IF(Inputs!$B$39="pvp",15,MAX(0.1,Skills!D4-IF(Skills!E4=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Skills!E4=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IFERROR(1/IF(Inputs!$B$39="pvp",15,MAX(0.1,Skills!D5-IF(Skills!E5=TRUE,Inputs!$B$32,0))),0)</f>
        <v/>
      </c>
      <c r="R2135">
        <f>IF(AND(Inputs!$B$39&lt;&gt;"pvp",Inputs!$B$44&gt;0),IF(MAX(0,Inputs!$B$44-B2175)&lt;=0,0,(INT(MAX(0,Inputs!$B$44-B2175)/IF(Inputs!$B$39="pvp",15,MAX(0.1,Skills!D5-IF(Skills!E5=TRUE,Inputs!$B$32,0))))+1)),0)</f>
        <v/>
      </c>
      <c r="S2135">
        <f>IFERROR(O2135/N2135,0)</f>
        <v/>
      </c>
      <c r="T2135">
        <f>IF(C2135,(H2135*N2135*IF(AND(Inputs!$B$39&lt;&gt;"pvp",Inputs!$B$44&gt;0),((Skills!G5*((R2135-1)*IF(Skills!H5&gt;0,Skills!I5/Skills!H5,1)+IF(Skills!H5&gt;0,MIN(Skills!I5,MAX(0,MAX(0,Inputs!$B$44-B2175)-((R2135-1)*IF(Inputs!$B$39="pvp",15,MAX(0.1,Skills!D5-IF(Skills!E5=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Skills!E5=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IFERROR(1/IF(Inputs!$B$39="pvp",15,MAX(0.1,Skills!D8-IF(Skills!E8=TRUE,Inputs!$B$32,0))),0)</f>
        <v/>
      </c>
      <c r="R2138">
        <f>IF(AND(Inputs!$B$39&lt;&gt;"pvp",Inputs!$B$44&gt;0),IF(MAX(0,Inputs!$B$44-B2175)&lt;=0,0,(INT(MAX(0,Inputs!$B$44-B2175)/IF(Inputs!$B$39="pvp",15,MAX(0.1,Skills!D8-IF(Skills!E8=TRUE,Inputs!$B$32,0))))+1)),0)</f>
        <v/>
      </c>
      <c r="S2138">
        <f>IFERROR(O2138/N2138,0)</f>
        <v/>
      </c>
      <c r="T2138">
        <f>IF(C2138,(H2138*N2138*IF(AND(Inputs!$B$39&lt;&gt;"pvp",Inputs!$B$44&gt;0),((Skills!G8*((R2138-1)*IF(Skills!H8&gt;0,Skills!I8/Skills!H8,1)+IF(Skills!H8&gt;0,MIN(Skills!I8,MAX(0,MAX(0,Inputs!$B$44-B2175)-((R2138-1)*IF(Inputs!$B$39="pvp",15,MAX(0.1,Skills!D8-IF(Skills!E8=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Skills!E8=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Inputs!$B$3&gt;=72</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IFERROR(1/IF(Inputs!$B$39="pvp",15,MAX(0.1,Skills!D9-IF(Skills!E9=TRUE,Inputs!$B$32,0))),0)</f>
        <v/>
      </c>
      <c r="R2139">
        <f>IF(AND(Inputs!$B$39&lt;&gt;"pvp",Inputs!$B$44&gt;0),IF(MAX(0,Inputs!$B$44-B2175)&lt;=0,0,(INT(MAX(0,Inputs!$B$44-B2175)/IF(Inputs!$B$39="pvp",15,MAX(0.1,Skills!D9-IF(Skills!E9=TRUE,Inputs!$B$32,0))))+1)),0)</f>
        <v/>
      </c>
      <c r="S2139">
        <f>IFERROR(O2139/N2139,0)</f>
        <v/>
      </c>
      <c r="T2139">
        <f>IF(C2139,(H2139*N2139*IF(AND(Inputs!$B$39&lt;&gt;"pvp",Inputs!$B$44&gt;0),((Skills!G9*((R2139-1)*IF(Skills!H9&gt;0,Skills!I9/Skills!H9,1)+IF(Skills!H9&gt;0,MIN(Skills!I9,MAX(0,MAX(0,Inputs!$B$44-B2175)-((R2139-1)*IF(Inputs!$B$39="pvp",15,MAX(0.1,Skills!D9-IF(Skills!E9=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Skills!E9=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IFERROR(1/IF(Inputs!$B$39="pvp",15,MAX(0.1,Skills!D12-IF(Skills!E12=TRUE,Inputs!$B$32,0))),0)</f>
        <v/>
      </c>
      <c r="R2142">
        <f>IF(AND(Inputs!$B$39&lt;&gt;"pvp",Inputs!$B$44&gt;0),IF(MAX(0,Inputs!$B$44-B2175)&lt;=0,0,(INT(MAX(0,Inputs!$B$44-B2175)/IF(Inputs!$B$39="pvp",15,MAX(0.1,Skills!D12-IF(Skills!E12=TRUE,Inputs!$B$32,0))))+1)),0)</f>
        <v/>
      </c>
      <c r="S2142">
        <f>IFERROR(O2142/N2142,0)</f>
        <v/>
      </c>
      <c r="T2142">
        <f>IF(C2142,(H2142*N2142*IF(AND(Inputs!$B$39&lt;&gt;"pvp",Inputs!$B$44&gt;0),((Skills!G12*((R2142-1)*IF(Skills!H12&gt;0,Skills!I12/Skills!H12,1)+IF(Skills!H12&gt;0,MIN(Skills!I12,MAX(0,MAX(0,Inputs!$B$44-B2175)-((R2142-1)*IF(Inputs!$B$39="pvp",15,MAX(0.1,Skills!D12-IF(Skills!E12=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Skills!E12=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IFERROR(1/IF(Inputs!$B$39="pvp",15,MAX(0.1,Skills!D13-IF(Skills!E13=TRUE,Inputs!$B$32,0))),0)</f>
        <v/>
      </c>
      <c r="R2143">
        <f>IF(AND(Inputs!$B$39&lt;&gt;"pvp",Inputs!$B$44&gt;0),IF(MAX(0,Inputs!$B$44-B2175)&lt;=0,0,(INT(MAX(0,Inputs!$B$44-B2175)/IF(Inputs!$B$39="pvp",15,MAX(0.1,Skills!D13-IF(Skills!E13=TRUE,Inputs!$B$32,0))))+1)),0)</f>
        <v/>
      </c>
      <c r="S2143">
        <f>IFERROR(O2143/N2143,0)</f>
        <v/>
      </c>
      <c r="T2143">
        <f>IF(C2143,(H2143*N2143*IF(AND(Inputs!$B$39&lt;&gt;"pvp",Inputs!$B$44&gt;0),((Skills!G13*((R2143-1)*IF(Skills!H13&gt;0,Skills!I13/Skills!H13,1)+IF(Skills!H13&gt;0,MIN(Skills!I13,MAX(0,MAX(0,Inputs!$B$44-B2175)-((R2143-1)*IF(Inputs!$B$39="pvp",15,MAX(0.1,Skills!D13-IF(Skills!E13=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Skills!E13=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IFERROR(1/IF(Inputs!$B$39="pvp",15,MAX(0.1,Skills!D14-IF(Skills!E14=TRUE,Inputs!$B$32,0))),0)</f>
        <v/>
      </c>
      <c r="R2144">
        <f>IF(AND(Inputs!$B$39&lt;&gt;"pvp",Inputs!$B$44&gt;0),IF(MAX(0,Inputs!$B$44-B2175)&lt;=0,0,(INT(MAX(0,Inputs!$B$44-B2175)/IF(Inputs!$B$39="pvp",15,MAX(0.1,Skills!D14-IF(Skills!E14=TRUE,Inputs!$B$32,0))))+1)),0)</f>
        <v/>
      </c>
      <c r="S2144">
        <f>IFERROR(O2144/N2144,0)</f>
        <v/>
      </c>
      <c r="T2144">
        <f>IF(C2144,(H2144*N2144*IF(AND(Inputs!$B$39&lt;&gt;"pvp",Inputs!$B$44&gt;0),((Skills!G14*((R2144-1)*IF(Skills!H14&gt;0,Skills!I14/Skills!H14,1)+IF(Skills!H14&gt;0,MIN(Skills!I14,MAX(0,MAX(0,Inputs!$B$44-B2175)-((R2144-1)*IF(Inputs!$B$39="pvp",15,MAX(0.1,Skills!D14-IF(Skills!E14=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Skills!E14=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IFERROR(1/IF(Inputs!$B$39="pvp",15,MAX(0.1,Skills!D15-IF(Skills!E15=TRUE,Inputs!$B$32,0))),0)</f>
        <v/>
      </c>
      <c r="R2145">
        <f>IF(AND(Inputs!$B$39&lt;&gt;"pvp",Inputs!$B$44&gt;0),IF(Inputs!$B$44&lt;=0,0,(INT(Inputs!$B$44/IF(Inputs!$B$39="pvp",15,MAX(0.1,Skills!D15-IF(Skills!E15=TRUE,Inputs!$B$32,0))))+1)),0)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IFERROR(1/IF(Inputs!$B$39="pvp",15,MAX(0.1,Skills!D16-IF(Skills!E16=TRUE,Inputs!$B$32,0))),0)</f>
        <v/>
      </c>
      <c r="R2146">
        <f>IF(AND(Inputs!$B$39&lt;&gt;"pvp",Inputs!$B$44&gt;0),IF(Inputs!$B$44&lt;=0,0,(INT(Inputs!$B$44/IF(Inputs!$B$39="pvp",15,MAX(0.1,Skills!D16-IF(Skills!E16=TRUE,Inputs!$B$32,0))))+1)),0)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IFERROR(1/IF(Inputs!$B$39="pvp",15,MAX(0.1,Skills!D19-IF(Skills!E19=TRUE,Inputs!$B$32,0))),0)</f>
        <v/>
      </c>
      <c r="R2149">
        <f>IF(AND(Inputs!$B$39&lt;&gt;"pvp",Inputs!$B$44&gt;0),IF(Inputs!$B$44&lt;=0,0,(INT(Inputs!$B$44/IF(Inputs!$B$39="pvp",15,MAX(0.1,Skills!D19-IF(Skills!E19=TRUE,Inputs!$B$32,0))))+1)),0)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IFERROR(1/IF(Inputs!$B$39="pvp",15,MAX(0.1,Skills!D20-IF(Skills!E20=TRUE,Inputs!$B$32,0))),0)</f>
        <v/>
      </c>
      <c r="R2150">
        <f>IF(AND(Inputs!$B$39&lt;&gt;"pvp",Inputs!$B$44&gt;0),IF(Inputs!$B$44&lt;=0,0,(INT(Inputs!$B$44/IF(Inputs!$B$39="pvp",15,MAX(0.1,Skills!D20-IF(Skills!E20=TRUE,Inputs!$B$32,0))))+1)),0)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IFERROR(1/IF(Inputs!$B$39="pvp",15,MAX(0.1,Skills!D21-IF(Skills!E21=TRUE,Inputs!$B$32,0))),0)</f>
        <v/>
      </c>
      <c r="R2151">
        <f>IF(AND(Inputs!$B$39&lt;&gt;"pvp",Inputs!$B$44&gt;0),IF(Inputs!$B$44&lt;=0,0,(INT(Inputs!$B$44/IF(Inputs!$B$39="pvp",15,MAX(0.1,Skills!D21-IF(Skills!E21=TRUE,Inputs!$B$32,0))))+1)),0)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Skills!Y19*(1+Inputs!$B$34/100))+MIN((Skills!Y19*(1+Inputs!$B$34/100)),MAX(0,Inputs!$B$44-((R2149-1)*Skills!D19))))/Inputs!$B$44),IF(Inputs!$B$39="pvp",MIN((Skills!Y19*(1+Inputs!$B$34/100)),15)/15,(Skills!Y19*(1+Inputs!$B$34/100))/Skills!D19)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Skills!Y19*(1+Inputs!$B$34/100))+MIN((Skills!Y19*(1+Inputs!$B$34/100)),MAX(0,Inputs!$B$44-((R2149-1)*Skills!D19))))/Inputs!$B$44),IF(Inputs!$B$39="pvp",MIN((Skills!Y19*(1+Inputs!$B$34/100)),15)/15,(Skills!Y19*(1+Inputs!$B$34/100))/Skills!D19)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f>
        <v/>
      </c>
    </row>
    <row r="2170">
      <c r="A2170" t="inlineStr">
        <is>
          <t>Global Crit Rate Bonus %</t>
        </is>
      </c>
      <c r="B2170">
        <f>IF(Inputs!$B$3&gt;=47,8,0)+((C2150=TRUE)*F2150*IF(AND(Inputs!$B$39&lt;&gt;"pvp",Inputs!$B$44&gt;0),(((R2150-1)*(Skills!Y20*(1+Inputs!$B$34/100))+MIN((Skills!Y20*(1+Inputs!$B$34/100)),MAX(0,Inputs!$B$44-((R2150-1)*Skills!D20))))/Inputs!$B$44),IF(Inputs!$B$39="pvp",MIN((Skills!Y20*(1+Inputs!$B$34/100)),15)/15,(Skills!Y20*(1+Inputs!$B$34/100))/Skills!D20)))</f>
        <v/>
      </c>
    </row>
    <row r="2171">
      <c r="A2171" t="inlineStr">
        <is>
          <t>Global Monster Damage-Taken Bonus %</t>
        </is>
      </c>
      <c r="B2171">
        <f>IF(Inputs!$B$3&gt;=82,15,0)+((C2146=TRUE)*F2146*IF(AND(Inputs!$B$39&lt;&gt;"pvp",Inputs!$B$44&gt;0),(((R2146-1)*(Skills!Y16*(1+Inputs!$B$34/100))+MIN((Skills!Y16*(1+Inputs!$B$34/100)),MAX(0,Inputs!$B$44-((R2146-1)*Skills!D16))))/Inputs!$B$44),IF(Inputs!$B$39="pvp",MIN((Skills!Y16*(1+Inputs!$B$34/100)),15)/15,(Skills!Y16*(1+Inputs!$B$34/100))/Skills!D16)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Skills!Y16*(1+Inputs!$B$34/100))+MIN((Skills!Y16*(1+Inputs!$B$34/100)),MAX(0,Inputs!$B$44-((R2146-1)*Skills!D16))))/Inputs!$B$44),IF(Inputs!$B$39="pvp",MIN((Skills!Y16*(1+Inputs!$B$34/100)),15)/15,(Skills!Y16*(1+Inputs!$B$34/100))/Skills!D16)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IFERROR(1/IF(Inputs!$B$39="pvp",15,MAX(0.1,Skills!D3-IF(Skills!E3=TRUE,Inputs!$B$32,0))),0)</f>
        <v/>
      </c>
      <c r="R2182">
        <f>IF(AND(Inputs!$B$39&lt;&gt;"pvp",Inputs!$B$44&gt;0),IF(MAX(0,Inputs!$B$44-B2224)&lt;=0,0,(INT(MAX(0,Inputs!$B$44-B2224)/IF(Inputs!$B$39="pvp",15,MAX(0.1,Skills!D3-IF(Skills!E3=TRUE,Inputs!$B$32,0))))+1)),0)</f>
        <v/>
      </c>
      <c r="S2182">
        <f>IFERROR(O2182/N2182,0)</f>
        <v/>
      </c>
      <c r="T2182">
        <f>IF(C2182,(H2182*N2182*IF(AND(Inputs!$B$39&lt;&gt;"pvp",Inputs!$B$44&gt;0),((Skills!G3*((R2182-1)*IF(Skills!H3&gt;0,Skills!I3/Skills!H3,1)+IF(Skills!H3&gt;0,MIN(Skills!I3,MAX(0,MAX(0,Inputs!$B$44-B2224)-((R2182-1)*IF(Inputs!$B$39="pvp",15,MAX(0.1,Skills!D3-IF(Skills!E3=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Skills!E3=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Inputs!$B$3&gt;=40</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IFERROR(1/IF(Inputs!$B$39="pvp",15,MAX(0.1,Skills!D4-IF(Skills!E4=TRUE,Inputs!$B$32,0))),0)</f>
        <v/>
      </c>
      <c r="R2183">
        <f>IF(AND(Inputs!$B$39&lt;&gt;"pvp",Inputs!$B$44&gt;0),IF(MAX(0,Inputs!$B$44-B2224)&lt;=0,0,(INT(MAX(0,Inputs!$B$44-B2224)/IF(Inputs!$B$39="pvp",15,MAX(0.1,Skills!D4-IF(Skills!E4=TRUE,Inputs!$B$32,0))))+1)),0)</f>
        <v/>
      </c>
      <c r="S2183">
        <f>IFERROR(O2183/N2183,0)</f>
        <v/>
      </c>
      <c r="T2183">
        <f>IF(C2183,(H2183*N2183*IF(AND(Inputs!$B$39&lt;&gt;"pvp",Inputs!$B$44&gt;0),((Skills!G4*((R2183-1)*IF(Skills!H4&gt;0,Skills!I4/Skills!H4,1)+IF(Skills!H4&gt;0,MIN(Skills!I4,MAX(0,MAX(0,Inputs!$B$44-B2224)-((R2183-1)*IF(Inputs!$B$39="pvp",15,MAX(0.1,Skills!D4-IF(Skills!E4=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Skills!E4=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IFERROR(1/IF(Inputs!$B$39="pvp",15,MAX(0.1,Skills!D5-IF(Skills!E5=TRUE,Inputs!$B$32,0))),0)</f>
        <v/>
      </c>
      <c r="R2184">
        <f>IF(AND(Inputs!$B$39&lt;&gt;"pvp",Inputs!$B$44&gt;0),IF(MAX(0,Inputs!$B$44-B2224)&lt;=0,0,(INT(MAX(0,Inputs!$B$44-B2224)/IF(Inputs!$B$39="pvp",15,MAX(0.1,Skills!D5-IF(Skills!E5=TRUE,Inputs!$B$32,0))))+1)),0)</f>
        <v/>
      </c>
      <c r="S2184">
        <f>IFERROR(O2184/N2184,0)</f>
        <v/>
      </c>
      <c r="T2184">
        <f>IF(C2184,(H2184*N2184*IF(AND(Inputs!$B$39&lt;&gt;"pvp",Inputs!$B$44&gt;0),((Skills!G5*((R2184-1)*IF(Skills!H5&gt;0,Skills!I5/Skills!H5,1)+IF(Skills!H5&gt;0,MIN(Skills!I5,MAX(0,MAX(0,Inputs!$B$44-B2224)-((R2184-1)*IF(Inputs!$B$39="pvp",15,MAX(0.1,Skills!D5-IF(Skills!E5=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Skills!E5=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IFERROR(1/IF(Inputs!$B$39="pvp",15,MAX(0.1,Skills!D8-IF(Skills!E8=TRUE,Inputs!$B$32,0))),0)</f>
        <v/>
      </c>
      <c r="R2187">
        <f>IF(AND(Inputs!$B$39&lt;&gt;"pvp",Inputs!$B$44&gt;0),IF(MAX(0,Inputs!$B$44-B2224)&lt;=0,0,(INT(MAX(0,Inputs!$B$44-B2224)/IF(Inputs!$B$39="pvp",15,MAX(0.1,Skills!D8-IF(Skills!E8=TRUE,Inputs!$B$32,0))))+1)),0)</f>
        <v/>
      </c>
      <c r="S2187">
        <f>IFERROR(O2187/N2187,0)</f>
        <v/>
      </c>
      <c r="T2187">
        <f>IF(C2187,(H2187*N2187*IF(AND(Inputs!$B$39&lt;&gt;"pvp",Inputs!$B$44&gt;0),((Skills!G8*((R2187-1)*IF(Skills!H8&gt;0,Skills!I8/Skills!H8,1)+IF(Skills!H8&gt;0,MIN(Skills!I8,MAX(0,MAX(0,Inputs!$B$44-B2224)-((R2187-1)*IF(Inputs!$B$39="pvp",15,MAX(0.1,Skills!D8-IF(Skills!E8=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Skills!E8=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Inputs!$B$3&gt;=72</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IFERROR(1/IF(Inputs!$B$39="pvp",15,MAX(0.1,Skills!D9-IF(Skills!E9=TRUE,Inputs!$B$32,0))),0)</f>
        <v/>
      </c>
      <c r="R2188">
        <f>IF(AND(Inputs!$B$39&lt;&gt;"pvp",Inputs!$B$44&gt;0),IF(MAX(0,Inputs!$B$44-B2224)&lt;=0,0,(INT(MAX(0,Inputs!$B$44-B2224)/IF(Inputs!$B$39="pvp",15,MAX(0.1,Skills!D9-IF(Skills!E9=TRUE,Inputs!$B$32,0))))+1)),0)</f>
        <v/>
      </c>
      <c r="S2188">
        <f>IFERROR(O2188/N2188,0)</f>
        <v/>
      </c>
      <c r="T2188">
        <f>IF(C2188,(H2188*N2188*IF(AND(Inputs!$B$39&lt;&gt;"pvp",Inputs!$B$44&gt;0),((Skills!G9*((R2188-1)*IF(Skills!H9&gt;0,Skills!I9/Skills!H9,1)+IF(Skills!H9&gt;0,MIN(Skills!I9,MAX(0,MAX(0,Inputs!$B$44-B2224)-((R2188-1)*IF(Inputs!$B$39="pvp",15,MAX(0.1,Skills!D9-IF(Skills!E9=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Skills!E9=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IFERROR(1/IF(Inputs!$B$39="pvp",15,MAX(0.1,Skills!D12-IF(Skills!E12=TRUE,Inputs!$B$32,0))),0)</f>
        <v/>
      </c>
      <c r="R2191">
        <f>IF(AND(Inputs!$B$39&lt;&gt;"pvp",Inputs!$B$44&gt;0),IF(MAX(0,Inputs!$B$44-B2224)&lt;=0,0,(INT(MAX(0,Inputs!$B$44-B2224)/IF(Inputs!$B$39="pvp",15,MAX(0.1,Skills!D12-IF(Skills!E12=TRUE,Inputs!$B$32,0))))+1)),0)</f>
        <v/>
      </c>
      <c r="S2191">
        <f>IFERROR(O2191/N2191,0)</f>
        <v/>
      </c>
      <c r="T2191">
        <f>IF(C2191,(H2191*N2191*IF(AND(Inputs!$B$39&lt;&gt;"pvp",Inputs!$B$44&gt;0),((Skills!G12*((R2191-1)*IF(Skills!H12&gt;0,Skills!I12/Skills!H12,1)+IF(Skills!H12&gt;0,MIN(Skills!I12,MAX(0,MAX(0,Inputs!$B$44-B2224)-((R2191-1)*IF(Inputs!$B$39="pvp",15,MAX(0.1,Skills!D12-IF(Skills!E12=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Skills!E12=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IFERROR(1/IF(Inputs!$B$39="pvp",15,MAX(0.1,Skills!D13-IF(Skills!E13=TRUE,Inputs!$B$32,0))),0)</f>
        <v/>
      </c>
      <c r="R2192">
        <f>IF(AND(Inputs!$B$39&lt;&gt;"pvp",Inputs!$B$44&gt;0),IF(MAX(0,Inputs!$B$44-B2224)&lt;=0,0,(INT(MAX(0,Inputs!$B$44-B2224)/IF(Inputs!$B$39="pvp",15,MAX(0.1,Skills!D13-IF(Skills!E13=TRUE,Inputs!$B$32,0))))+1)),0)</f>
        <v/>
      </c>
      <c r="S2192">
        <f>IFERROR(O2192/N2192,0)</f>
        <v/>
      </c>
      <c r="T2192">
        <f>IF(C2192,(H2192*N2192*IF(AND(Inputs!$B$39&lt;&gt;"pvp",Inputs!$B$44&gt;0),((Skills!G13*((R2192-1)*IF(Skills!H13&gt;0,Skills!I13/Skills!H13,1)+IF(Skills!H13&gt;0,MIN(Skills!I13,MAX(0,MAX(0,Inputs!$B$44-B2224)-((R2192-1)*IF(Inputs!$B$39="pvp",15,MAX(0.1,Skills!D13-IF(Skills!E13=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Skills!E13=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IFERROR(1/IF(Inputs!$B$39="pvp",15,MAX(0.1,Skills!D14-IF(Skills!E14=TRUE,Inputs!$B$32,0))),0)</f>
        <v/>
      </c>
      <c r="R2193">
        <f>IF(AND(Inputs!$B$39&lt;&gt;"pvp",Inputs!$B$44&gt;0),IF(MAX(0,Inputs!$B$44-B2224)&lt;=0,0,(INT(MAX(0,Inputs!$B$44-B2224)/IF(Inputs!$B$39="pvp",15,MAX(0.1,Skills!D14-IF(Skills!E14=TRUE,Inputs!$B$32,0))))+1)),0)</f>
        <v/>
      </c>
      <c r="S2193">
        <f>IFERROR(O2193/N2193,0)</f>
        <v/>
      </c>
      <c r="T2193">
        <f>IF(C2193,(H2193*N2193*IF(AND(Inputs!$B$39&lt;&gt;"pvp",Inputs!$B$44&gt;0),((Skills!G14*((R2193-1)*IF(Skills!H14&gt;0,Skills!I14/Skills!H14,1)+IF(Skills!H14&gt;0,MIN(Skills!I14,MAX(0,MAX(0,Inputs!$B$44-B2224)-((R2193-1)*IF(Inputs!$B$39="pvp",15,MAX(0.1,Skills!D14-IF(Skills!E14=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Skills!E14=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IFERROR(1/IF(Inputs!$B$39="pvp",15,MAX(0.1,Skills!D15-IF(Skills!E15=TRUE,Inputs!$B$32,0))),0)</f>
        <v/>
      </c>
      <c r="R2194">
        <f>IF(AND(Inputs!$B$39&lt;&gt;"pvp",Inputs!$B$44&gt;0),IF(Inputs!$B$44&lt;=0,0,(INT(Inputs!$B$44/IF(Inputs!$B$39="pvp",15,MAX(0.1,Skills!D15-IF(Skills!E15=TRUE,Inputs!$B$32,0))))+1)),0)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IFERROR(1/IF(Inputs!$B$39="pvp",15,MAX(0.1,Skills!D16-IF(Skills!E16=TRUE,Inputs!$B$32,0))),0)</f>
        <v/>
      </c>
      <c r="R2195">
        <f>IF(AND(Inputs!$B$39&lt;&gt;"pvp",Inputs!$B$44&gt;0),IF(Inputs!$B$44&lt;=0,0,(INT(Inputs!$B$44/IF(Inputs!$B$39="pvp",15,MAX(0.1,Skills!D16-IF(Skills!E16=TRUE,Inputs!$B$32,0))))+1)),0)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IFERROR(1/IF(Inputs!$B$39="pvp",15,MAX(0.1,Skills!D19-IF(Skills!E19=TRUE,Inputs!$B$32,0))),0)</f>
        <v/>
      </c>
      <c r="R2198">
        <f>IF(AND(Inputs!$B$39&lt;&gt;"pvp",Inputs!$B$44&gt;0),IF(Inputs!$B$44&lt;=0,0,(INT(Inputs!$B$44/IF(Inputs!$B$39="pvp",15,MAX(0.1,Skills!D19-IF(Skills!E19=TRUE,Inputs!$B$32,0))))+1)),0)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IFERROR(1/IF(Inputs!$B$39="pvp",15,MAX(0.1,Skills!D20-IF(Skills!E20=TRUE,Inputs!$B$32,0))),0)</f>
        <v/>
      </c>
      <c r="R2199">
        <f>IF(AND(Inputs!$B$39&lt;&gt;"pvp",Inputs!$B$44&gt;0),IF(Inputs!$B$44&lt;=0,0,(INT(Inputs!$B$44/IF(Inputs!$B$39="pvp",15,MAX(0.1,Skills!D20-IF(Skills!E20=TRUE,Inputs!$B$32,0))))+1)),0)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IFERROR(1/IF(Inputs!$B$39="pvp",15,MAX(0.1,Skills!D21-IF(Skills!E21=TRUE,Inputs!$B$32,0))),0)</f>
        <v/>
      </c>
      <c r="R2200">
        <f>IF(AND(Inputs!$B$39&lt;&gt;"pvp",Inputs!$B$44&gt;0),IF(Inputs!$B$44&lt;=0,0,(INT(Inputs!$B$44/IF(Inputs!$B$39="pvp",15,MAX(0.1,Skills!D21-IF(Skills!E21=TRUE,Inputs!$B$32,0))))+1)),0)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Skills!Y19*(1+Inputs!$B$34/100))+MIN((Skills!Y19*(1+Inputs!$B$34/100)),MAX(0,Inputs!$B$44-((R2198-1)*Skills!D19))))/Inputs!$B$44),IF(Inputs!$B$39="pvp",MIN((Skills!Y19*(1+Inputs!$B$34/100)),15)/15,(Skills!Y19*(1+Inputs!$B$34/100))/Skills!D19)))/150)))/100</f>
        <v/>
      </c>
    </row>
    <row r="2213">
      <c r="A2213" t="inlineStr">
        <is>
          <t>Alchemic Adrenaline Uptime</t>
        </is>
      </c>
      <c r="B2213">
        <f>(Skills!Y6*(1+Inputs!$B$34/100))/((Skills!Y6*(1+Inputs!$B$34/100))+(5/B2212))</f>
        <v/>
      </c>
    </row>
    <row r="2214">
      <c r="A2214" t="inlineStr">
        <is>
          <t>Attack Speed Buff Bonus %</t>
        </is>
      </c>
      <c r="B2214">
        <f>((C2198=TRUE)*F2198*IF(AND(Inputs!$B$39&lt;&gt;"pvp",Inputs!$B$44&gt;0),(((R2198-1)*(Skills!Y19*(1+Inputs!$B$34/100))+MIN((Skills!Y19*(1+Inputs!$B$34/100)),MAX(0,Inputs!$B$44-((R2198-1)*Skills!D19))))/Inputs!$B$44),IF(Inputs!$B$39="pvp",MIN((Skills!Y19*(1+Inputs!$B$34/100)),15)/15,(Skills!Y19*(1+Inputs!$B$34/100))/Skills!D19)))+((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f>
        <v/>
      </c>
    </row>
    <row r="2219">
      <c r="A2219" t="inlineStr">
        <is>
          <t>Global Crit Rate Bonus %</t>
        </is>
      </c>
      <c r="B2219">
        <f>IF(Inputs!$B$3&gt;=47,8,0)+((C2199=TRUE)*F2199*IF(AND(Inputs!$B$39&lt;&gt;"pvp",Inputs!$B$44&gt;0),(((R2199-1)*(Skills!Y20*(1+Inputs!$B$34/100))+MIN((Skills!Y20*(1+Inputs!$B$34/100)),MAX(0,Inputs!$B$44-((R2199-1)*Skills!D20))))/Inputs!$B$44),IF(Inputs!$B$39="pvp",MIN((Skills!Y20*(1+Inputs!$B$34/100)),15)/15,(Skills!Y20*(1+Inputs!$B$34/100))/Skills!D20)))</f>
        <v/>
      </c>
    </row>
    <row r="2220">
      <c r="A2220" t="inlineStr">
        <is>
          <t>Global Monster Damage-Taken Bonus %</t>
        </is>
      </c>
      <c r="B2220">
        <f>IF(Inputs!$B$3&gt;=82,15,0)+((C2195=TRUE)*F2195*IF(AND(Inputs!$B$39&lt;&gt;"pvp",Inputs!$B$44&gt;0),(((R2195-1)*(Skills!Y16*(1+Inputs!$B$34/100))+MIN((Skills!Y16*(1+Inputs!$B$34/100)),MAX(0,Inputs!$B$44-((R2195-1)*Skills!D16))))/Inputs!$B$44),IF(Inputs!$B$39="pvp",MIN((Skills!Y16*(1+Inputs!$B$34/100)),15)/15,(Skills!Y16*(1+Inputs!$B$34/100))/Skills!D16)))</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Skills!Y16*(1+Inputs!$B$34/100))+MIN((Skills!Y16*(1+Inputs!$B$34/100)),MAX(0,Inputs!$B$44-((R2195-1)*Skills!D16))))/Inputs!$B$44),IF(Inputs!$B$39="pvp",MIN((Skills!Y16*(1+Inputs!$B$34/100)),15)/15,(Skills!Y16*(1+Inputs!$B$34/100))/Skills!D16))</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IFERROR(1/IF(Inputs!$B$39="pvp",15,MAX(0.1,Skills!D3-IF(Skills!E3=TRUE,Inputs!$B$32,0))),0)</f>
        <v/>
      </c>
      <c r="R2231">
        <f>IF(AND(Inputs!$B$39&lt;&gt;"pvp",Inputs!$B$44&gt;0),IF(MAX(0,Inputs!$B$44-B2273)&lt;=0,0,(INT(MAX(0,Inputs!$B$44-B2273)/IF(Inputs!$B$39="pvp",15,MAX(0.1,Skills!D3-IF(Skills!E3=TRUE,Inputs!$B$32,0))))+1)),0)</f>
        <v/>
      </c>
      <c r="S2231">
        <f>IFERROR(O2231/N2231,0)</f>
        <v/>
      </c>
      <c r="T2231">
        <f>IF(C2231,(H2231*N2231*IF(AND(Inputs!$B$39&lt;&gt;"pvp",Inputs!$B$44&gt;0),((Skills!G3*((R2231-1)*IF(Skills!H3&gt;0,Skills!I3/Skills!H3,1)+IF(Skills!H3&gt;0,MIN(Skills!I3,MAX(0,MAX(0,Inputs!$B$44-B2273)-((R2231-1)*IF(Inputs!$B$39="pvp",15,MAX(0.1,Skills!D3-IF(Skills!E3=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Skills!E3=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Inputs!$B$3&gt;=40</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IFERROR(1/IF(Inputs!$B$39="pvp",15,MAX(0.1,Skills!D4-IF(Skills!E4=TRUE,Inputs!$B$32,0))),0)</f>
        <v/>
      </c>
      <c r="R2232">
        <f>IF(AND(Inputs!$B$39&lt;&gt;"pvp",Inputs!$B$44&gt;0),IF(MAX(0,Inputs!$B$44-B2273)&lt;=0,0,(INT(MAX(0,Inputs!$B$44-B2273)/IF(Inputs!$B$39="pvp",15,MAX(0.1,Skills!D4-IF(Skills!E4=TRUE,Inputs!$B$32,0))))+1)),0)</f>
        <v/>
      </c>
      <c r="S2232">
        <f>IFERROR(O2232/N2232,0)</f>
        <v/>
      </c>
      <c r="T2232">
        <f>IF(C2232,(H2232*N2232*IF(AND(Inputs!$B$39&lt;&gt;"pvp",Inputs!$B$44&gt;0),((Skills!G4*((R2232-1)*IF(Skills!H4&gt;0,Skills!I4/Skills!H4,1)+IF(Skills!H4&gt;0,MIN(Skills!I4,MAX(0,MAX(0,Inputs!$B$44-B2273)-((R2232-1)*IF(Inputs!$B$39="pvp",15,MAX(0.1,Skills!D4-IF(Skills!E4=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Skills!E4=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IFERROR(1/IF(Inputs!$B$39="pvp",15,MAX(0.1,Skills!D5-IF(Skills!E5=TRUE,Inputs!$B$32,0))),0)</f>
        <v/>
      </c>
      <c r="R2233">
        <f>IF(AND(Inputs!$B$39&lt;&gt;"pvp",Inputs!$B$44&gt;0),IF(MAX(0,Inputs!$B$44-B2273)&lt;=0,0,(INT(MAX(0,Inputs!$B$44-B2273)/IF(Inputs!$B$39="pvp",15,MAX(0.1,Skills!D5-IF(Skills!E5=TRUE,Inputs!$B$32,0))))+1)),0)</f>
        <v/>
      </c>
      <c r="S2233">
        <f>IFERROR(O2233/N2233,0)</f>
        <v/>
      </c>
      <c r="T2233">
        <f>IF(C2233,(H2233*N2233*IF(AND(Inputs!$B$39&lt;&gt;"pvp",Inputs!$B$44&gt;0),((Skills!G5*((R2233-1)*IF(Skills!H5&gt;0,Skills!I5/Skills!H5,1)+IF(Skills!H5&gt;0,MIN(Skills!I5,MAX(0,MAX(0,Inputs!$B$44-B2273)-((R2233-1)*IF(Inputs!$B$39="pvp",15,MAX(0.1,Skills!D5-IF(Skills!E5=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Skills!E5=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IFERROR(1/IF(Inputs!$B$39="pvp",15,MAX(0.1,Skills!D8-IF(Skills!E8=TRUE,Inputs!$B$32,0))),0)</f>
        <v/>
      </c>
      <c r="R2236">
        <f>IF(AND(Inputs!$B$39&lt;&gt;"pvp",Inputs!$B$44&gt;0),IF(MAX(0,Inputs!$B$44-B2273)&lt;=0,0,(INT(MAX(0,Inputs!$B$44-B2273)/IF(Inputs!$B$39="pvp",15,MAX(0.1,Skills!D8-IF(Skills!E8=TRUE,Inputs!$B$32,0))))+1)),0)</f>
        <v/>
      </c>
      <c r="S2236">
        <f>IFERROR(O2236/N2236,0)</f>
        <v/>
      </c>
      <c r="T2236">
        <f>IF(C2236,(H2236*N2236*IF(AND(Inputs!$B$39&lt;&gt;"pvp",Inputs!$B$44&gt;0),((Skills!G8*((R2236-1)*IF(Skills!H8&gt;0,Skills!I8/Skills!H8,1)+IF(Skills!H8&gt;0,MIN(Skills!I8,MAX(0,MAX(0,Inputs!$B$44-B2273)-((R2236-1)*IF(Inputs!$B$39="pvp",15,MAX(0.1,Skills!D8-IF(Skills!E8=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Skills!E8=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Inputs!$B$3&gt;=72</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IFERROR(1/IF(Inputs!$B$39="pvp",15,MAX(0.1,Skills!D9-IF(Skills!E9=TRUE,Inputs!$B$32,0))),0)</f>
        <v/>
      </c>
      <c r="R2237">
        <f>IF(AND(Inputs!$B$39&lt;&gt;"pvp",Inputs!$B$44&gt;0),IF(MAX(0,Inputs!$B$44-B2273)&lt;=0,0,(INT(MAX(0,Inputs!$B$44-B2273)/IF(Inputs!$B$39="pvp",15,MAX(0.1,Skills!D9-IF(Skills!E9=TRUE,Inputs!$B$32,0))))+1)),0)</f>
        <v/>
      </c>
      <c r="S2237">
        <f>IFERROR(O2237/N2237,0)</f>
        <v/>
      </c>
      <c r="T2237">
        <f>IF(C2237,(H2237*N2237*IF(AND(Inputs!$B$39&lt;&gt;"pvp",Inputs!$B$44&gt;0),((Skills!G9*((R2237-1)*IF(Skills!H9&gt;0,Skills!I9/Skills!H9,1)+IF(Skills!H9&gt;0,MIN(Skills!I9,MAX(0,MAX(0,Inputs!$B$44-B2273)-((R2237-1)*IF(Inputs!$B$39="pvp",15,MAX(0.1,Skills!D9-IF(Skills!E9=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Skills!E9=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IFERROR(1/IF(Inputs!$B$39="pvp",15,MAX(0.1,Skills!D12-IF(Skills!E12=TRUE,Inputs!$B$32,0))),0)</f>
        <v/>
      </c>
      <c r="R2240">
        <f>IF(AND(Inputs!$B$39&lt;&gt;"pvp",Inputs!$B$44&gt;0),IF(MAX(0,Inputs!$B$44-B2273)&lt;=0,0,(INT(MAX(0,Inputs!$B$44-B2273)/IF(Inputs!$B$39="pvp",15,MAX(0.1,Skills!D12-IF(Skills!E12=TRUE,Inputs!$B$32,0))))+1)),0)</f>
        <v/>
      </c>
      <c r="S2240">
        <f>IFERROR(O2240/N2240,0)</f>
        <v/>
      </c>
      <c r="T2240">
        <f>IF(C2240,(H2240*N2240*IF(AND(Inputs!$B$39&lt;&gt;"pvp",Inputs!$B$44&gt;0),((Skills!G12*((R2240-1)*IF(Skills!H12&gt;0,Skills!I12/Skills!H12,1)+IF(Skills!H12&gt;0,MIN(Skills!I12,MAX(0,MAX(0,Inputs!$B$44-B2273)-((R2240-1)*IF(Inputs!$B$39="pvp",15,MAX(0.1,Skills!D12-IF(Skills!E12=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Skills!E12=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IFERROR(1/IF(Inputs!$B$39="pvp",15,MAX(0.1,Skills!D13-IF(Skills!E13=TRUE,Inputs!$B$32,0))),0)</f>
        <v/>
      </c>
      <c r="R2241">
        <f>IF(AND(Inputs!$B$39&lt;&gt;"pvp",Inputs!$B$44&gt;0),IF(MAX(0,Inputs!$B$44-B2273)&lt;=0,0,(INT(MAX(0,Inputs!$B$44-B2273)/IF(Inputs!$B$39="pvp",15,MAX(0.1,Skills!D13-IF(Skills!E13=TRUE,Inputs!$B$32,0))))+1)),0)</f>
        <v/>
      </c>
      <c r="S2241">
        <f>IFERROR(O2241/N2241,0)</f>
        <v/>
      </c>
      <c r="T2241">
        <f>IF(C2241,(H2241*N2241*IF(AND(Inputs!$B$39&lt;&gt;"pvp",Inputs!$B$44&gt;0),((Skills!G13*((R2241-1)*IF(Skills!H13&gt;0,Skills!I13/Skills!H13,1)+IF(Skills!H13&gt;0,MIN(Skills!I13,MAX(0,MAX(0,Inputs!$B$44-B2273)-((R2241-1)*IF(Inputs!$B$39="pvp",15,MAX(0.1,Skills!D13-IF(Skills!E13=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Skills!E13=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IFERROR(1/IF(Inputs!$B$39="pvp",15,MAX(0.1,Skills!D14-IF(Skills!E14=TRUE,Inputs!$B$32,0))),0)</f>
        <v/>
      </c>
      <c r="R2242">
        <f>IF(AND(Inputs!$B$39&lt;&gt;"pvp",Inputs!$B$44&gt;0),IF(MAX(0,Inputs!$B$44-B2273)&lt;=0,0,(INT(MAX(0,Inputs!$B$44-B2273)/IF(Inputs!$B$39="pvp",15,MAX(0.1,Skills!D14-IF(Skills!E14=TRUE,Inputs!$B$32,0))))+1)),0)</f>
        <v/>
      </c>
      <c r="S2242">
        <f>IFERROR(O2242/N2242,0)</f>
        <v/>
      </c>
      <c r="T2242">
        <f>IF(C2242,(H2242*N2242*IF(AND(Inputs!$B$39&lt;&gt;"pvp",Inputs!$B$44&gt;0),((Skills!G14*((R2242-1)*IF(Skills!H14&gt;0,Skills!I14/Skills!H14,1)+IF(Skills!H14&gt;0,MIN(Skills!I14,MAX(0,MAX(0,Inputs!$B$44-B2273)-((R2242-1)*IF(Inputs!$B$39="pvp",15,MAX(0.1,Skills!D14-IF(Skills!E14=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Skills!E14=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IFERROR(1/IF(Inputs!$B$39="pvp",15,MAX(0.1,Skills!D15-IF(Skills!E15=TRUE,Inputs!$B$32,0))),0)</f>
        <v/>
      </c>
      <c r="R2243">
        <f>IF(AND(Inputs!$B$39&lt;&gt;"pvp",Inputs!$B$44&gt;0),IF(Inputs!$B$44&lt;=0,0,(INT(Inputs!$B$44/IF(Inputs!$B$39="pvp",15,MAX(0.1,Skills!D15-IF(Skills!E15=TRUE,Inputs!$B$32,0))))+1)),0)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IFERROR(1/IF(Inputs!$B$39="pvp",15,MAX(0.1,Skills!D16-IF(Skills!E16=TRUE,Inputs!$B$32,0))),0)</f>
        <v/>
      </c>
      <c r="R2244">
        <f>IF(AND(Inputs!$B$39&lt;&gt;"pvp",Inputs!$B$44&gt;0),IF(Inputs!$B$44&lt;=0,0,(INT(Inputs!$B$44/IF(Inputs!$B$39="pvp",15,MAX(0.1,Skills!D16-IF(Skills!E16=TRUE,Inputs!$B$32,0))))+1)),0)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IFERROR(1/IF(Inputs!$B$39="pvp",15,MAX(0.1,Skills!D19-IF(Skills!E19=TRUE,Inputs!$B$32,0))),0)</f>
        <v/>
      </c>
      <c r="R2247">
        <f>IF(AND(Inputs!$B$39&lt;&gt;"pvp",Inputs!$B$44&gt;0),IF(Inputs!$B$44&lt;=0,0,(INT(Inputs!$B$44/IF(Inputs!$B$39="pvp",15,MAX(0.1,Skills!D19-IF(Skills!E19=TRUE,Inputs!$B$32,0))))+1)),0)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IFERROR(1/IF(Inputs!$B$39="pvp",15,MAX(0.1,Skills!D20-IF(Skills!E20=TRUE,Inputs!$B$32,0))),0)</f>
        <v/>
      </c>
      <c r="R2248">
        <f>IF(AND(Inputs!$B$39&lt;&gt;"pvp",Inputs!$B$44&gt;0),IF(Inputs!$B$44&lt;=0,0,(INT(Inputs!$B$44/IF(Inputs!$B$39="pvp",15,MAX(0.1,Skills!D20-IF(Skills!E20=TRUE,Inputs!$B$32,0))))+1)),0)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IFERROR(1/IF(Inputs!$B$39="pvp",15,MAX(0.1,Skills!D21-IF(Skills!E21=TRUE,Inputs!$B$32,0))),0)</f>
        <v/>
      </c>
      <c r="R2249">
        <f>IF(AND(Inputs!$B$39&lt;&gt;"pvp",Inputs!$B$44&gt;0),IF(Inputs!$B$44&lt;=0,0,(INT(Inputs!$B$44/IF(Inputs!$B$39="pvp",15,MAX(0.1,Skills!D21-IF(Skills!E21=TRUE,Inputs!$B$32,0))))+1)),0)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Skills!Y19*(1+Inputs!$B$34/100))+MIN((Skills!Y19*(1+Inputs!$B$34/100)),MAX(0,Inputs!$B$44-((R2247-1)*Skills!D19))))/Inputs!$B$44),IF(Inputs!$B$39="pvp",MIN((Skills!Y19*(1+Inputs!$B$34/100)),15)/15,(Skills!Y19*(1+Inputs!$B$34/100))/Skills!D19)))/150)))/100</f>
        <v/>
      </c>
    </row>
    <row r="2262">
      <c r="A2262" t="inlineStr">
        <is>
          <t>Alchemic Adrenaline Uptime</t>
        </is>
      </c>
      <c r="B2262">
        <f>(Skills!Y6*(1+Inputs!$B$34/100))/((Skills!Y6*(1+Inputs!$B$34/100))+(5/B2261))</f>
        <v/>
      </c>
    </row>
    <row r="2263">
      <c r="A2263" t="inlineStr">
        <is>
          <t>Attack Speed Buff Bonus %</t>
        </is>
      </c>
      <c r="B2263">
        <f>((C2247=TRUE)*F2247*IF(AND(Inputs!$B$39&lt;&gt;"pvp",Inputs!$B$44&gt;0),(((R2247-1)*(Skills!Y19*(1+Inputs!$B$34/100))+MIN((Skills!Y19*(1+Inputs!$B$34/100)),MAX(0,Inputs!$B$44-((R2247-1)*Skills!D19))))/Inputs!$B$44),IF(Inputs!$B$39="pvp",MIN((Skills!Y19*(1+Inputs!$B$34/100)),15)/15,(Skills!Y19*(1+Inputs!$B$34/100))/Skills!D19)))+((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f>
        <v/>
      </c>
    </row>
    <row r="2268">
      <c r="A2268" t="inlineStr">
        <is>
          <t>Global Crit Rate Bonus %</t>
        </is>
      </c>
      <c r="B2268">
        <f>IF(Inputs!$B$3&gt;=47,8,0)+((C2248=TRUE)*F2248*IF(AND(Inputs!$B$39&lt;&gt;"pvp",Inputs!$B$44&gt;0),(((R2248-1)*(Skills!Y20*(1+Inputs!$B$34/100))+MIN((Skills!Y20*(1+Inputs!$B$34/100)),MAX(0,Inputs!$B$44-((R2248-1)*Skills!D20))))/Inputs!$B$44),IF(Inputs!$B$39="pvp",MIN((Skills!Y20*(1+Inputs!$B$34/100)),15)/15,(Skills!Y20*(1+Inputs!$B$34/100))/Skills!D20)))</f>
        <v/>
      </c>
    </row>
    <row r="2269">
      <c r="A2269" t="inlineStr">
        <is>
          <t>Global Monster Damage-Taken Bonus %</t>
        </is>
      </c>
      <c r="B2269">
        <f>IF(Inputs!$B$3&gt;=82,15,0)+((C2244=TRUE)*F2244*IF(AND(Inputs!$B$39&lt;&gt;"pvp",Inputs!$B$44&gt;0),(((R2244-1)*(Skills!Y16*(1+Inputs!$B$34/100))+MIN((Skills!Y16*(1+Inputs!$B$34/100)),MAX(0,Inputs!$B$44-((R2244-1)*Skills!D16))))/Inputs!$B$44),IF(Inputs!$B$39="pvp",MIN((Skills!Y16*(1+Inputs!$B$34/100)),15)/15,(Skills!Y16*(1+Inputs!$B$34/100))/Skills!D16)))</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Skills!Y16*(1+Inputs!$B$34/100))+MIN((Skills!Y16*(1+Inputs!$B$34/100)),MAX(0,Inputs!$B$44-((R2244-1)*Skills!D16))))/Inputs!$B$44),IF(Inputs!$B$39="pvp",MIN((Skills!Y16*(1+Inputs!$B$34/100)),15)/15,(Skills!Y16*(1+Inputs!$B$34/100))/Skills!D16))</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IFERROR(1/IF(Inputs!$B$39="pvp",15,MAX(0.1,Skills!D3-IF(Skills!E3=TRUE,Inputs!$B$32,0))),0)</f>
        <v/>
      </c>
      <c r="R2280">
        <f>IF(AND(Inputs!$B$39&lt;&gt;"pvp",Inputs!$B$44&gt;0),IF(MAX(0,Inputs!$B$44-B2322)&lt;=0,0,(INT(MAX(0,Inputs!$B$44-B2322)/IF(Inputs!$B$39="pvp",15,MAX(0.1,Skills!D3-IF(Skills!E3=TRUE,Inputs!$B$32,0))))+1)),0)</f>
        <v/>
      </c>
      <c r="S2280">
        <f>IFERROR(O2280/N2280,0)</f>
        <v/>
      </c>
      <c r="T2280">
        <f>IF(C2280,(H2280*N2280*IF(AND(Inputs!$B$39&lt;&gt;"pvp",Inputs!$B$44&gt;0),((Skills!G3*((R2280-1)*IF(Skills!H3&gt;0,Skills!I3/Skills!H3,1)+IF(Skills!H3&gt;0,MIN(Skills!I3,MAX(0,MAX(0,Inputs!$B$44-B2322)-((R2280-1)*IF(Inputs!$B$39="pvp",15,MAX(0.1,Skills!D3-IF(Skills!E3=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Skills!E3=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Inputs!$B$3&gt;=40</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IFERROR(1/IF(Inputs!$B$39="pvp",15,MAX(0.1,Skills!D4-IF(Skills!E4=TRUE,Inputs!$B$32,0))),0)</f>
        <v/>
      </c>
      <c r="R2281">
        <f>IF(AND(Inputs!$B$39&lt;&gt;"pvp",Inputs!$B$44&gt;0),IF(MAX(0,Inputs!$B$44-B2322)&lt;=0,0,(INT(MAX(0,Inputs!$B$44-B2322)/IF(Inputs!$B$39="pvp",15,MAX(0.1,Skills!D4-IF(Skills!E4=TRUE,Inputs!$B$32,0))))+1)),0)</f>
        <v/>
      </c>
      <c r="S2281">
        <f>IFERROR(O2281/N2281,0)</f>
        <v/>
      </c>
      <c r="T2281">
        <f>IF(C2281,(H2281*N2281*IF(AND(Inputs!$B$39&lt;&gt;"pvp",Inputs!$B$44&gt;0),((Skills!G4*((R2281-1)*IF(Skills!H4&gt;0,Skills!I4/Skills!H4,1)+IF(Skills!H4&gt;0,MIN(Skills!I4,MAX(0,MAX(0,Inputs!$B$44-B2322)-((R2281-1)*IF(Inputs!$B$39="pvp",15,MAX(0.1,Skills!D4-IF(Skills!E4=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Skills!E4=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IFERROR(1/IF(Inputs!$B$39="pvp",15,MAX(0.1,Skills!D5-IF(Skills!E5=TRUE,Inputs!$B$32,0))),0)</f>
        <v/>
      </c>
      <c r="R2282">
        <f>IF(AND(Inputs!$B$39&lt;&gt;"pvp",Inputs!$B$44&gt;0),IF(MAX(0,Inputs!$B$44-B2322)&lt;=0,0,(INT(MAX(0,Inputs!$B$44-B2322)/IF(Inputs!$B$39="pvp",15,MAX(0.1,Skills!D5-IF(Skills!E5=TRUE,Inputs!$B$32,0))))+1)),0)</f>
        <v/>
      </c>
      <c r="S2282">
        <f>IFERROR(O2282/N2282,0)</f>
        <v/>
      </c>
      <c r="T2282">
        <f>IF(C2282,(H2282*N2282*IF(AND(Inputs!$B$39&lt;&gt;"pvp",Inputs!$B$44&gt;0),((Skills!G5*((R2282-1)*IF(Skills!H5&gt;0,Skills!I5/Skills!H5,1)+IF(Skills!H5&gt;0,MIN(Skills!I5,MAX(0,MAX(0,Inputs!$B$44-B2322)-((R2282-1)*IF(Inputs!$B$39="pvp",15,MAX(0.1,Skills!D5-IF(Skills!E5=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Skills!E5=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IFERROR(1/IF(Inputs!$B$39="pvp",15,MAX(0.1,Skills!D8-IF(Skills!E8=TRUE,Inputs!$B$32,0))),0)</f>
        <v/>
      </c>
      <c r="R2285">
        <f>IF(AND(Inputs!$B$39&lt;&gt;"pvp",Inputs!$B$44&gt;0),IF(MAX(0,Inputs!$B$44-B2322)&lt;=0,0,(INT(MAX(0,Inputs!$B$44-B2322)/IF(Inputs!$B$39="pvp",15,MAX(0.1,Skills!D8-IF(Skills!E8=TRUE,Inputs!$B$32,0))))+1)),0)</f>
        <v/>
      </c>
      <c r="S2285">
        <f>IFERROR(O2285/N2285,0)</f>
        <v/>
      </c>
      <c r="T2285">
        <f>IF(C2285,(H2285*N2285*IF(AND(Inputs!$B$39&lt;&gt;"pvp",Inputs!$B$44&gt;0),((Skills!G8*((R2285-1)*IF(Skills!H8&gt;0,Skills!I8/Skills!H8,1)+IF(Skills!H8&gt;0,MIN(Skills!I8,MAX(0,MAX(0,Inputs!$B$44-B2322)-((R2285-1)*IF(Inputs!$B$39="pvp",15,MAX(0.1,Skills!D8-IF(Skills!E8=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Skills!E8=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Inputs!$B$3&gt;=72</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IFERROR(1/IF(Inputs!$B$39="pvp",15,MAX(0.1,Skills!D9-IF(Skills!E9=TRUE,Inputs!$B$32,0))),0)</f>
        <v/>
      </c>
      <c r="R2286">
        <f>IF(AND(Inputs!$B$39&lt;&gt;"pvp",Inputs!$B$44&gt;0),IF(MAX(0,Inputs!$B$44-B2322)&lt;=0,0,(INT(MAX(0,Inputs!$B$44-B2322)/IF(Inputs!$B$39="pvp",15,MAX(0.1,Skills!D9-IF(Skills!E9=TRUE,Inputs!$B$32,0))))+1)),0)</f>
        <v/>
      </c>
      <c r="S2286">
        <f>IFERROR(O2286/N2286,0)</f>
        <v/>
      </c>
      <c r="T2286">
        <f>IF(C2286,(H2286*N2286*IF(AND(Inputs!$B$39&lt;&gt;"pvp",Inputs!$B$44&gt;0),((Skills!G9*((R2286-1)*IF(Skills!H9&gt;0,Skills!I9/Skills!H9,1)+IF(Skills!H9&gt;0,MIN(Skills!I9,MAX(0,MAX(0,Inputs!$B$44-B2322)-((R2286-1)*IF(Inputs!$B$39="pvp",15,MAX(0.1,Skills!D9-IF(Skills!E9=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Skills!E9=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IFERROR(1/IF(Inputs!$B$39="pvp",15,MAX(0.1,Skills!D12-IF(Skills!E12=TRUE,Inputs!$B$32,0))),0)</f>
        <v/>
      </c>
      <c r="R2289">
        <f>IF(AND(Inputs!$B$39&lt;&gt;"pvp",Inputs!$B$44&gt;0),IF(MAX(0,Inputs!$B$44-B2322)&lt;=0,0,(INT(MAX(0,Inputs!$B$44-B2322)/IF(Inputs!$B$39="pvp",15,MAX(0.1,Skills!D12-IF(Skills!E12=TRUE,Inputs!$B$32,0))))+1)),0)</f>
        <v/>
      </c>
      <c r="S2289">
        <f>IFERROR(O2289/N2289,0)</f>
        <v/>
      </c>
      <c r="T2289">
        <f>IF(C2289,(H2289*N2289*IF(AND(Inputs!$B$39&lt;&gt;"pvp",Inputs!$B$44&gt;0),((Skills!G12*((R2289-1)*IF(Skills!H12&gt;0,Skills!I12/Skills!H12,1)+IF(Skills!H12&gt;0,MIN(Skills!I12,MAX(0,MAX(0,Inputs!$B$44-B2322)-((R2289-1)*IF(Inputs!$B$39="pvp",15,MAX(0.1,Skills!D12-IF(Skills!E12=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Skills!E12=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IFERROR(1/IF(Inputs!$B$39="pvp",15,MAX(0.1,Skills!D13-IF(Skills!E13=TRUE,Inputs!$B$32,0))),0)</f>
        <v/>
      </c>
      <c r="R2290">
        <f>IF(AND(Inputs!$B$39&lt;&gt;"pvp",Inputs!$B$44&gt;0),IF(MAX(0,Inputs!$B$44-B2322)&lt;=0,0,(INT(MAX(0,Inputs!$B$44-B2322)/IF(Inputs!$B$39="pvp",15,MAX(0.1,Skills!D13-IF(Skills!E13=TRUE,Inputs!$B$32,0))))+1)),0)</f>
        <v/>
      </c>
      <c r="S2290">
        <f>IFERROR(O2290/N2290,0)</f>
        <v/>
      </c>
      <c r="T2290">
        <f>IF(C2290,(H2290*N2290*IF(AND(Inputs!$B$39&lt;&gt;"pvp",Inputs!$B$44&gt;0),((Skills!G13*((R2290-1)*IF(Skills!H13&gt;0,Skills!I13/Skills!H13,1)+IF(Skills!H13&gt;0,MIN(Skills!I13,MAX(0,MAX(0,Inputs!$B$44-B2322)-((R2290-1)*IF(Inputs!$B$39="pvp",15,MAX(0.1,Skills!D13-IF(Skills!E13=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Skills!E13=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IFERROR(1/IF(Inputs!$B$39="pvp",15,MAX(0.1,Skills!D14-IF(Skills!E14=TRUE,Inputs!$B$32,0))),0)</f>
        <v/>
      </c>
      <c r="R2291">
        <f>IF(AND(Inputs!$B$39&lt;&gt;"pvp",Inputs!$B$44&gt;0),IF(MAX(0,Inputs!$B$44-B2322)&lt;=0,0,(INT(MAX(0,Inputs!$B$44-B2322)/IF(Inputs!$B$39="pvp",15,MAX(0.1,Skills!D14-IF(Skills!E14=TRUE,Inputs!$B$32,0))))+1)),0)</f>
        <v/>
      </c>
      <c r="S2291">
        <f>IFERROR(O2291/N2291,0)</f>
        <v/>
      </c>
      <c r="T2291">
        <f>IF(C2291,(H2291*N2291*IF(AND(Inputs!$B$39&lt;&gt;"pvp",Inputs!$B$44&gt;0),((Skills!G14*((R2291-1)*IF(Skills!H14&gt;0,Skills!I14/Skills!H14,1)+IF(Skills!H14&gt;0,MIN(Skills!I14,MAX(0,MAX(0,Inputs!$B$44-B2322)-((R2291-1)*IF(Inputs!$B$39="pvp",15,MAX(0.1,Skills!D14-IF(Skills!E14=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Skills!E14=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IFERROR(1/IF(Inputs!$B$39="pvp",15,MAX(0.1,Skills!D15-IF(Skills!E15=TRUE,Inputs!$B$32,0))),0)</f>
        <v/>
      </c>
      <c r="R2292">
        <f>IF(AND(Inputs!$B$39&lt;&gt;"pvp",Inputs!$B$44&gt;0),IF(Inputs!$B$44&lt;=0,0,(INT(Inputs!$B$44/IF(Inputs!$B$39="pvp",15,MAX(0.1,Skills!D15-IF(Skills!E15=TRUE,Inputs!$B$32,0))))+1)),0)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IFERROR(1/IF(Inputs!$B$39="pvp",15,MAX(0.1,Skills!D16-IF(Skills!E16=TRUE,Inputs!$B$32,0))),0)</f>
        <v/>
      </c>
      <c r="R2293">
        <f>IF(AND(Inputs!$B$39&lt;&gt;"pvp",Inputs!$B$44&gt;0),IF(Inputs!$B$44&lt;=0,0,(INT(Inputs!$B$44/IF(Inputs!$B$39="pvp",15,MAX(0.1,Skills!D16-IF(Skills!E16=TRUE,Inputs!$B$32,0))))+1)),0)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IFERROR(1/IF(Inputs!$B$39="pvp",15,MAX(0.1,Skills!D19-IF(Skills!E19=TRUE,Inputs!$B$32,0))),0)</f>
        <v/>
      </c>
      <c r="R2296">
        <f>IF(AND(Inputs!$B$39&lt;&gt;"pvp",Inputs!$B$44&gt;0),IF(Inputs!$B$44&lt;=0,0,(INT(Inputs!$B$44/IF(Inputs!$B$39="pvp",15,MAX(0.1,Skills!D19-IF(Skills!E19=TRUE,Inputs!$B$32,0))))+1)),0)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IFERROR(1/IF(Inputs!$B$39="pvp",15,MAX(0.1,Skills!D20-IF(Skills!E20=TRUE,Inputs!$B$32,0))),0)</f>
        <v/>
      </c>
      <c r="R2297">
        <f>IF(AND(Inputs!$B$39&lt;&gt;"pvp",Inputs!$B$44&gt;0),IF(Inputs!$B$44&lt;=0,0,(INT(Inputs!$B$44/IF(Inputs!$B$39="pvp",15,MAX(0.1,Skills!D20-IF(Skills!E20=TRUE,Inputs!$B$32,0))))+1)),0)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IFERROR(1/IF(Inputs!$B$39="pvp",15,MAX(0.1,Skills!D21-IF(Skills!E21=TRUE,Inputs!$B$32,0))),0)</f>
        <v/>
      </c>
      <c r="R2298">
        <f>IF(AND(Inputs!$B$39&lt;&gt;"pvp",Inputs!$B$44&gt;0),IF(Inputs!$B$44&lt;=0,0,(INT(Inputs!$B$44/IF(Inputs!$B$39="pvp",15,MAX(0.1,Skills!D21-IF(Skills!E21=TRUE,Inputs!$B$32,0))))+1)),0)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Skills!Y19*(1+Inputs!$B$34/100))+MIN((Skills!Y19*(1+Inputs!$B$34/100)),MAX(0,Inputs!$B$44-((R2296-1)*Skills!D19))))/Inputs!$B$44),IF(Inputs!$B$39="pvp",MIN((Skills!Y19*(1+Inputs!$B$34/100)),15)/15,(Skills!Y19*(1+Inputs!$B$34/100))/Skills!D19)))/150)))/100</f>
        <v/>
      </c>
    </row>
    <row r="2311">
      <c r="A2311" t="inlineStr">
        <is>
          <t>Alchemic Adrenaline Uptime</t>
        </is>
      </c>
      <c r="B2311">
        <f>(Skills!Y6*(1+Inputs!$B$34/100))/((Skills!Y6*(1+Inputs!$B$34/100))+(5/B2310))</f>
        <v/>
      </c>
    </row>
    <row r="2312">
      <c r="A2312" t="inlineStr">
        <is>
          <t>Attack Speed Buff Bonus %</t>
        </is>
      </c>
      <c r="B2312">
        <f>((C2296=TRUE)*F2296*IF(AND(Inputs!$B$39&lt;&gt;"pvp",Inputs!$B$44&gt;0),(((R2296-1)*(Skills!Y19*(1+Inputs!$B$34/100))+MIN((Skills!Y19*(1+Inputs!$B$34/100)),MAX(0,Inputs!$B$44-((R2296-1)*Skills!D19))))/Inputs!$B$44),IF(Inputs!$B$39="pvp",MIN((Skills!Y19*(1+Inputs!$B$34/100)),15)/15,(Skills!Y19*(1+Inputs!$B$34/100))/Skills!D19)))+((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f>
        <v/>
      </c>
    </row>
    <row r="2317">
      <c r="A2317" t="inlineStr">
        <is>
          <t>Global Crit Rate Bonus %</t>
        </is>
      </c>
      <c r="B2317">
        <f>IF(Inputs!$B$3&gt;=47,8,0)+((C2297=TRUE)*F2297*IF(AND(Inputs!$B$39&lt;&gt;"pvp",Inputs!$B$44&gt;0),(((R2297-1)*(Skills!Y20*(1+Inputs!$B$34/100))+MIN((Skills!Y20*(1+Inputs!$B$34/100)),MAX(0,Inputs!$B$44-((R2297-1)*Skills!D20))))/Inputs!$B$44),IF(Inputs!$B$39="pvp",MIN((Skills!Y20*(1+Inputs!$B$34/100)),15)/15,(Skills!Y20*(1+Inputs!$B$34/100))/Skills!D20)))</f>
        <v/>
      </c>
    </row>
    <row r="2318">
      <c r="A2318" t="inlineStr">
        <is>
          <t>Global Monster Damage-Taken Bonus %</t>
        </is>
      </c>
      <c r="B2318">
        <f>IF(Inputs!$B$3&gt;=82,15,0)+((C2293=TRUE)*F2293*IF(AND(Inputs!$B$39&lt;&gt;"pvp",Inputs!$B$44&gt;0),(((R2293-1)*(Skills!Y16*(1+Inputs!$B$34/100))+MIN((Skills!Y16*(1+Inputs!$B$34/100)),MAX(0,Inputs!$B$44-((R2293-1)*Skills!D16))))/Inputs!$B$44),IF(Inputs!$B$39="pvp",MIN((Skills!Y16*(1+Inputs!$B$34/100)),15)/15,(Skills!Y16*(1+Inputs!$B$34/100))/Skills!D16)))</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Skills!Y16*(1+Inputs!$B$34/100))+MIN((Skills!Y16*(1+Inputs!$B$34/100)),MAX(0,Inputs!$B$44-((R2293-1)*Skills!D16))))/Inputs!$B$44),IF(Inputs!$B$39="pvp",MIN((Skills!Y16*(1+Inputs!$B$34/100)),15)/15,(Skills!Y16*(1+Inputs!$B$34/100))/Skills!D16))</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IFERROR(1/IF(Inputs!$B$39="pvp",15,MAX(0.1,Skills!D3-IF(Skills!E3=TRUE,Inputs!$B$32,0))),0)</f>
        <v/>
      </c>
      <c r="R2329">
        <f>IF(AND(Inputs!$B$39&lt;&gt;"pvp",Inputs!$B$44&gt;0),IF(MAX(0,Inputs!$B$44-B2371)&lt;=0,0,(INT(MAX(0,Inputs!$B$44-B2371)/IF(Inputs!$B$39="pvp",15,MAX(0.1,Skills!D3-IF(Skills!E3=TRUE,Inputs!$B$32,0))))+1)),0)</f>
        <v/>
      </c>
      <c r="S2329">
        <f>IFERROR(O2329/N2329,0)</f>
        <v/>
      </c>
      <c r="T2329">
        <f>IF(C2329,(H2329*N2329*IF(AND(Inputs!$B$39&lt;&gt;"pvp",Inputs!$B$44&gt;0),((Skills!G3*((R2329-1)*IF(Skills!H3&gt;0,Skills!I3/Skills!H3,1)+IF(Skills!H3&gt;0,MIN(Skills!I3,MAX(0,MAX(0,Inputs!$B$44-B2371)-((R2329-1)*IF(Inputs!$B$39="pvp",15,MAX(0.1,Skills!D3-IF(Skills!E3=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Skills!E3=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Inputs!$B$3&gt;=40</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IFERROR(1/IF(Inputs!$B$39="pvp",15,MAX(0.1,Skills!D4-IF(Skills!E4=TRUE,Inputs!$B$32,0))),0)</f>
        <v/>
      </c>
      <c r="R2330">
        <f>IF(AND(Inputs!$B$39&lt;&gt;"pvp",Inputs!$B$44&gt;0),IF(MAX(0,Inputs!$B$44-B2371)&lt;=0,0,(INT(MAX(0,Inputs!$B$44-B2371)/IF(Inputs!$B$39="pvp",15,MAX(0.1,Skills!D4-IF(Skills!E4=TRUE,Inputs!$B$32,0))))+1)),0)</f>
        <v/>
      </c>
      <c r="S2330">
        <f>IFERROR(O2330/N2330,0)</f>
        <v/>
      </c>
      <c r="T2330">
        <f>IF(C2330,(H2330*N2330*IF(AND(Inputs!$B$39&lt;&gt;"pvp",Inputs!$B$44&gt;0),((Skills!G4*((R2330-1)*IF(Skills!H4&gt;0,Skills!I4/Skills!H4,1)+IF(Skills!H4&gt;0,MIN(Skills!I4,MAX(0,MAX(0,Inputs!$B$44-B2371)-((R2330-1)*IF(Inputs!$B$39="pvp",15,MAX(0.1,Skills!D4-IF(Skills!E4=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Skills!E4=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IFERROR(1/IF(Inputs!$B$39="pvp",15,MAX(0.1,Skills!D5-IF(Skills!E5=TRUE,Inputs!$B$32,0))),0)</f>
        <v/>
      </c>
      <c r="R2331">
        <f>IF(AND(Inputs!$B$39&lt;&gt;"pvp",Inputs!$B$44&gt;0),IF(MAX(0,Inputs!$B$44-B2371)&lt;=0,0,(INT(MAX(0,Inputs!$B$44-B2371)/IF(Inputs!$B$39="pvp",15,MAX(0.1,Skills!D5-IF(Skills!E5=TRUE,Inputs!$B$32,0))))+1)),0)</f>
        <v/>
      </c>
      <c r="S2331">
        <f>IFERROR(O2331/N2331,0)</f>
        <v/>
      </c>
      <c r="T2331">
        <f>IF(C2331,(H2331*N2331*IF(AND(Inputs!$B$39&lt;&gt;"pvp",Inputs!$B$44&gt;0),((Skills!G5*((R2331-1)*IF(Skills!H5&gt;0,Skills!I5/Skills!H5,1)+IF(Skills!H5&gt;0,MIN(Skills!I5,MAX(0,MAX(0,Inputs!$B$44-B2371)-((R2331-1)*IF(Inputs!$B$39="pvp",15,MAX(0.1,Skills!D5-IF(Skills!E5=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Skills!E5=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IFERROR(1/IF(Inputs!$B$39="pvp",15,MAX(0.1,Skills!D8-IF(Skills!E8=TRUE,Inputs!$B$32,0))),0)</f>
        <v/>
      </c>
      <c r="R2334">
        <f>IF(AND(Inputs!$B$39&lt;&gt;"pvp",Inputs!$B$44&gt;0),IF(MAX(0,Inputs!$B$44-B2371)&lt;=0,0,(INT(MAX(0,Inputs!$B$44-B2371)/IF(Inputs!$B$39="pvp",15,MAX(0.1,Skills!D8-IF(Skills!E8=TRUE,Inputs!$B$32,0))))+1)),0)</f>
        <v/>
      </c>
      <c r="S2334">
        <f>IFERROR(O2334/N2334,0)</f>
        <v/>
      </c>
      <c r="T2334">
        <f>IF(C2334,(H2334*N2334*IF(AND(Inputs!$B$39&lt;&gt;"pvp",Inputs!$B$44&gt;0),((Skills!G8*((R2334-1)*IF(Skills!H8&gt;0,Skills!I8/Skills!H8,1)+IF(Skills!H8&gt;0,MIN(Skills!I8,MAX(0,MAX(0,Inputs!$B$44-B2371)-((R2334-1)*IF(Inputs!$B$39="pvp",15,MAX(0.1,Skills!D8-IF(Skills!E8=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Skills!E8=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Inputs!$B$3&gt;=72</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IFERROR(1/IF(Inputs!$B$39="pvp",15,MAX(0.1,Skills!D9-IF(Skills!E9=TRUE,Inputs!$B$32,0))),0)</f>
        <v/>
      </c>
      <c r="R2335">
        <f>IF(AND(Inputs!$B$39&lt;&gt;"pvp",Inputs!$B$44&gt;0),IF(MAX(0,Inputs!$B$44-B2371)&lt;=0,0,(INT(MAX(0,Inputs!$B$44-B2371)/IF(Inputs!$B$39="pvp",15,MAX(0.1,Skills!D9-IF(Skills!E9=TRUE,Inputs!$B$32,0))))+1)),0)</f>
        <v/>
      </c>
      <c r="S2335">
        <f>IFERROR(O2335/N2335,0)</f>
        <v/>
      </c>
      <c r="T2335">
        <f>IF(C2335,(H2335*N2335*IF(AND(Inputs!$B$39&lt;&gt;"pvp",Inputs!$B$44&gt;0),((Skills!G9*((R2335-1)*IF(Skills!H9&gt;0,Skills!I9/Skills!H9,1)+IF(Skills!H9&gt;0,MIN(Skills!I9,MAX(0,MAX(0,Inputs!$B$44-B2371)-((R2335-1)*IF(Inputs!$B$39="pvp",15,MAX(0.1,Skills!D9-IF(Skills!E9=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Skills!E9=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IFERROR(1/IF(Inputs!$B$39="pvp",15,MAX(0.1,Skills!D12-IF(Skills!E12=TRUE,Inputs!$B$32,0))),0)</f>
        <v/>
      </c>
      <c r="R2338">
        <f>IF(AND(Inputs!$B$39&lt;&gt;"pvp",Inputs!$B$44&gt;0),IF(MAX(0,Inputs!$B$44-B2371)&lt;=0,0,(INT(MAX(0,Inputs!$B$44-B2371)/IF(Inputs!$B$39="pvp",15,MAX(0.1,Skills!D12-IF(Skills!E12=TRUE,Inputs!$B$32,0))))+1)),0)</f>
        <v/>
      </c>
      <c r="S2338">
        <f>IFERROR(O2338/N2338,0)</f>
        <v/>
      </c>
      <c r="T2338">
        <f>IF(C2338,(H2338*N2338*IF(AND(Inputs!$B$39&lt;&gt;"pvp",Inputs!$B$44&gt;0),((Skills!G12*((R2338-1)*IF(Skills!H12&gt;0,Skills!I12/Skills!H12,1)+IF(Skills!H12&gt;0,MIN(Skills!I12,MAX(0,MAX(0,Inputs!$B$44-B2371)-((R2338-1)*IF(Inputs!$B$39="pvp",15,MAX(0.1,Skills!D12-IF(Skills!E12=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Skills!E12=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IFERROR(1/IF(Inputs!$B$39="pvp",15,MAX(0.1,Skills!D13-IF(Skills!E13=TRUE,Inputs!$B$32,0))),0)</f>
        <v/>
      </c>
      <c r="R2339">
        <f>IF(AND(Inputs!$B$39&lt;&gt;"pvp",Inputs!$B$44&gt;0),IF(MAX(0,Inputs!$B$44-B2371)&lt;=0,0,(INT(MAX(0,Inputs!$B$44-B2371)/IF(Inputs!$B$39="pvp",15,MAX(0.1,Skills!D13-IF(Skills!E13=TRUE,Inputs!$B$32,0))))+1)),0)</f>
        <v/>
      </c>
      <c r="S2339">
        <f>IFERROR(O2339/N2339,0)</f>
        <v/>
      </c>
      <c r="T2339">
        <f>IF(C2339,(H2339*N2339*IF(AND(Inputs!$B$39&lt;&gt;"pvp",Inputs!$B$44&gt;0),((Skills!G13*((R2339-1)*IF(Skills!H13&gt;0,Skills!I13/Skills!H13,1)+IF(Skills!H13&gt;0,MIN(Skills!I13,MAX(0,MAX(0,Inputs!$B$44-B2371)-((R2339-1)*IF(Inputs!$B$39="pvp",15,MAX(0.1,Skills!D13-IF(Skills!E13=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Skills!E13=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IFERROR(1/IF(Inputs!$B$39="pvp",15,MAX(0.1,Skills!D14-IF(Skills!E14=TRUE,Inputs!$B$32,0))),0)</f>
        <v/>
      </c>
      <c r="R2340">
        <f>IF(AND(Inputs!$B$39&lt;&gt;"pvp",Inputs!$B$44&gt;0),IF(MAX(0,Inputs!$B$44-B2371)&lt;=0,0,(INT(MAX(0,Inputs!$B$44-B2371)/IF(Inputs!$B$39="pvp",15,MAX(0.1,Skills!D14-IF(Skills!E14=TRUE,Inputs!$B$32,0))))+1)),0)</f>
        <v/>
      </c>
      <c r="S2340">
        <f>IFERROR(O2340/N2340,0)</f>
        <v/>
      </c>
      <c r="T2340">
        <f>IF(C2340,(H2340*N2340*IF(AND(Inputs!$B$39&lt;&gt;"pvp",Inputs!$B$44&gt;0),((Skills!G14*((R2340-1)*IF(Skills!H14&gt;0,Skills!I14/Skills!H14,1)+IF(Skills!H14&gt;0,MIN(Skills!I14,MAX(0,MAX(0,Inputs!$B$44-B2371)-((R2340-1)*IF(Inputs!$B$39="pvp",15,MAX(0.1,Skills!D14-IF(Skills!E14=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Skills!E14=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IFERROR(1/IF(Inputs!$B$39="pvp",15,MAX(0.1,Skills!D15-IF(Skills!E15=TRUE,Inputs!$B$32,0))),0)</f>
        <v/>
      </c>
      <c r="R2341">
        <f>IF(AND(Inputs!$B$39&lt;&gt;"pvp",Inputs!$B$44&gt;0),IF(Inputs!$B$44&lt;=0,0,(INT(Inputs!$B$44/IF(Inputs!$B$39="pvp",15,MAX(0.1,Skills!D15-IF(Skills!E15=TRUE,Inputs!$B$32,0))))+1)),0)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IFERROR(1/IF(Inputs!$B$39="pvp",15,MAX(0.1,Skills!D16-IF(Skills!E16=TRUE,Inputs!$B$32,0))),0)</f>
        <v/>
      </c>
      <c r="R2342">
        <f>IF(AND(Inputs!$B$39&lt;&gt;"pvp",Inputs!$B$44&gt;0),IF(Inputs!$B$44&lt;=0,0,(INT(Inputs!$B$44/IF(Inputs!$B$39="pvp",15,MAX(0.1,Skills!D16-IF(Skills!E16=TRUE,Inputs!$B$32,0))))+1)),0)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IFERROR(1/IF(Inputs!$B$39="pvp",15,MAX(0.1,Skills!D19-IF(Skills!E19=TRUE,Inputs!$B$32,0))),0)</f>
        <v/>
      </c>
      <c r="R2345">
        <f>IF(AND(Inputs!$B$39&lt;&gt;"pvp",Inputs!$B$44&gt;0),IF(Inputs!$B$44&lt;=0,0,(INT(Inputs!$B$44/IF(Inputs!$B$39="pvp",15,MAX(0.1,Skills!D19-IF(Skills!E19=TRUE,Inputs!$B$32,0))))+1)),0)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IFERROR(1/IF(Inputs!$B$39="pvp",15,MAX(0.1,Skills!D20-IF(Skills!E20=TRUE,Inputs!$B$32,0))),0)</f>
        <v/>
      </c>
      <c r="R2346">
        <f>IF(AND(Inputs!$B$39&lt;&gt;"pvp",Inputs!$B$44&gt;0),IF(Inputs!$B$44&lt;=0,0,(INT(Inputs!$B$44/IF(Inputs!$B$39="pvp",15,MAX(0.1,Skills!D20-IF(Skills!E20=TRUE,Inputs!$B$32,0))))+1)),0)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IFERROR(1/IF(Inputs!$B$39="pvp",15,MAX(0.1,Skills!D21-IF(Skills!E21=TRUE,Inputs!$B$32,0))),0)</f>
        <v/>
      </c>
      <c r="R2347">
        <f>IF(AND(Inputs!$B$39&lt;&gt;"pvp",Inputs!$B$44&gt;0),IF(Inputs!$B$44&lt;=0,0,(INT(Inputs!$B$44/IF(Inputs!$B$39="pvp",15,MAX(0.1,Skills!D21-IF(Skills!E21=TRUE,Inputs!$B$32,0))))+1)),0)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Skills!Y19*(1+Inputs!$B$34/100))+MIN((Skills!Y19*(1+Inputs!$B$34/100)),MAX(0,Inputs!$B$44-((R2345-1)*Skills!D19))))/Inputs!$B$44),IF(Inputs!$B$39="pvp",MIN((Skills!Y19*(1+Inputs!$B$34/100)),15)/15,(Skills!Y19*(1+Inputs!$B$34/100))/Skills!D19)))/150)))/100</f>
        <v/>
      </c>
    </row>
    <row r="2360">
      <c r="A2360" t="inlineStr">
        <is>
          <t>Alchemic Adrenaline Uptime</t>
        </is>
      </c>
      <c r="B2360">
        <f>(Skills!Y6*(1+Inputs!$B$34/100))/((Skills!Y6*(1+Inputs!$B$34/100))+(5/B2359))</f>
        <v/>
      </c>
    </row>
    <row r="2361">
      <c r="A2361" t="inlineStr">
        <is>
          <t>Attack Speed Buff Bonus %</t>
        </is>
      </c>
      <c r="B2361">
        <f>((C2345=TRUE)*F2345*IF(AND(Inputs!$B$39&lt;&gt;"pvp",Inputs!$B$44&gt;0),(((R2345-1)*(Skills!Y19*(1+Inputs!$B$34/100))+MIN((Skills!Y19*(1+Inputs!$B$34/100)),MAX(0,Inputs!$B$44-((R2345-1)*Skills!D19))))/Inputs!$B$44),IF(Inputs!$B$39="pvp",MIN((Skills!Y19*(1+Inputs!$B$34/100)),15)/15,(Skills!Y19*(1+Inputs!$B$34/100))/Skills!D19)))+((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f>
        <v/>
      </c>
    </row>
    <row r="2366">
      <c r="A2366" t="inlineStr">
        <is>
          <t>Global Crit Rate Bonus %</t>
        </is>
      </c>
      <c r="B2366">
        <f>IF(Inputs!$B$3&gt;=47,8,0)+((C2346=TRUE)*F2346*IF(AND(Inputs!$B$39&lt;&gt;"pvp",Inputs!$B$44&gt;0),(((R2346-1)*(Skills!Y20*(1+Inputs!$B$34/100))+MIN((Skills!Y20*(1+Inputs!$B$34/100)),MAX(0,Inputs!$B$44-((R2346-1)*Skills!D20))))/Inputs!$B$44),IF(Inputs!$B$39="pvp",MIN((Skills!Y20*(1+Inputs!$B$34/100)),15)/15,(Skills!Y20*(1+Inputs!$B$34/100))/Skills!D20)))</f>
        <v/>
      </c>
    </row>
    <row r="2367">
      <c r="A2367" t="inlineStr">
        <is>
          <t>Global Monster Damage-Taken Bonus %</t>
        </is>
      </c>
      <c r="B2367">
        <f>IF(Inputs!$B$3&gt;=82,15,0)+((C2342=TRUE)*F2342*IF(AND(Inputs!$B$39&lt;&gt;"pvp",Inputs!$B$44&gt;0),(((R2342-1)*(Skills!Y16*(1+Inputs!$B$34/100))+MIN((Skills!Y16*(1+Inputs!$B$34/100)),MAX(0,Inputs!$B$44-((R2342-1)*Skills!D16))))/Inputs!$B$44),IF(Inputs!$B$39="pvp",MIN((Skills!Y16*(1+Inputs!$B$34/100)),15)/15,(Skills!Y16*(1+Inputs!$B$34/100))/Skills!D16)))</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Skills!Y16*(1+Inputs!$B$34/100))+MIN((Skills!Y16*(1+Inputs!$B$34/100)),MAX(0,Inputs!$B$44-((R2342-1)*Skills!D16))))/Inputs!$B$44),IF(Inputs!$B$39="pvp",MIN((Skills!Y16*(1+Inputs!$B$34/100)),15)/15,(Skills!Y16*(1+Inputs!$B$34/100))/Skills!D16))</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IFERROR(1/IF(Inputs!$B$39="pvp",15,MAX(0.1,Skills!D3-IF(Skills!E3=TRUE,Inputs!$B$32,0))),0)</f>
        <v/>
      </c>
      <c r="R2378">
        <f>IF(AND(Inputs!$B$39&lt;&gt;"pvp",Inputs!$B$44&gt;0),IF(MAX(0,Inputs!$B$44-B2420)&lt;=0,0,(INT(MAX(0,Inputs!$B$44-B2420)/IF(Inputs!$B$39="pvp",15,MAX(0.1,Skills!D3-IF(Skills!E3=TRUE,Inputs!$B$32,0))))+1)),0)</f>
        <v/>
      </c>
      <c r="S2378">
        <f>IFERROR(O2378/N2378,0)</f>
        <v/>
      </c>
      <c r="T2378">
        <f>IF(C2378,(H2378*N2378*IF(AND(Inputs!$B$39&lt;&gt;"pvp",Inputs!$B$44&gt;0),((Skills!G3*((R2378-1)*IF(Skills!H3&gt;0,Skills!I3/Skills!H3,1)+IF(Skills!H3&gt;0,MIN(Skills!I3,MAX(0,MAX(0,Inputs!$B$44-B2420)-((R2378-1)*IF(Inputs!$B$39="pvp",15,MAX(0.1,Skills!D3-IF(Skills!E3=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Skills!E3=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Inputs!$B$3&gt;=40</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IFERROR(1/IF(Inputs!$B$39="pvp",15,MAX(0.1,Skills!D4-IF(Skills!E4=TRUE,Inputs!$B$32,0))),0)</f>
        <v/>
      </c>
      <c r="R2379">
        <f>IF(AND(Inputs!$B$39&lt;&gt;"pvp",Inputs!$B$44&gt;0),IF(MAX(0,Inputs!$B$44-B2420)&lt;=0,0,(INT(MAX(0,Inputs!$B$44-B2420)/IF(Inputs!$B$39="pvp",15,MAX(0.1,Skills!D4-IF(Skills!E4=TRUE,Inputs!$B$32,0))))+1)),0)</f>
        <v/>
      </c>
      <c r="S2379">
        <f>IFERROR(O2379/N2379,0)</f>
        <v/>
      </c>
      <c r="T2379">
        <f>IF(C2379,(H2379*N2379*IF(AND(Inputs!$B$39&lt;&gt;"pvp",Inputs!$B$44&gt;0),((Skills!G4*((R2379-1)*IF(Skills!H4&gt;0,Skills!I4/Skills!H4,1)+IF(Skills!H4&gt;0,MIN(Skills!I4,MAX(0,MAX(0,Inputs!$B$44-B2420)-((R2379-1)*IF(Inputs!$B$39="pvp",15,MAX(0.1,Skills!D4-IF(Skills!E4=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Skills!E4=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IFERROR(1/IF(Inputs!$B$39="pvp",15,MAX(0.1,Skills!D5-IF(Skills!E5=TRUE,Inputs!$B$32,0))),0)</f>
        <v/>
      </c>
      <c r="R2380">
        <f>IF(AND(Inputs!$B$39&lt;&gt;"pvp",Inputs!$B$44&gt;0),IF(MAX(0,Inputs!$B$44-B2420)&lt;=0,0,(INT(MAX(0,Inputs!$B$44-B2420)/IF(Inputs!$B$39="pvp",15,MAX(0.1,Skills!D5-IF(Skills!E5=TRUE,Inputs!$B$32,0))))+1)),0)</f>
        <v/>
      </c>
      <c r="S2380">
        <f>IFERROR(O2380/N2380,0)</f>
        <v/>
      </c>
      <c r="T2380">
        <f>IF(C2380,(H2380*N2380*IF(AND(Inputs!$B$39&lt;&gt;"pvp",Inputs!$B$44&gt;0),((Skills!G5*((R2380-1)*IF(Skills!H5&gt;0,Skills!I5/Skills!H5,1)+IF(Skills!H5&gt;0,MIN(Skills!I5,MAX(0,MAX(0,Inputs!$B$44-B2420)-((R2380-1)*IF(Inputs!$B$39="pvp",15,MAX(0.1,Skills!D5-IF(Skills!E5=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Skills!E5=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IFERROR(1/IF(Inputs!$B$39="pvp",15,MAX(0.1,Skills!D8-IF(Skills!E8=TRUE,Inputs!$B$32,0))),0)</f>
        <v/>
      </c>
      <c r="R2383">
        <f>IF(AND(Inputs!$B$39&lt;&gt;"pvp",Inputs!$B$44&gt;0),IF(MAX(0,Inputs!$B$44-B2420)&lt;=0,0,(INT(MAX(0,Inputs!$B$44-B2420)/IF(Inputs!$B$39="pvp",15,MAX(0.1,Skills!D8-IF(Skills!E8=TRUE,Inputs!$B$32,0))))+1)),0)</f>
        <v/>
      </c>
      <c r="S2383">
        <f>IFERROR(O2383/N2383,0)</f>
        <v/>
      </c>
      <c r="T2383">
        <f>IF(C2383,(H2383*N2383*IF(AND(Inputs!$B$39&lt;&gt;"pvp",Inputs!$B$44&gt;0),((Skills!G8*((R2383-1)*IF(Skills!H8&gt;0,Skills!I8/Skills!H8,1)+IF(Skills!H8&gt;0,MIN(Skills!I8,MAX(0,MAX(0,Inputs!$B$44-B2420)-((R2383-1)*IF(Inputs!$B$39="pvp",15,MAX(0.1,Skills!D8-IF(Skills!E8=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Skills!E8=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Inputs!$B$3&gt;=72</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IFERROR(1/IF(Inputs!$B$39="pvp",15,MAX(0.1,Skills!D9-IF(Skills!E9=TRUE,Inputs!$B$32,0))),0)</f>
        <v/>
      </c>
      <c r="R2384">
        <f>IF(AND(Inputs!$B$39&lt;&gt;"pvp",Inputs!$B$44&gt;0),IF(MAX(0,Inputs!$B$44-B2420)&lt;=0,0,(INT(MAX(0,Inputs!$B$44-B2420)/IF(Inputs!$B$39="pvp",15,MAX(0.1,Skills!D9-IF(Skills!E9=TRUE,Inputs!$B$32,0))))+1)),0)</f>
        <v/>
      </c>
      <c r="S2384">
        <f>IFERROR(O2384/N2384,0)</f>
        <v/>
      </c>
      <c r="T2384">
        <f>IF(C2384,(H2384*N2384*IF(AND(Inputs!$B$39&lt;&gt;"pvp",Inputs!$B$44&gt;0),((Skills!G9*((R2384-1)*IF(Skills!H9&gt;0,Skills!I9/Skills!H9,1)+IF(Skills!H9&gt;0,MIN(Skills!I9,MAX(0,MAX(0,Inputs!$B$44-B2420)-((R2384-1)*IF(Inputs!$B$39="pvp",15,MAX(0.1,Skills!D9-IF(Skills!E9=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Skills!E9=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IFERROR(1/IF(Inputs!$B$39="pvp",15,MAX(0.1,Skills!D12-IF(Skills!E12=TRUE,Inputs!$B$32,0))),0)</f>
        <v/>
      </c>
      <c r="R2387">
        <f>IF(AND(Inputs!$B$39&lt;&gt;"pvp",Inputs!$B$44&gt;0),IF(MAX(0,Inputs!$B$44-B2420)&lt;=0,0,(INT(MAX(0,Inputs!$B$44-B2420)/IF(Inputs!$B$39="pvp",15,MAX(0.1,Skills!D12-IF(Skills!E12=TRUE,Inputs!$B$32,0))))+1)),0)</f>
        <v/>
      </c>
      <c r="S2387">
        <f>IFERROR(O2387/N2387,0)</f>
        <v/>
      </c>
      <c r="T2387">
        <f>IF(C2387,(H2387*N2387*IF(AND(Inputs!$B$39&lt;&gt;"pvp",Inputs!$B$44&gt;0),((Skills!G12*((R2387-1)*IF(Skills!H12&gt;0,Skills!I12/Skills!H12,1)+IF(Skills!H12&gt;0,MIN(Skills!I12,MAX(0,MAX(0,Inputs!$B$44-B2420)-((R2387-1)*IF(Inputs!$B$39="pvp",15,MAX(0.1,Skills!D12-IF(Skills!E12=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Skills!E12=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IFERROR(1/IF(Inputs!$B$39="pvp",15,MAX(0.1,Skills!D13-IF(Skills!E13=TRUE,Inputs!$B$32,0))),0)</f>
        <v/>
      </c>
      <c r="R2388">
        <f>IF(AND(Inputs!$B$39&lt;&gt;"pvp",Inputs!$B$44&gt;0),IF(MAX(0,Inputs!$B$44-B2420)&lt;=0,0,(INT(MAX(0,Inputs!$B$44-B2420)/IF(Inputs!$B$39="pvp",15,MAX(0.1,Skills!D13-IF(Skills!E13=TRUE,Inputs!$B$32,0))))+1)),0)</f>
        <v/>
      </c>
      <c r="S2388">
        <f>IFERROR(O2388/N2388,0)</f>
        <v/>
      </c>
      <c r="T2388">
        <f>IF(C2388,(H2388*N2388*IF(AND(Inputs!$B$39&lt;&gt;"pvp",Inputs!$B$44&gt;0),((Skills!G13*((R2388-1)*IF(Skills!H13&gt;0,Skills!I13/Skills!H13,1)+IF(Skills!H13&gt;0,MIN(Skills!I13,MAX(0,MAX(0,Inputs!$B$44-B2420)-((R2388-1)*IF(Inputs!$B$39="pvp",15,MAX(0.1,Skills!D13-IF(Skills!E13=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Skills!E13=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IFERROR(1/IF(Inputs!$B$39="pvp",15,MAX(0.1,Skills!D14-IF(Skills!E14=TRUE,Inputs!$B$32,0))),0)</f>
        <v/>
      </c>
      <c r="R2389">
        <f>IF(AND(Inputs!$B$39&lt;&gt;"pvp",Inputs!$B$44&gt;0),IF(MAX(0,Inputs!$B$44-B2420)&lt;=0,0,(INT(MAX(0,Inputs!$B$44-B2420)/IF(Inputs!$B$39="pvp",15,MAX(0.1,Skills!D14-IF(Skills!E14=TRUE,Inputs!$B$32,0))))+1)),0)</f>
        <v/>
      </c>
      <c r="S2389">
        <f>IFERROR(O2389/N2389,0)</f>
        <v/>
      </c>
      <c r="T2389">
        <f>IF(C2389,(H2389*N2389*IF(AND(Inputs!$B$39&lt;&gt;"pvp",Inputs!$B$44&gt;0),((Skills!G14*((R2389-1)*IF(Skills!H14&gt;0,Skills!I14/Skills!H14,1)+IF(Skills!H14&gt;0,MIN(Skills!I14,MAX(0,MAX(0,Inputs!$B$44-B2420)-((R2389-1)*IF(Inputs!$B$39="pvp",15,MAX(0.1,Skills!D14-IF(Skills!E14=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Skills!E14=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IFERROR(1/IF(Inputs!$B$39="pvp",15,MAX(0.1,Skills!D15-IF(Skills!E15=TRUE,Inputs!$B$32,0))),0)</f>
        <v/>
      </c>
      <c r="R2390">
        <f>IF(AND(Inputs!$B$39&lt;&gt;"pvp",Inputs!$B$44&gt;0),IF(Inputs!$B$44&lt;=0,0,(INT(Inputs!$B$44/IF(Inputs!$B$39="pvp",15,MAX(0.1,Skills!D15-IF(Skills!E15=TRUE,Inputs!$B$32,0))))+1)),0)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IFERROR(1/IF(Inputs!$B$39="pvp",15,MAX(0.1,Skills!D16-IF(Skills!E16=TRUE,Inputs!$B$32,0))),0)</f>
        <v/>
      </c>
      <c r="R2391">
        <f>IF(AND(Inputs!$B$39&lt;&gt;"pvp",Inputs!$B$44&gt;0),IF(Inputs!$B$44&lt;=0,0,(INT(Inputs!$B$44/IF(Inputs!$B$39="pvp",15,MAX(0.1,Skills!D16-IF(Skills!E16=TRUE,Inputs!$B$32,0))))+1)),0)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IFERROR(1/IF(Inputs!$B$39="pvp",15,MAX(0.1,Skills!D19-IF(Skills!E19=TRUE,Inputs!$B$32,0))),0)</f>
        <v/>
      </c>
      <c r="R2394">
        <f>IF(AND(Inputs!$B$39&lt;&gt;"pvp",Inputs!$B$44&gt;0),IF(Inputs!$B$44&lt;=0,0,(INT(Inputs!$B$44/IF(Inputs!$B$39="pvp",15,MAX(0.1,Skills!D19-IF(Skills!E19=TRUE,Inputs!$B$32,0))))+1)),0)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IFERROR(1/IF(Inputs!$B$39="pvp",15,MAX(0.1,Skills!D20-IF(Skills!E20=TRUE,Inputs!$B$32,0))),0)</f>
        <v/>
      </c>
      <c r="R2395">
        <f>IF(AND(Inputs!$B$39&lt;&gt;"pvp",Inputs!$B$44&gt;0),IF(Inputs!$B$44&lt;=0,0,(INT(Inputs!$B$44/IF(Inputs!$B$39="pvp",15,MAX(0.1,Skills!D20-IF(Skills!E20=TRUE,Inputs!$B$32,0))))+1)),0)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IFERROR(1/IF(Inputs!$B$39="pvp",15,MAX(0.1,Skills!D21-IF(Skills!E21=TRUE,Inputs!$B$32,0))),0)</f>
        <v/>
      </c>
      <c r="R2396">
        <f>IF(AND(Inputs!$B$39&lt;&gt;"pvp",Inputs!$B$44&gt;0),IF(Inputs!$B$44&lt;=0,0,(INT(Inputs!$B$44/IF(Inputs!$B$39="pvp",15,MAX(0.1,Skills!D21-IF(Skills!E21=TRUE,Inputs!$B$32,0))))+1)),0)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Skills!Y19*(1+Inputs!$B$34/100))+MIN((Skills!Y19*(1+Inputs!$B$34/100)),MAX(0,Inputs!$B$44-((R2394-1)*Skills!D19))))/Inputs!$B$44),IF(Inputs!$B$39="pvp",MIN((Skills!Y19*(1+Inputs!$B$34/100)),15)/15,(Skills!Y19*(1+Inputs!$B$34/100))/Skills!D19)))/150)))/100</f>
        <v/>
      </c>
    </row>
    <row r="2409">
      <c r="A2409" t="inlineStr">
        <is>
          <t>Alchemic Adrenaline Uptime</t>
        </is>
      </c>
      <c r="B2409">
        <f>(Skills!Y6*(1+Inputs!$B$34/100))/((Skills!Y6*(1+Inputs!$B$34/100))+(5/B2408))</f>
        <v/>
      </c>
    </row>
    <row r="2410">
      <c r="A2410" t="inlineStr">
        <is>
          <t>Attack Speed Buff Bonus %</t>
        </is>
      </c>
      <c r="B2410">
        <f>((C2394=TRUE)*F2394*IF(AND(Inputs!$B$39&lt;&gt;"pvp",Inputs!$B$44&gt;0),(((R2394-1)*(Skills!Y19*(1+Inputs!$B$34/100))+MIN((Skills!Y19*(1+Inputs!$B$34/100)),MAX(0,Inputs!$B$44-((R2394-1)*Skills!D19))))/Inputs!$B$44),IF(Inputs!$B$39="pvp",MIN((Skills!Y19*(1+Inputs!$B$34/100)),15)/15,(Skills!Y19*(1+Inputs!$B$34/100))/Skills!D19)))+((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f>
        <v/>
      </c>
    </row>
    <row r="2415">
      <c r="A2415" t="inlineStr">
        <is>
          <t>Global Crit Rate Bonus %</t>
        </is>
      </c>
      <c r="B2415">
        <f>IF(Inputs!$B$3&gt;=47,8,0)+((C2395=TRUE)*F2395*IF(AND(Inputs!$B$39&lt;&gt;"pvp",Inputs!$B$44&gt;0),(((R2395-1)*(Skills!Y20*(1+Inputs!$B$34/100))+MIN((Skills!Y20*(1+Inputs!$B$34/100)),MAX(0,Inputs!$B$44-((R2395-1)*Skills!D20))))/Inputs!$B$44),IF(Inputs!$B$39="pvp",MIN((Skills!Y20*(1+Inputs!$B$34/100)),15)/15,(Skills!Y20*(1+Inputs!$B$34/100))/Skills!D20)))</f>
        <v/>
      </c>
    </row>
    <row r="2416">
      <c r="A2416" t="inlineStr">
        <is>
          <t>Global Monster Damage-Taken Bonus %</t>
        </is>
      </c>
      <c r="B2416">
        <f>IF(Inputs!$B$3&gt;=82,15,0)+((C2391=TRUE)*F2391*IF(AND(Inputs!$B$39&lt;&gt;"pvp",Inputs!$B$44&gt;0),(((R2391-1)*(Skills!Y16*(1+Inputs!$B$34/100))+MIN((Skills!Y16*(1+Inputs!$B$34/100)),MAX(0,Inputs!$B$44-((R2391-1)*Skills!D16))))/Inputs!$B$44),IF(Inputs!$B$39="pvp",MIN((Skills!Y16*(1+Inputs!$B$34/100)),15)/15,(Skills!Y16*(1+Inputs!$B$34/100))/Skills!D16)))</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Skills!Y16*(1+Inputs!$B$34/100))+MIN((Skills!Y16*(1+Inputs!$B$34/100)),MAX(0,Inputs!$B$44-((R2391-1)*Skills!D16))))/Inputs!$B$44),IF(Inputs!$B$39="pvp",MIN((Skills!Y16*(1+Inputs!$B$34/100)),15)/15,(Skills!Y16*(1+Inputs!$B$34/100))/Skills!D16))</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IFERROR(1/IF(Inputs!$B$39="pvp",15,MAX(0.1,Skills!D3-IF(Skills!E3=TRUE,Inputs!$B$32,0))),0)</f>
        <v/>
      </c>
      <c r="R2427">
        <f>IF(AND(Inputs!$B$39&lt;&gt;"pvp",Inputs!$B$44&gt;0),IF(MAX(0,Inputs!$B$44-B2469)&lt;=0,0,(INT(MAX(0,Inputs!$B$44-B2469)/IF(Inputs!$B$39="pvp",15,MAX(0.1,Skills!D3-IF(Skills!E3=TRUE,Inputs!$B$32,0))))+1)),0)</f>
        <v/>
      </c>
      <c r="S2427">
        <f>IFERROR(O2427/N2427,0)</f>
        <v/>
      </c>
      <c r="T2427">
        <f>IF(C2427,(H2427*N2427*IF(AND(Inputs!$B$39&lt;&gt;"pvp",Inputs!$B$44&gt;0),((Skills!G3*((R2427-1)*IF(Skills!H3&gt;0,Skills!I3/Skills!H3,1)+IF(Skills!H3&gt;0,MIN(Skills!I3,MAX(0,MAX(0,Inputs!$B$44-B2469)-((R2427-1)*IF(Inputs!$B$39="pvp",15,MAX(0.1,Skills!D3-IF(Skills!E3=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Skills!E3=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Inputs!$B$3&gt;=40</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IFERROR(1/IF(Inputs!$B$39="pvp",15,MAX(0.1,Skills!D4-IF(Skills!E4=TRUE,Inputs!$B$32,0))),0)</f>
        <v/>
      </c>
      <c r="R2428">
        <f>IF(AND(Inputs!$B$39&lt;&gt;"pvp",Inputs!$B$44&gt;0),IF(MAX(0,Inputs!$B$44-B2469)&lt;=0,0,(INT(MAX(0,Inputs!$B$44-B2469)/IF(Inputs!$B$39="pvp",15,MAX(0.1,Skills!D4-IF(Skills!E4=TRUE,Inputs!$B$32,0))))+1)),0)</f>
        <v/>
      </c>
      <c r="S2428">
        <f>IFERROR(O2428/N2428,0)</f>
        <v/>
      </c>
      <c r="T2428">
        <f>IF(C2428,(H2428*N2428*IF(AND(Inputs!$B$39&lt;&gt;"pvp",Inputs!$B$44&gt;0),((Skills!G4*((R2428-1)*IF(Skills!H4&gt;0,Skills!I4/Skills!H4,1)+IF(Skills!H4&gt;0,MIN(Skills!I4,MAX(0,MAX(0,Inputs!$B$44-B2469)-((R2428-1)*IF(Inputs!$B$39="pvp",15,MAX(0.1,Skills!D4-IF(Skills!E4=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Skills!E4=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IFERROR(1/IF(Inputs!$B$39="pvp",15,MAX(0.1,Skills!D5-IF(Skills!E5=TRUE,Inputs!$B$32,0))),0)</f>
        <v/>
      </c>
      <c r="R2429">
        <f>IF(AND(Inputs!$B$39&lt;&gt;"pvp",Inputs!$B$44&gt;0),IF(MAX(0,Inputs!$B$44-B2469)&lt;=0,0,(INT(MAX(0,Inputs!$B$44-B2469)/IF(Inputs!$B$39="pvp",15,MAX(0.1,Skills!D5-IF(Skills!E5=TRUE,Inputs!$B$32,0))))+1)),0)</f>
        <v/>
      </c>
      <c r="S2429">
        <f>IFERROR(O2429/N2429,0)</f>
        <v/>
      </c>
      <c r="T2429">
        <f>IF(C2429,(H2429*N2429*IF(AND(Inputs!$B$39&lt;&gt;"pvp",Inputs!$B$44&gt;0),((Skills!G5*((R2429-1)*IF(Skills!H5&gt;0,Skills!I5/Skills!H5,1)+IF(Skills!H5&gt;0,MIN(Skills!I5,MAX(0,MAX(0,Inputs!$B$44-B2469)-((R2429-1)*IF(Inputs!$B$39="pvp",15,MAX(0.1,Skills!D5-IF(Skills!E5=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Skills!E5=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IFERROR(1/IF(Inputs!$B$39="pvp",15,MAX(0.1,Skills!D8-IF(Skills!E8=TRUE,Inputs!$B$32,0))),0)</f>
        <v/>
      </c>
      <c r="R2432">
        <f>IF(AND(Inputs!$B$39&lt;&gt;"pvp",Inputs!$B$44&gt;0),IF(MAX(0,Inputs!$B$44-B2469)&lt;=0,0,(INT(MAX(0,Inputs!$B$44-B2469)/IF(Inputs!$B$39="pvp",15,MAX(0.1,Skills!D8-IF(Skills!E8=TRUE,Inputs!$B$32,0))))+1)),0)</f>
        <v/>
      </c>
      <c r="S2432">
        <f>IFERROR(O2432/N2432,0)</f>
        <v/>
      </c>
      <c r="T2432">
        <f>IF(C2432,(H2432*N2432*IF(AND(Inputs!$B$39&lt;&gt;"pvp",Inputs!$B$44&gt;0),((Skills!G8*((R2432-1)*IF(Skills!H8&gt;0,Skills!I8/Skills!H8,1)+IF(Skills!H8&gt;0,MIN(Skills!I8,MAX(0,MAX(0,Inputs!$B$44-B2469)-((R2432-1)*IF(Inputs!$B$39="pvp",15,MAX(0.1,Skills!D8-IF(Skills!E8=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Skills!E8=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Inputs!$B$3&gt;=72</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IFERROR(1/IF(Inputs!$B$39="pvp",15,MAX(0.1,Skills!D9-IF(Skills!E9=TRUE,Inputs!$B$32,0))),0)</f>
        <v/>
      </c>
      <c r="R2433">
        <f>IF(AND(Inputs!$B$39&lt;&gt;"pvp",Inputs!$B$44&gt;0),IF(MAX(0,Inputs!$B$44-B2469)&lt;=0,0,(INT(MAX(0,Inputs!$B$44-B2469)/IF(Inputs!$B$39="pvp",15,MAX(0.1,Skills!D9-IF(Skills!E9=TRUE,Inputs!$B$32,0))))+1)),0)</f>
        <v/>
      </c>
      <c r="S2433">
        <f>IFERROR(O2433/N2433,0)</f>
        <v/>
      </c>
      <c r="T2433">
        <f>IF(C2433,(H2433*N2433*IF(AND(Inputs!$B$39&lt;&gt;"pvp",Inputs!$B$44&gt;0),((Skills!G9*((R2433-1)*IF(Skills!H9&gt;0,Skills!I9/Skills!H9,1)+IF(Skills!H9&gt;0,MIN(Skills!I9,MAX(0,MAX(0,Inputs!$B$44-B2469)-((R2433-1)*IF(Inputs!$B$39="pvp",15,MAX(0.1,Skills!D9-IF(Skills!E9=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Skills!E9=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IFERROR(1/IF(Inputs!$B$39="pvp",15,MAX(0.1,Skills!D12-IF(Skills!E12=TRUE,Inputs!$B$32,0))),0)</f>
        <v/>
      </c>
      <c r="R2436">
        <f>IF(AND(Inputs!$B$39&lt;&gt;"pvp",Inputs!$B$44&gt;0),IF(MAX(0,Inputs!$B$44-B2469)&lt;=0,0,(INT(MAX(0,Inputs!$B$44-B2469)/IF(Inputs!$B$39="pvp",15,MAX(0.1,Skills!D12-IF(Skills!E12=TRUE,Inputs!$B$32,0))))+1)),0)</f>
        <v/>
      </c>
      <c r="S2436">
        <f>IFERROR(O2436/N2436,0)</f>
        <v/>
      </c>
      <c r="T2436">
        <f>IF(C2436,(H2436*N2436*IF(AND(Inputs!$B$39&lt;&gt;"pvp",Inputs!$B$44&gt;0),((Skills!G12*((R2436-1)*IF(Skills!H12&gt;0,Skills!I12/Skills!H12,1)+IF(Skills!H12&gt;0,MIN(Skills!I12,MAX(0,MAX(0,Inputs!$B$44-B2469)-((R2436-1)*IF(Inputs!$B$39="pvp",15,MAX(0.1,Skills!D12-IF(Skills!E12=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Skills!E12=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IFERROR(1/IF(Inputs!$B$39="pvp",15,MAX(0.1,Skills!D13-IF(Skills!E13=TRUE,Inputs!$B$32,0))),0)</f>
        <v/>
      </c>
      <c r="R2437">
        <f>IF(AND(Inputs!$B$39&lt;&gt;"pvp",Inputs!$B$44&gt;0),IF(MAX(0,Inputs!$B$44-B2469)&lt;=0,0,(INT(MAX(0,Inputs!$B$44-B2469)/IF(Inputs!$B$39="pvp",15,MAX(0.1,Skills!D13-IF(Skills!E13=TRUE,Inputs!$B$32,0))))+1)),0)</f>
        <v/>
      </c>
      <c r="S2437">
        <f>IFERROR(O2437/N2437,0)</f>
        <v/>
      </c>
      <c r="T2437">
        <f>IF(C2437,(H2437*N2437*IF(AND(Inputs!$B$39&lt;&gt;"pvp",Inputs!$B$44&gt;0),((Skills!G13*((R2437-1)*IF(Skills!H13&gt;0,Skills!I13/Skills!H13,1)+IF(Skills!H13&gt;0,MIN(Skills!I13,MAX(0,MAX(0,Inputs!$B$44-B2469)-((R2437-1)*IF(Inputs!$B$39="pvp",15,MAX(0.1,Skills!D13-IF(Skills!E13=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Skills!E13=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IFERROR(1/IF(Inputs!$B$39="pvp",15,MAX(0.1,Skills!D14-IF(Skills!E14=TRUE,Inputs!$B$32,0))),0)</f>
        <v/>
      </c>
      <c r="R2438">
        <f>IF(AND(Inputs!$B$39&lt;&gt;"pvp",Inputs!$B$44&gt;0),IF(MAX(0,Inputs!$B$44-B2469)&lt;=0,0,(INT(MAX(0,Inputs!$B$44-B2469)/IF(Inputs!$B$39="pvp",15,MAX(0.1,Skills!D14-IF(Skills!E14=TRUE,Inputs!$B$32,0))))+1)),0)</f>
        <v/>
      </c>
      <c r="S2438">
        <f>IFERROR(O2438/N2438,0)</f>
        <v/>
      </c>
      <c r="T2438">
        <f>IF(C2438,(H2438*N2438*IF(AND(Inputs!$B$39&lt;&gt;"pvp",Inputs!$B$44&gt;0),((Skills!G14*((R2438-1)*IF(Skills!H14&gt;0,Skills!I14/Skills!H14,1)+IF(Skills!H14&gt;0,MIN(Skills!I14,MAX(0,MAX(0,Inputs!$B$44-B2469)-((R2438-1)*IF(Inputs!$B$39="pvp",15,MAX(0.1,Skills!D14-IF(Skills!E14=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Skills!E14=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IFERROR(1/IF(Inputs!$B$39="pvp",15,MAX(0.1,Skills!D15-IF(Skills!E15=TRUE,Inputs!$B$32,0))),0)</f>
        <v/>
      </c>
      <c r="R2439">
        <f>IF(AND(Inputs!$B$39&lt;&gt;"pvp",Inputs!$B$44&gt;0),IF(Inputs!$B$44&lt;=0,0,(INT(Inputs!$B$44/IF(Inputs!$B$39="pvp",15,MAX(0.1,Skills!D15-IF(Skills!E15=TRUE,Inputs!$B$32,0))))+1)),0)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IFERROR(1/IF(Inputs!$B$39="pvp",15,MAX(0.1,Skills!D16-IF(Skills!E16=TRUE,Inputs!$B$32,0))),0)</f>
        <v/>
      </c>
      <c r="R2440">
        <f>IF(AND(Inputs!$B$39&lt;&gt;"pvp",Inputs!$B$44&gt;0),IF(Inputs!$B$44&lt;=0,0,(INT(Inputs!$B$44/IF(Inputs!$B$39="pvp",15,MAX(0.1,Skills!D16-IF(Skills!E16=TRUE,Inputs!$B$32,0))))+1)),0)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IFERROR(1/IF(Inputs!$B$39="pvp",15,MAX(0.1,Skills!D19-IF(Skills!E19=TRUE,Inputs!$B$32,0))),0)</f>
        <v/>
      </c>
      <c r="R2443">
        <f>IF(AND(Inputs!$B$39&lt;&gt;"pvp",Inputs!$B$44&gt;0),IF(Inputs!$B$44&lt;=0,0,(INT(Inputs!$B$44/IF(Inputs!$B$39="pvp",15,MAX(0.1,Skills!D19-IF(Skills!E19=TRUE,Inputs!$B$32,0))))+1)),0)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IFERROR(1/IF(Inputs!$B$39="pvp",15,MAX(0.1,Skills!D20-IF(Skills!E20=TRUE,Inputs!$B$32,0))),0)</f>
        <v/>
      </c>
      <c r="R2444">
        <f>IF(AND(Inputs!$B$39&lt;&gt;"pvp",Inputs!$B$44&gt;0),IF(Inputs!$B$44&lt;=0,0,(INT(Inputs!$B$44/IF(Inputs!$B$39="pvp",15,MAX(0.1,Skills!D20-IF(Skills!E20=TRUE,Inputs!$B$32,0))))+1)),0)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IFERROR(1/IF(Inputs!$B$39="pvp",15,MAX(0.1,Skills!D21-IF(Skills!E21=TRUE,Inputs!$B$32,0))),0)</f>
        <v/>
      </c>
      <c r="R2445">
        <f>IF(AND(Inputs!$B$39&lt;&gt;"pvp",Inputs!$B$44&gt;0),IF(Inputs!$B$44&lt;=0,0,(INT(Inputs!$B$44/IF(Inputs!$B$39="pvp",15,MAX(0.1,Skills!D21-IF(Skills!E21=TRUE,Inputs!$B$32,0))))+1)),0)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Skills!Y19*(1+Inputs!$B$34/100))+MIN((Skills!Y19*(1+Inputs!$B$34/100)),MAX(0,Inputs!$B$44-((R2443-1)*Skills!D19))))/Inputs!$B$44),IF(Inputs!$B$39="pvp",MIN((Skills!Y19*(1+Inputs!$B$34/100)),15)/15,(Skills!Y19*(1+Inputs!$B$34/100))/Skills!D19)))/150)))/100</f>
        <v/>
      </c>
    </row>
    <row r="2458">
      <c r="A2458" t="inlineStr">
        <is>
          <t>Alchemic Adrenaline Uptime</t>
        </is>
      </c>
      <c r="B2458">
        <f>(Skills!Y6*(1+Inputs!$B$34/100))/((Skills!Y6*(1+Inputs!$B$34/100))+(5/B2457))</f>
        <v/>
      </c>
    </row>
    <row r="2459">
      <c r="A2459" t="inlineStr">
        <is>
          <t>Attack Speed Buff Bonus %</t>
        </is>
      </c>
      <c r="B2459">
        <f>((C2443=TRUE)*F2443*IF(AND(Inputs!$B$39&lt;&gt;"pvp",Inputs!$B$44&gt;0),(((R2443-1)*(Skills!Y19*(1+Inputs!$B$34/100))+MIN((Skills!Y19*(1+Inputs!$B$34/100)),MAX(0,Inputs!$B$44-((R2443-1)*Skills!D19))))/Inputs!$B$44),IF(Inputs!$B$39="pvp",MIN((Skills!Y19*(1+Inputs!$B$34/100)),15)/15,(Skills!Y19*(1+Inputs!$B$34/100))/Skills!D19)))+((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f>
        <v/>
      </c>
    </row>
    <row r="2464">
      <c r="A2464" t="inlineStr">
        <is>
          <t>Global Crit Rate Bonus %</t>
        </is>
      </c>
      <c r="B2464">
        <f>IF(Inputs!$B$3&gt;=47,8,0)+((C2444=TRUE)*F2444*IF(AND(Inputs!$B$39&lt;&gt;"pvp",Inputs!$B$44&gt;0),(((R2444-1)*(Skills!Y20*(1+Inputs!$B$34/100))+MIN((Skills!Y20*(1+Inputs!$B$34/100)),MAX(0,Inputs!$B$44-((R2444-1)*Skills!D20))))/Inputs!$B$44),IF(Inputs!$B$39="pvp",MIN((Skills!Y20*(1+Inputs!$B$34/100)),15)/15,(Skills!Y20*(1+Inputs!$B$34/100))/Skills!D20)))</f>
        <v/>
      </c>
    </row>
    <row r="2465">
      <c r="A2465" t="inlineStr">
        <is>
          <t>Global Monster Damage-Taken Bonus %</t>
        </is>
      </c>
      <c r="B2465">
        <f>IF(Inputs!$B$3&gt;=82,15,0)+((C2440=TRUE)*F2440*IF(AND(Inputs!$B$39&lt;&gt;"pvp",Inputs!$B$44&gt;0),(((R2440-1)*(Skills!Y16*(1+Inputs!$B$34/100))+MIN((Skills!Y16*(1+Inputs!$B$34/100)),MAX(0,Inputs!$B$44-((R2440-1)*Skills!D16))))/Inputs!$B$44),IF(Inputs!$B$39="pvp",MIN((Skills!Y16*(1+Inputs!$B$34/100)),15)/15,(Skills!Y16*(1+Inputs!$B$34/100))/Skills!D16)))</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Skills!Y16*(1+Inputs!$B$34/100))+MIN((Skills!Y16*(1+Inputs!$B$34/100)),MAX(0,Inputs!$B$44-((R2440-1)*Skills!D16))))/Inputs!$B$44),IF(Inputs!$B$39="pvp",MIN((Skills!Y16*(1+Inputs!$B$34/100)),15)/15,(Skills!Y16*(1+Inputs!$B$34/100))/Skills!D16))</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IFERROR(1/IF(Inputs!$B$39="pvp",15,MAX(0.1,Skills!D3-IF(Skills!E3=TRUE,Inputs!$B$32,0))),0)</f>
        <v/>
      </c>
      <c r="R2476">
        <f>IF(AND(Inputs!$B$39&lt;&gt;"pvp",Inputs!$B$44&gt;0),IF(MAX(0,Inputs!$B$44-B2518)&lt;=0,0,(INT(MAX(0,Inputs!$B$44-B2518)/IF(Inputs!$B$39="pvp",15,MAX(0.1,Skills!D3-IF(Skills!E3=TRUE,Inputs!$B$32,0))))+1)),0)</f>
        <v/>
      </c>
      <c r="S2476">
        <f>IFERROR(O2476/N2476,0)</f>
        <v/>
      </c>
      <c r="T2476">
        <f>IF(C2476,(H2476*N2476*IF(AND(Inputs!$B$39&lt;&gt;"pvp",Inputs!$B$44&gt;0),((Skills!G3*((R2476-1)*IF(Skills!H3&gt;0,Skills!I3/Skills!H3,1)+IF(Skills!H3&gt;0,MIN(Skills!I3,MAX(0,MAX(0,Inputs!$B$44-B2518)-((R2476-1)*IF(Inputs!$B$39="pvp",15,MAX(0.1,Skills!D3-IF(Skills!E3=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Skills!E3=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Inputs!$B$3&gt;=40</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IFERROR(1/IF(Inputs!$B$39="pvp",15,MAX(0.1,Skills!D4-IF(Skills!E4=TRUE,Inputs!$B$32,0))),0)</f>
        <v/>
      </c>
      <c r="R2477">
        <f>IF(AND(Inputs!$B$39&lt;&gt;"pvp",Inputs!$B$44&gt;0),IF(MAX(0,Inputs!$B$44-B2518)&lt;=0,0,(INT(MAX(0,Inputs!$B$44-B2518)/IF(Inputs!$B$39="pvp",15,MAX(0.1,Skills!D4-IF(Skills!E4=TRUE,Inputs!$B$32,0))))+1)),0)</f>
        <v/>
      </c>
      <c r="S2477">
        <f>IFERROR(O2477/N2477,0)</f>
        <v/>
      </c>
      <c r="T2477">
        <f>IF(C2477,(H2477*N2477*IF(AND(Inputs!$B$39&lt;&gt;"pvp",Inputs!$B$44&gt;0),((Skills!G4*((R2477-1)*IF(Skills!H4&gt;0,Skills!I4/Skills!H4,1)+IF(Skills!H4&gt;0,MIN(Skills!I4,MAX(0,MAX(0,Inputs!$B$44-B2518)-((R2477-1)*IF(Inputs!$B$39="pvp",15,MAX(0.1,Skills!D4-IF(Skills!E4=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Skills!E4=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IFERROR(1/IF(Inputs!$B$39="pvp",15,MAX(0.1,Skills!D5-IF(Skills!E5=TRUE,Inputs!$B$32,0))),0)</f>
        <v/>
      </c>
      <c r="R2478">
        <f>IF(AND(Inputs!$B$39&lt;&gt;"pvp",Inputs!$B$44&gt;0),IF(MAX(0,Inputs!$B$44-B2518)&lt;=0,0,(INT(MAX(0,Inputs!$B$44-B2518)/IF(Inputs!$B$39="pvp",15,MAX(0.1,Skills!D5-IF(Skills!E5=TRUE,Inputs!$B$32,0))))+1)),0)</f>
        <v/>
      </c>
      <c r="S2478">
        <f>IFERROR(O2478/N2478,0)</f>
        <v/>
      </c>
      <c r="T2478">
        <f>IF(C2478,(H2478*N2478*IF(AND(Inputs!$B$39&lt;&gt;"pvp",Inputs!$B$44&gt;0),((Skills!G5*((R2478-1)*IF(Skills!H5&gt;0,Skills!I5/Skills!H5,1)+IF(Skills!H5&gt;0,MIN(Skills!I5,MAX(0,MAX(0,Inputs!$B$44-B2518)-((R2478-1)*IF(Inputs!$B$39="pvp",15,MAX(0.1,Skills!D5-IF(Skills!E5=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Skills!E5=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IFERROR(1/IF(Inputs!$B$39="pvp",15,MAX(0.1,Skills!D8-IF(Skills!E8=TRUE,Inputs!$B$32,0))),0)</f>
        <v/>
      </c>
      <c r="R2481">
        <f>IF(AND(Inputs!$B$39&lt;&gt;"pvp",Inputs!$B$44&gt;0),IF(MAX(0,Inputs!$B$44-B2518)&lt;=0,0,(INT(MAX(0,Inputs!$B$44-B2518)/IF(Inputs!$B$39="pvp",15,MAX(0.1,Skills!D8-IF(Skills!E8=TRUE,Inputs!$B$32,0))))+1)),0)</f>
        <v/>
      </c>
      <c r="S2481">
        <f>IFERROR(O2481/N2481,0)</f>
        <v/>
      </c>
      <c r="T2481">
        <f>IF(C2481,(H2481*N2481*IF(AND(Inputs!$B$39&lt;&gt;"pvp",Inputs!$B$44&gt;0),((Skills!G8*((R2481-1)*IF(Skills!H8&gt;0,Skills!I8/Skills!H8,1)+IF(Skills!H8&gt;0,MIN(Skills!I8,MAX(0,MAX(0,Inputs!$B$44-B2518)-((R2481-1)*IF(Inputs!$B$39="pvp",15,MAX(0.1,Skills!D8-IF(Skills!E8=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Skills!E8=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Inputs!$B$3&gt;=72</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IFERROR(1/IF(Inputs!$B$39="pvp",15,MAX(0.1,Skills!D9-IF(Skills!E9=TRUE,Inputs!$B$32,0))),0)</f>
        <v/>
      </c>
      <c r="R2482">
        <f>IF(AND(Inputs!$B$39&lt;&gt;"pvp",Inputs!$B$44&gt;0),IF(MAX(0,Inputs!$B$44-B2518)&lt;=0,0,(INT(MAX(0,Inputs!$B$44-B2518)/IF(Inputs!$B$39="pvp",15,MAX(0.1,Skills!D9-IF(Skills!E9=TRUE,Inputs!$B$32,0))))+1)),0)</f>
        <v/>
      </c>
      <c r="S2482">
        <f>IFERROR(O2482/N2482,0)</f>
        <v/>
      </c>
      <c r="T2482">
        <f>IF(C2482,(H2482*N2482*IF(AND(Inputs!$B$39&lt;&gt;"pvp",Inputs!$B$44&gt;0),((Skills!G9*((R2482-1)*IF(Skills!H9&gt;0,Skills!I9/Skills!H9,1)+IF(Skills!H9&gt;0,MIN(Skills!I9,MAX(0,MAX(0,Inputs!$B$44-B2518)-((R2482-1)*IF(Inputs!$B$39="pvp",15,MAX(0.1,Skills!D9-IF(Skills!E9=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Skills!E9=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IFERROR(1/IF(Inputs!$B$39="pvp",15,MAX(0.1,Skills!D12-IF(Skills!E12=TRUE,Inputs!$B$32,0))),0)</f>
        <v/>
      </c>
      <c r="R2485">
        <f>IF(AND(Inputs!$B$39&lt;&gt;"pvp",Inputs!$B$44&gt;0),IF(MAX(0,Inputs!$B$44-B2518)&lt;=0,0,(INT(MAX(0,Inputs!$B$44-B2518)/IF(Inputs!$B$39="pvp",15,MAX(0.1,Skills!D12-IF(Skills!E12=TRUE,Inputs!$B$32,0))))+1)),0)</f>
        <v/>
      </c>
      <c r="S2485">
        <f>IFERROR(O2485/N2485,0)</f>
        <v/>
      </c>
      <c r="T2485">
        <f>IF(C2485,(H2485*N2485*IF(AND(Inputs!$B$39&lt;&gt;"pvp",Inputs!$B$44&gt;0),((Skills!G12*((R2485-1)*IF(Skills!H12&gt;0,Skills!I12/Skills!H12,1)+IF(Skills!H12&gt;0,MIN(Skills!I12,MAX(0,MAX(0,Inputs!$B$44-B2518)-((R2485-1)*IF(Inputs!$B$39="pvp",15,MAX(0.1,Skills!D12-IF(Skills!E12=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Skills!E12=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IFERROR(1/IF(Inputs!$B$39="pvp",15,MAX(0.1,Skills!D13-IF(Skills!E13=TRUE,Inputs!$B$32,0))),0)</f>
        <v/>
      </c>
      <c r="R2486">
        <f>IF(AND(Inputs!$B$39&lt;&gt;"pvp",Inputs!$B$44&gt;0),IF(MAX(0,Inputs!$B$44-B2518)&lt;=0,0,(INT(MAX(0,Inputs!$B$44-B2518)/IF(Inputs!$B$39="pvp",15,MAX(0.1,Skills!D13-IF(Skills!E13=TRUE,Inputs!$B$32,0))))+1)),0)</f>
        <v/>
      </c>
      <c r="S2486">
        <f>IFERROR(O2486/N2486,0)</f>
        <v/>
      </c>
      <c r="T2486">
        <f>IF(C2486,(H2486*N2486*IF(AND(Inputs!$B$39&lt;&gt;"pvp",Inputs!$B$44&gt;0),((Skills!G13*((R2486-1)*IF(Skills!H13&gt;0,Skills!I13/Skills!H13,1)+IF(Skills!H13&gt;0,MIN(Skills!I13,MAX(0,MAX(0,Inputs!$B$44-B2518)-((R2486-1)*IF(Inputs!$B$39="pvp",15,MAX(0.1,Skills!D13-IF(Skills!E13=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Skills!E13=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IFERROR(1/IF(Inputs!$B$39="pvp",15,MAX(0.1,Skills!D14-IF(Skills!E14=TRUE,Inputs!$B$32,0))),0)</f>
        <v/>
      </c>
      <c r="R2487">
        <f>IF(AND(Inputs!$B$39&lt;&gt;"pvp",Inputs!$B$44&gt;0),IF(MAX(0,Inputs!$B$44-B2518)&lt;=0,0,(INT(MAX(0,Inputs!$B$44-B2518)/IF(Inputs!$B$39="pvp",15,MAX(0.1,Skills!D14-IF(Skills!E14=TRUE,Inputs!$B$32,0))))+1)),0)</f>
        <v/>
      </c>
      <c r="S2487">
        <f>IFERROR(O2487/N2487,0)</f>
        <v/>
      </c>
      <c r="T2487">
        <f>IF(C2487,(H2487*N2487*IF(AND(Inputs!$B$39&lt;&gt;"pvp",Inputs!$B$44&gt;0),((Skills!G14*((R2487-1)*IF(Skills!H14&gt;0,Skills!I14/Skills!H14,1)+IF(Skills!H14&gt;0,MIN(Skills!I14,MAX(0,MAX(0,Inputs!$B$44-B2518)-((R2487-1)*IF(Inputs!$B$39="pvp",15,MAX(0.1,Skills!D14-IF(Skills!E14=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Skills!E14=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IFERROR(1/IF(Inputs!$B$39="pvp",15,MAX(0.1,Skills!D15-IF(Skills!E15=TRUE,Inputs!$B$32,0))),0)</f>
        <v/>
      </c>
      <c r="R2488">
        <f>IF(AND(Inputs!$B$39&lt;&gt;"pvp",Inputs!$B$44&gt;0),IF(Inputs!$B$44&lt;=0,0,(INT(Inputs!$B$44/IF(Inputs!$B$39="pvp",15,MAX(0.1,Skills!D15-IF(Skills!E15=TRUE,Inputs!$B$32,0))))+1)),0)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IFERROR(1/IF(Inputs!$B$39="pvp",15,MAX(0.1,Skills!D16-IF(Skills!E16=TRUE,Inputs!$B$32,0))),0)</f>
        <v/>
      </c>
      <c r="R2489">
        <f>IF(AND(Inputs!$B$39&lt;&gt;"pvp",Inputs!$B$44&gt;0),IF(Inputs!$B$44&lt;=0,0,(INT(Inputs!$B$44/IF(Inputs!$B$39="pvp",15,MAX(0.1,Skills!D16-IF(Skills!E16=TRUE,Inputs!$B$32,0))))+1)),0)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IFERROR(1/IF(Inputs!$B$39="pvp",15,MAX(0.1,Skills!D19-IF(Skills!E19=TRUE,Inputs!$B$32,0))),0)</f>
        <v/>
      </c>
      <c r="R2492">
        <f>IF(AND(Inputs!$B$39&lt;&gt;"pvp",Inputs!$B$44&gt;0),IF(Inputs!$B$44&lt;=0,0,(INT(Inputs!$B$44/IF(Inputs!$B$39="pvp",15,MAX(0.1,Skills!D19-IF(Skills!E19=TRUE,Inputs!$B$32,0))))+1)),0)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IFERROR(1/IF(Inputs!$B$39="pvp",15,MAX(0.1,Skills!D20-IF(Skills!E20=TRUE,Inputs!$B$32,0))),0)</f>
        <v/>
      </c>
      <c r="R2493">
        <f>IF(AND(Inputs!$B$39&lt;&gt;"pvp",Inputs!$B$44&gt;0),IF(Inputs!$B$44&lt;=0,0,(INT(Inputs!$B$44/IF(Inputs!$B$39="pvp",15,MAX(0.1,Skills!D20-IF(Skills!E20=TRUE,Inputs!$B$32,0))))+1)),0)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IFERROR(1/IF(Inputs!$B$39="pvp",15,MAX(0.1,Skills!D21-IF(Skills!E21=TRUE,Inputs!$B$32,0))),0)</f>
        <v/>
      </c>
      <c r="R2494">
        <f>IF(AND(Inputs!$B$39&lt;&gt;"pvp",Inputs!$B$44&gt;0),IF(Inputs!$B$44&lt;=0,0,(INT(Inputs!$B$44/IF(Inputs!$B$39="pvp",15,MAX(0.1,Skills!D21-IF(Skills!E21=TRUE,Inputs!$B$32,0))))+1)),0)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Skills!Y19*(1+Inputs!$B$34/100))+MIN((Skills!Y19*(1+Inputs!$B$34/100)),MAX(0,Inputs!$B$44-((R2492-1)*Skills!D19))))/Inputs!$B$44),IF(Inputs!$B$39="pvp",MIN((Skills!Y19*(1+Inputs!$B$34/100)),15)/15,(Skills!Y19*(1+Inputs!$B$34/100))/Skills!D19)))/150)))/100</f>
        <v/>
      </c>
    </row>
    <row r="2507">
      <c r="A2507" t="inlineStr">
        <is>
          <t>Alchemic Adrenaline Uptime</t>
        </is>
      </c>
      <c r="B2507">
        <f>(Skills!Y6*(1+Inputs!$B$34/100))/((Skills!Y6*(1+Inputs!$B$34/100))+(5/B2506))</f>
        <v/>
      </c>
    </row>
    <row r="2508">
      <c r="A2508" t="inlineStr">
        <is>
          <t>Attack Speed Buff Bonus %</t>
        </is>
      </c>
      <c r="B2508">
        <f>((C2492=TRUE)*F2492*IF(AND(Inputs!$B$39&lt;&gt;"pvp",Inputs!$B$44&gt;0),(((R2492-1)*(Skills!Y19*(1+Inputs!$B$34/100))+MIN((Skills!Y19*(1+Inputs!$B$34/100)),MAX(0,Inputs!$B$44-((R2492-1)*Skills!D19))))/Inputs!$B$44),IF(Inputs!$B$39="pvp",MIN((Skills!Y19*(1+Inputs!$B$34/100)),15)/15,(Skills!Y19*(1+Inputs!$B$34/100))/Skills!D19)))+((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f>
        <v/>
      </c>
    </row>
    <row r="2513">
      <c r="A2513" t="inlineStr">
        <is>
          <t>Global Crit Rate Bonus %</t>
        </is>
      </c>
      <c r="B2513">
        <f>IF(Inputs!$B$3&gt;=47,8,0)+((C2493=TRUE)*F2493*IF(AND(Inputs!$B$39&lt;&gt;"pvp",Inputs!$B$44&gt;0),(((R2493-1)*(Skills!Y20*(1+Inputs!$B$34/100))+MIN((Skills!Y20*(1+Inputs!$B$34/100)),MAX(0,Inputs!$B$44-((R2493-1)*Skills!D20))))/Inputs!$B$44),IF(Inputs!$B$39="pvp",MIN((Skills!Y20*(1+Inputs!$B$34/100)),15)/15,(Skills!Y20*(1+Inputs!$B$34/100))/Skills!D20)))</f>
        <v/>
      </c>
    </row>
    <row r="2514">
      <c r="A2514" t="inlineStr">
        <is>
          <t>Global Monster Damage-Taken Bonus %</t>
        </is>
      </c>
      <c r="B2514">
        <f>IF(Inputs!$B$3&gt;=82,15,0)+((C2489=TRUE)*F2489*IF(AND(Inputs!$B$39&lt;&gt;"pvp",Inputs!$B$44&gt;0),(((R2489-1)*(Skills!Y16*(1+Inputs!$B$34/100))+MIN((Skills!Y16*(1+Inputs!$B$34/100)),MAX(0,Inputs!$B$44-((R2489-1)*Skills!D16))))/Inputs!$B$44),IF(Inputs!$B$39="pvp",MIN((Skills!Y16*(1+Inputs!$B$34/100)),15)/15,(Skills!Y16*(1+Inputs!$B$34/100))/Skills!D16)))</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Skills!Y16*(1+Inputs!$B$34/100))+MIN((Skills!Y16*(1+Inputs!$B$34/100)),MAX(0,Inputs!$B$44-((R2489-1)*Skills!D16))))/Inputs!$B$44),IF(Inputs!$B$39="pvp",MIN((Skills!Y16*(1+Inputs!$B$34/100)),15)/15,(Skills!Y16*(1+Inputs!$B$34/100))/Skills!D16))</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IFERROR(1/IF(Inputs!$B$39="pvp",15,MAX(0.1,Skills!D3-IF(Skills!E3=TRUE,Inputs!$B$32,0))),0)</f>
        <v/>
      </c>
      <c r="R2525">
        <f>IF(AND(Inputs!$B$39&lt;&gt;"pvp",Inputs!$B$44&gt;0),IF(MAX(0,Inputs!$B$44-B2567)&lt;=0,0,(INT(MAX(0,Inputs!$B$44-B2567)/IF(Inputs!$B$39="pvp",15,MAX(0.1,Skills!D3-IF(Skills!E3=TRUE,Inputs!$B$32,0))))+1)),0)</f>
        <v/>
      </c>
      <c r="S2525">
        <f>IFERROR(O2525/N2525,0)</f>
        <v/>
      </c>
      <c r="T2525">
        <f>IF(C2525,(H2525*N2525*IF(AND(Inputs!$B$39&lt;&gt;"pvp",Inputs!$B$44&gt;0),((Skills!G3*((R2525-1)*IF(Skills!H3&gt;0,Skills!I3/Skills!H3,1)+IF(Skills!H3&gt;0,MIN(Skills!I3,MAX(0,MAX(0,Inputs!$B$44-B2567)-((R2525-1)*IF(Inputs!$B$39="pvp",15,MAX(0.1,Skills!D3-IF(Skills!E3=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Skills!E3=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IFERROR(1/IF(Inputs!$B$39="pvp",15,MAX(0.1,Skills!D4-IF(Skills!E4=TRUE,Inputs!$B$32,0))),0)</f>
        <v/>
      </c>
      <c r="R2526">
        <f>IF(AND(Inputs!$B$39&lt;&gt;"pvp",Inputs!$B$44&gt;0),IF(MAX(0,Inputs!$B$44-B2567)&lt;=0,0,(INT(MAX(0,Inputs!$B$44-B2567)/IF(Inputs!$B$39="pvp",15,MAX(0.1,Skills!D4-IF(Skills!E4=TRUE,Inputs!$B$32,0))))+1)),0)</f>
        <v/>
      </c>
      <c r="S2526">
        <f>IFERROR(O2526/N2526,0)</f>
        <v/>
      </c>
      <c r="T2526">
        <f>IF(C2526,(H2526*N2526*IF(AND(Inputs!$B$39&lt;&gt;"pvp",Inputs!$B$44&gt;0),((Skills!G4*((R2526-1)*IF(Skills!H4&gt;0,Skills!I4/Skills!H4,1)+IF(Skills!H4&gt;0,MIN(Skills!I4,MAX(0,MAX(0,Inputs!$B$44-B2567)-((R2526-1)*IF(Inputs!$B$39="pvp",15,MAX(0.1,Skills!D4-IF(Skills!E4=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Skills!E4=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IFERROR(1/IF(Inputs!$B$39="pvp",15,MAX(0.1,Skills!D5-IF(Skills!E5=TRUE,Inputs!$B$32,0))),0)</f>
        <v/>
      </c>
      <c r="R2527">
        <f>IF(AND(Inputs!$B$39&lt;&gt;"pvp",Inputs!$B$44&gt;0),IF(MAX(0,Inputs!$B$44-B2567)&lt;=0,0,(INT(MAX(0,Inputs!$B$44-B2567)/IF(Inputs!$B$39="pvp",15,MAX(0.1,Skills!D5-IF(Skills!E5=TRUE,Inputs!$B$32,0))))+1)),0)</f>
        <v/>
      </c>
      <c r="S2527">
        <f>IFERROR(O2527/N2527,0)</f>
        <v/>
      </c>
      <c r="T2527">
        <f>IF(C2527,(H2527*N2527*IF(AND(Inputs!$B$39&lt;&gt;"pvp",Inputs!$B$44&gt;0),((Skills!G5*((R2527-1)*IF(Skills!H5&gt;0,Skills!I5/Skills!H5,1)+IF(Skills!H5&gt;0,MIN(Skills!I5,MAX(0,MAX(0,Inputs!$B$44-B2567)-((R2527-1)*IF(Inputs!$B$39="pvp",15,MAX(0.1,Skills!D5-IF(Skills!E5=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Skills!E5=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IFERROR(1/IF(Inputs!$B$39="pvp",15,MAX(0.1,Skills!D8-IF(Skills!E8=TRUE,Inputs!$B$32,0))),0)</f>
        <v/>
      </c>
      <c r="R2530">
        <f>IF(AND(Inputs!$B$39&lt;&gt;"pvp",Inputs!$B$44&gt;0),IF(MAX(0,Inputs!$B$44-B2567)&lt;=0,0,(INT(MAX(0,Inputs!$B$44-B2567)/IF(Inputs!$B$39="pvp",15,MAX(0.1,Skills!D8-IF(Skills!E8=TRUE,Inputs!$B$32,0))))+1)),0)</f>
        <v/>
      </c>
      <c r="S2530">
        <f>IFERROR(O2530/N2530,0)</f>
        <v/>
      </c>
      <c r="T2530">
        <f>IF(C2530,(H2530*N2530*IF(AND(Inputs!$B$39&lt;&gt;"pvp",Inputs!$B$44&gt;0),((Skills!G8*((R2530-1)*IF(Skills!H8&gt;0,Skills!I8/Skills!H8,1)+IF(Skills!H8&gt;0,MIN(Skills!I8,MAX(0,MAX(0,Inputs!$B$44-B2567)-((R2530-1)*IF(Inputs!$B$39="pvp",15,MAX(0.1,Skills!D8-IF(Skills!E8=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Skills!E8=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Inputs!$B$3&gt;=72</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IFERROR(1/IF(Inputs!$B$39="pvp",15,MAX(0.1,Skills!D9-IF(Skills!E9=TRUE,Inputs!$B$32,0))),0)</f>
        <v/>
      </c>
      <c r="R2531">
        <f>IF(AND(Inputs!$B$39&lt;&gt;"pvp",Inputs!$B$44&gt;0),IF(MAX(0,Inputs!$B$44-B2567)&lt;=0,0,(INT(MAX(0,Inputs!$B$44-B2567)/IF(Inputs!$B$39="pvp",15,MAX(0.1,Skills!D9-IF(Skills!E9=TRUE,Inputs!$B$32,0))))+1)),0)</f>
        <v/>
      </c>
      <c r="S2531">
        <f>IFERROR(O2531/N2531,0)</f>
        <v/>
      </c>
      <c r="T2531">
        <f>IF(C2531,(H2531*N2531*IF(AND(Inputs!$B$39&lt;&gt;"pvp",Inputs!$B$44&gt;0),((Skills!G9*((R2531-1)*IF(Skills!H9&gt;0,Skills!I9/Skills!H9,1)+IF(Skills!H9&gt;0,MIN(Skills!I9,MAX(0,MAX(0,Inputs!$B$44-B2567)-((R2531-1)*IF(Inputs!$B$39="pvp",15,MAX(0.1,Skills!D9-IF(Skills!E9=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Skills!E9=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IFERROR(1/IF(Inputs!$B$39="pvp",15,MAX(0.1,Skills!D12-IF(Skills!E12=TRUE,Inputs!$B$32,0))),0)</f>
        <v/>
      </c>
      <c r="R2534">
        <f>IF(AND(Inputs!$B$39&lt;&gt;"pvp",Inputs!$B$44&gt;0),IF(MAX(0,Inputs!$B$44-B2567)&lt;=0,0,(INT(MAX(0,Inputs!$B$44-B2567)/IF(Inputs!$B$39="pvp",15,MAX(0.1,Skills!D12-IF(Skills!E12=TRUE,Inputs!$B$32,0))))+1)),0)</f>
        <v/>
      </c>
      <c r="S2534">
        <f>IFERROR(O2534/N2534,0)</f>
        <v/>
      </c>
      <c r="T2534">
        <f>IF(C2534,(H2534*N2534*IF(AND(Inputs!$B$39&lt;&gt;"pvp",Inputs!$B$44&gt;0),((Skills!G12*((R2534-1)*IF(Skills!H12&gt;0,Skills!I12/Skills!H12,1)+IF(Skills!H12&gt;0,MIN(Skills!I12,MAX(0,MAX(0,Inputs!$B$44-B2567)-((R2534-1)*IF(Inputs!$B$39="pvp",15,MAX(0.1,Skills!D12-IF(Skills!E12=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Skills!E12=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IFERROR(1/IF(Inputs!$B$39="pvp",15,MAX(0.1,Skills!D13-IF(Skills!E13=TRUE,Inputs!$B$32,0))),0)</f>
        <v/>
      </c>
      <c r="R2535">
        <f>IF(AND(Inputs!$B$39&lt;&gt;"pvp",Inputs!$B$44&gt;0),IF(MAX(0,Inputs!$B$44-B2567)&lt;=0,0,(INT(MAX(0,Inputs!$B$44-B2567)/IF(Inputs!$B$39="pvp",15,MAX(0.1,Skills!D13-IF(Skills!E13=TRUE,Inputs!$B$32,0))))+1)),0)</f>
        <v/>
      </c>
      <c r="S2535">
        <f>IFERROR(O2535/N2535,0)</f>
        <v/>
      </c>
      <c r="T2535">
        <f>IF(C2535,(H2535*N2535*IF(AND(Inputs!$B$39&lt;&gt;"pvp",Inputs!$B$44&gt;0),((Skills!G13*((R2535-1)*IF(Skills!H13&gt;0,Skills!I13/Skills!H13,1)+IF(Skills!H13&gt;0,MIN(Skills!I13,MAX(0,MAX(0,Inputs!$B$44-B2567)-((R2535-1)*IF(Inputs!$B$39="pvp",15,MAX(0.1,Skills!D13-IF(Skills!E13=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Skills!E13=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IFERROR(1/IF(Inputs!$B$39="pvp",15,MAX(0.1,Skills!D14-IF(Skills!E14=TRUE,Inputs!$B$32,0))),0)</f>
        <v/>
      </c>
      <c r="R2536">
        <f>IF(AND(Inputs!$B$39&lt;&gt;"pvp",Inputs!$B$44&gt;0),IF(MAX(0,Inputs!$B$44-B2567)&lt;=0,0,(INT(MAX(0,Inputs!$B$44-B2567)/IF(Inputs!$B$39="pvp",15,MAX(0.1,Skills!D14-IF(Skills!E14=TRUE,Inputs!$B$32,0))))+1)),0)</f>
        <v/>
      </c>
      <c r="S2536">
        <f>IFERROR(O2536/N2536,0)</f>
        <v/>
      </c>
      <c r="T2536">
        <f>IF(C2536,(H2536*N2536*IF(AND(Inputs!$B$39&lt;&gt;"pvp",Inputs!$B$44&gt;0),((Skills!G14*((R2536-1)*IF(Skills!H14&gt;0,Skills!I14/Skills!H14,1)+IF(Skills!H14&gt;0,MIN(Skills!I14,MAX(0,MAX(0,Inputs!$B$44-B2567)-((R2536-1)*IF(Inputs!$B$39="pvp",15,MAX(0.1,Skills!D14-IF(Skills!E14=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Skills!E14=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IFERROR(1/IF(Inputs!$B$39="pvp",15,MAX(0.1,Skills!D15-IF(Skills!E15=TRUE,Inputs!$B$32,0))),0)</f>
        <v/>
      </c>
      <c r="R2537">
        <f>IF(AND(Inputs!$B$39&lt;&gt;"pvp",Inputs!$B$44&gt;0),IF(Inputs!$B$44&lt;=0,0,(INT(Inputs!$B$44/IF(Inputs!$B$39="pvp",15,MAX(0.1,Skills!D15-IF(Skills!E15=TRUE,Inputs!$B$32,0))))+1)),0)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IFERROR(1/IF(Inputs!$B$39="pvp",15,MAX(0.1,Skills!D16-IF(Skills!E16=TRUE,Inputs!$B$32,0))),0)</f>
        <v/>
      </c>
      <c r="R2538">
        <f>IF(AND(Inputs!$B$39&lt;&gt;"pvp",Inputs!$B$44&gt;0),IF(Inputs!$B$44&lt;=0,0,(INT(Inputs!$B$44/IF(Inputs!$B$39="pvp",15,MAX(0.1,Skills!D16-IF(Skills!E16=TRUE,Inputs!$B$32,0))))+1)),0)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IFERROR(1/IF(Inputs!$B$39="pvp",15,MAX(0.1,Skills!D19-IF(Skills!E19=TRUE,Inputs!$B$32,0))),0)</f>
        <v/>
      </c>
      <c r="R2541">
        <f>IF(AND(Inputs!$B$39&lt;&gt;"pvp",Inputs!$B$44&gt;0),IF(Inputs!$B$44&lt;=0,0,(INT(Inputs!$B$44/IF(Inputs!$B$39="pvp",15,MAX(0.1,Skills!D19-IF(Skills!E19=TRUE,Inputs!$B$32,0))))+1)),0)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IFERROR(1/IF(Inputs!$B$39="pvp",15,MAX(0.1,Skills!D20-IF(Skills!E20=TRUE,Inputs!$B$32,0))),0)</f>
        <v/>
      </c>
      <c r="R2542">
        <f>IF(AND(Inputs!$B$39&lt;&gt;"pvp",Inputs!$B$44&gt;0),IF(Inputs!$B$44&lt;=0,0,(INT(Inputs!$B$44/IF(Inputs!$B$39="pvp",15,MAX(0.1,Skills!D20-IF(Skills!E20=TRUE,Inputs!$B$32,0))))+1)),0)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IFERROR(1/IF(Inputs!$B$39="pvp",15,MAX(0.1,Skills!D21-IF(Skills!E21=TRUE,Inputs!$B$32,0))),0)</f>
        <v/>
      </c>
      <c r="R2543">
        <f>IF(AND(Inputs!$B$39&lt;&gt;"pvp",Inputs!$B$44&gt;0),IF(Inputs!$B$44&lt;=0,0,(INT(Inputs!$B$44/IF(Inputs!$B$39="pvp",15,MAX(0.1,Skills!D21-IF(Skills!E21=TRUE,Inputs!$B$32,0))))+1)),0)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Skills!Y19*(1+Inputs!$B$34/100))+MIN((Skills!Y19*(1+Inputs!$B$34/100)),MAX(0,Inputs!$B$44-((R2541-1)*Skills!D19))))/Inputs!$B$44),IF(Inputs!$B$39="pvp",MIN((Skills!Y19*(1+Inputs!$B$34/100)),15)/15,(Skills!Y19*(1+Inputs!$B$34/100))/Skills!D19)))/150)))/100</f>
        <v/>
      </c>
    </row>
    <row r="2556">
      <c r="A2556" t="inlineStr">
        <is>
          <t>Alchemic Adrenaline Uptime</t>
        </is>
      </c>
      <c r="B2556">
        <f>(Skills!Y6*(1+Inputs!$B$34/100))/((Skills!Y6*(1+Inputs!$B$34/100))+(5/B2555))</f>
        <v/>
      </c>
    </row>
    <row r="2557">
      <c r="A2557" t="inlineStr">
        <is>
          <t>Attack Speed Buff Bonus %</t>
        </is>
      </c>
      <c r="B2557">
        <f>((C2541=TRUE)*F2541*IF(AND(Inputs!$B$39&lt;&gt;"pvp",Inputs!$B$44&gt;0),(((R2541-1)*(Skills!Y19*(1+Inputs!$B$34/100))+MIN((Skills!Y19*(1+Inputs!$B$34/100)),MAX(0,Inputs!$B$44-((R2541-1)*Skills!D19))))/Inputs!$B$44),IF(Inputs!$B$39="pvp",MIN((Skills!Y19*(1+Inputs!$B$34/100)),15)/15,(Skills!Y19*(1+Inputs!$B$34/100))/Skills!D19)))+((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f>
        <v/>
      </c>
    </row>
    <row r="2562">
      <c r="A2562" t="inlineStr">
        <is>
          <t>Global Crit Rate Bonus %</t>
        </is>
      </c>
      <c r="B2562">
        <f>IF(Inputs!$B$3&gt;=47,8,0)+((C2542=TRUE)*F2542*IF(AND(Inputs!$B$39&lt;&gt;"pvp",Inputs!$B$44&gt;0),(((R2542-1)*(Skills!Y20*(1+Inputs!$B$34/100))+MIN((Skills!Y20*(1+Inputs!$B$34/100)),MAX(0,Inputs!$B$44-((R2542-1)*Skills!D20))))/Inputs!$B$44),IF(Inputs!$B$39="pvp",MIN((Skills!Y20*(1+Inputs!$B$34/100)),15)/15,(Skills!Y20*(1+Inputs!$B$34/100))/Skills!D20)))</f>
        <v/>
      </c>
    </row>
    <row r="2563">
      <c r="A2563" t="inlineStr">
        <is>
          <t>Global Monster Damage-Taken Bonus %</t>
        </is>
      </c>
      <c r="B2563">
        <f>IF(Inputs!$B$3&gt;=82,15,0)+((C2538=TRUE)*F2538*IF(AND(Inputs!$B$39&lt;&gt;"pvp",Inputs!$B$44&gt;0),(((R2538-1)*(Skills!Y16*(1+Inputs!$B$34/100))+MIN((Skills!Y16*(1+Inputs!$B$34/100)),MAX(0,Inputs!$B$44-((R2538-1)*Skills!D16))))/Inputs!$B$44),IF(Inputs!$B$39="pvp",MIN((Skills!Y16*(1+Inputs!$B$34/100)),15)/15,(Skills!Y16*(1+Inputs!$B$34/100))/Skills!D16)))</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Skills!Y16*(1+Inputs!$B$34/100))+MIN((Skills!Y16*(1+Inputs!$B$34/100)),MAX(0,Inputs!$B$44-((R2538-1)*Skills!D16))))/Inputs!$B$44),IF(Inputs!$B$39="pvp",MIN((Skills!Y16*(1+Inputs!$B$34/100)),15)/15,(Skills!Y16*(1+Inputs!$B$34/100))/Skills!D16))</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IFERROR(1/IF(Inputs!$B$39="pvp",15,MAX(0.1,Skills!D3-IF(Skills!E3=TRUE,Inputs!$B$32,0))),0)</f>
        <v/>
      </c>
      <c r="R2574">
        <f>IF(AND(Inputs!$B$39&lt;&gt;"pvp",Inputs!$B$44&gt;0),IF(MAX(0,Inputs!$B$44-B2616)&lt;=0,0,(INT(MAX(0,Inputs!$B$44-B2616)/IF(Inputs!$B$39="pvp",15,MAX(0.1,Skills!D3-IF(Skills!E3=TRUE,Inputs!$B$32,0))))+1)),0)</f>
        <v/>
      </c>
      <c r="S2574">
        <f>IFERROR(O2574/N2574,0)</f>
        <v/>
      </c>
      <c r="T2574">
        <f>IF(C2574,(H2574*N2574*IF(AND(Inputs!$B$39&lt;&gt;"pvp",Inputs!$B$44&gt;0),((Skills!G3*((R2574-1)*IF(Skills!H3&gt;0,Skills!I3/Skills!H3,1)+IF(Skills!H3&gt;0,MIN(Skills!I3,MAX(0,MAX(0,Inputs!$B$44-B2616)-((R2574-1)*IF(Inputs!$B$39="pvp",15,MAX(0.1,Skills!D3-IF(Skills!E3=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Skills!E3=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Inputs!$B$3&gt;=40</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IFERROR(1/IF(Inputs!$B$39="pvp",15,MAX(0.1,Skills!D4-IF(Skills!E4=TRUE,Inputs!$B$32,0))),0)</f>
        <v/>
      </c>
      <c r="R2575">
        <f>IF(AND(Inputs!$B$39&lt;&gt;"pvp",Inputs!$B$44&gt;0),IF(MAX(0,Inputs!$B$44-B2616)&lt;=0,0,(INT(MAX(0,Inputs!$B$44-B2616)/IF(Inputs!$B$39="pvp",15,MAX(0.1,Skills!D4-IF(Skills!E4=TRUE,Inputs!$B$32,0))))+1)),0)</f>
        <v/>
      </c>
      <c r="S2575">
        <f>IFERROR(O2575/N2575,0)</f>
        <v/>
      </c>
      <c r="T2575">
        <f>IF(C2575,(H2575*N2575*IF(AND(Inputs!$B$39&lt;&gt;"pvp",Inputs!$B$44&gt;0),((Skills!G4*((R2575-1)*IF(Skills!H4&gt;0,Skills!I4/Skills!H4,1)+IF(Skills!H4&gt;0,MIN(Skills!I4,MAX(0,MAX(0,Inputs!$B$44-B2616)-((R2575-1)*IF(Inputs!$B$39="pvp",15,MAX(0.1,Skills!D4-IF(Skills!E4=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Skills!E4=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IFERROR(1/IF(Inputs!$B$39="pvp",15,MAX(0.1,Skills!D5-IF(Skills!E5=TRUE,Inputs!$B$32,0))),0)</f>
        <v/>
      </c>
      <c r="R2576">
        <f>IF(AND(Inputs!$B$39&lt;&gt;"pvp",Inputs!$B$44&gt;0),IF(MAX(0,Inputs!$B$44-B2616)&lt;=0,0,(INT(MAX(0,Inputs!$B$44-B2616)/IF(Inputs!$B$39="pvp",15,MAX(0.1,Skills!D5-IF(Skills!E5=TRUE,Inputs!$B$32,0))))+1)),0)</f>
        <v/>
      </c>
      <c r="S2576">
        <f>IFERROR(O2576/N2576,0)</f>
        <v/>
      </c>
      <c r="T2576">
        <f>IF(C2576,(H2576*N2576*IF(AND(Inputs!$B$39&lt;&gt;"pvp",Inputs!$B$44&gt;0),((Skills!G5*((R2576-1)*IF(Skills!H5&gt;0,Skills!I5/Skills!H5,1)+IF(Skills!H5&gt;0,MIN(Skills!I5,MAX(0,MAX(0,Inputs!$B$44-B2616)-((R2576-1)*IF(Inputs!$B$39="pvp",15,MAX(0.1,Skills!D5-IF(Skills!E5=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Skills!E5=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IFERROR(1/IF(Inputs!$B$39="pvp",15,MAX(0.1,Skills!D8-IF(Skills!E8=TRUE,Inputs!$B$32,0))),0)</f>
        <v/>
      </c>
      <c r="R2579">
        <f>IF(AND(Inputs!$B$39&lt;&gt;"pvp",Inputs!$B$44&gt;0),IF(MAX(0,Inputs!$B$44-B2616)&lt;=0,0,(INT(MAX(0,Inputs!$B$44-B2616)/IF(Inputs!$B$39="pvp",15,MAX(0.1,Skills!D8-IF(Skills!E8=TRUE,Inputs!$B$32,0))))+1)),0)</f>
        <v/>
      </c>
      <c r="S2579">
        <f>IFERROR(O2579/N2579,0)</f>
        <v/>
      </c>
      <c r="T2579">
        <f>IF(C2579,(H2579*N2579*IF(AND(Inputs!$B$39&lt;&gt;"pvp",Inputs!$B$44&gt;0),((Skills!G8*((R2579-1)*IF(Skills!H8&gt;0,Skills!I8/Skills!H8,1)+IF(Skills!H8&gt;0,MIN(Skills!I8,MAX(0,MAX(0,Inputs!$B$44-B2616)-((R2579-1)*IF(Inputs!$B$39="pvp",15,MAX(0.1,Skills!D8-IF(Skills!E8=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Skills!E8=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Inputs!$B$3&gt;=72</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IFERROR(1/IF(Inputs!$B$39="pvp",15,MAX(0.1,Skills!D9-IF(Skills!E9=TRUE,Inputs!$B$32,0))),0)</f>
        <v/>
      </c>
      <c r="R2580">
        <f>IF(AND(Inputs!$B$39&lt;&gt;"pvp",Inputs!$B$44&gt;0),IF(MAX(0,Inputs!$B$44-B2616)&lt;=0,0,(INT(MAX(0,Inputs!$B$44-B2616)/IF(Inputs!$B$39="pvp",15,MAX(0.1,Skills!D9-IF(Skills!E9=TRUE,Inputs!$B$32,0))))+1)),0)</f>
        <v/>
      </c>
      <c r="S2580">
        <f>IFERROR(O2580/N2580,0)</f>
        <v/>
      </c>
      <c r="T2580">
        <f>IF(C2580,(H2580*N2580*IF(AND(Inputs!$B$39&lt;&gt;"pvp",Inputs!$B$44&gt;0),((Skills!G9*((R2580-1)*IF(Skills!H9&gt;0,Skills!I9/Skills!H9,1)+IF(Skills!H9&gt;0,MIN(Skills!I9,MAX(0,MAX(0,Inputs!$B$44-B2616)-((R2580-1)*IF(Inputs!$B$39="pvp",15,MAX(0.1,Skills!D9-IF(Skills!E9=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Skills!E9=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IFERROR(1/IF(Inputs!$B$39="pvp",15,MAX(0.1,Skills!D12-IF(Skills!E12=TRUE,Inputs!$B$32,0))),0)</f>
        <v/>
      </c>
      <c r="R2583">
        <f>IF(AND(Inputs!$B$39&lt;&gt;"pvp",Inputs!$B$44&gt;0),IF(MAX(0,Inputs!$B$44-B2616)&lt;=0,0,(INT(MAX(0,Inputs!$B$44-B2616)/IF(Inputs!$B$39="pvp",15,MAX(0.1,Skills!D12-IF(Skills!E12=TRUE,Inputs!$B$32,0))))+1)),0)</f>
        <v/>
      </c>
      <c r="S2583">
        <f>IFERROR(O2583/N2583,0)</f>
        <v/>
      </c>
      <c r="T2583">
        <f>IF(C2583,(H2583*N2583*IF(AND(Inputs!$B$39&lt;&gt;"pvp",Inputs!$B$44&gt;0),((Skills!G12*((R2583-1)*IF(Skills!H12&gt;0,Skills!I12/Skills!H12,1)+IF(Skills!H12&gt;0,MIN(Skills!I12,MAX(0,MAX(0,Inputs!$B$44-B2616)-((R2583-1)*IF(Inputs!$B$39="pvp",15,MAX(0.1,Skills!D12-IF(Skills!E12=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Skills!E12=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IFERROR(1/IF(Inputs!$B$39="pvp",15,MAX(0.1,Skills!D13-IF(Skills!E13=TRUE,Inputs!$B$32,0))),0)</f>
        <v/>
      </c>
      <c r="R2584">
        <f>IF(AND(Inputs!$B$39&lt;&gt;"pvp",Inputs!$B$44&gt;0),IF(MAX(0,Inputs!$B$44-B2616)&lt;=0,0,(INT(MAX(0,Inputs!$B$44-B2616)/IF(Inputs!$B$39="pvp",15,MAX(0.1,Skills!D13-IF(Skills!E13=TRUE,Inputs!$B$32,0))))+1)),0)</f>
        <v/>
      </c>
      <c r="S2584">
        <f>IFERROR(O2584/N2584,0)</f>
        <v/>
      </c>
      <c r="T2584">
        <f>IF(C2584,(H2584*N2584*IF(AND(Inputs!$B$39&lt;&gt;"pvp",Inputs!$B$44&gt;0),((Skills!G13*((R2584-1)*IF(Skills!H13&gt;0,Skills!I13/Skills!H13,1)+IF(Skills!H13&gt;0,MIN(Skills!I13,MAX(0,MAX(0,Inputs!$B$44-B2616)-((R2584-1)*IF(Inputs!$B$39="pvp",15,MAX(0.1,Skills!D13-IF(Skills!E13=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Skills!E13=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IFERROR(1/IF(Inputs!$B$39="pvp",15,MAX(0.1,Skills!D14-IF(Skills!E14=TRUE,Inputs!$B$32,0))),0)</f>
        <v/>
      </c>
      <c r="R2585">
        <f>IF(AND(Inputs!$B$39&lt;&gt;"pvp",Inputs!$B$44&gt;0),IF(MAX(0,Inputs!$B$44-B2616)&lt;=0,0,(INT(MAX(0,Inputs!$B$44-B2616)/IF(Inputs!$B$39="pvp",15,MAX(0.1,Skills!D14-IF(Skills!E14=TRUE,Inputs!$B$32,0))))+1)),0)</f>
        <v/>
      </c>
      <c r="S2585">
        <f>IFERROR(O2585/N2585,0)</f>
        <v/>
      </c>
      <c r="T2585">
        <f>IF(C2585,(H2585*N2585*IF(AND(Inputs!$B$39&lt;&gt;"pvp",Inputs!$B$44&gt;0),((Skills!G14*((R2585-1)*IF(Skills!H14&gt;0,Skills!I14/Skills!H14,1)+IF(Skills!H14&gt;0,MIN(Skills!I14,MAX(0,MAX(0,Inputs!$B$44-B2616)-((R2585-1)*IF(Inputs!$B$39="pvp",15,MAX(0.1,Skills!D14-IF(Skills!E14=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Skills!E14=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IFERROR(1/IF(Inputs!$B$39="pvp",15,MAX(0.1,Skills!D15-IF(Skills!E15=TRUE,Inputs!$B$32,0))),0)</f>
        <v/>
      </c>
      <c r="R2586">
        <f>IF(AND(Inputs!$B$39&lt;&gt;"pvp",Inputs!$B$44&gt;0),IF(Inputs!$B$44&lt;=0,0,(INT(Inputs!$B$44/IF(Inputs!$B$39="pvp",15,MAX(0.1,Skills!D15-IF(Skills!E15=TRUE,Inputs!$B$32,0))))+1)),0)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IFERROR(1/IF(Inputs!$B$39="pvp",15,MAX(0.1,Skills!D16-IF(Skills!E16=TRUE,Inputs!$B$32,0))),0)</f>
        <v/>
      </c>
      <c r="R2587">
        <f>IF(AND(Inputs!$B$39&lt;&gt;"pvp",Inputs!$B$44&gt;0),IF(Inputs!$B$44&lt;=0,0,(INT(Inputs!$B$44/IF(Inputs!$B$39="pvp",15,MAX(0.1,Skills!D16-IF(Skills!E16=TRUE,Inputs!$B$32,0))))+1)),0)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IFERROR(1/IF(Inputs!$B$39="pvp",15,MAX(0.1,Skills!D19-IF(Skills!E19=TRUE,Inputs!$B$32,0))),0)</f>
        <v/>
      </c>
      <c r="R2590">
        <f>IF(AND(Inputs!$B$39&lt;&gt;"pvp",Inputs!$B$44&gt;0),IF(Inputs!$B$44&lt;=0,0,(INT(Inputs!$B$44/IF(Inputs!$B$39="pvp",15,MAX(0.1,Skills!D19-IF(Skills!E19=TRUE,Inputs!$B$32,0))))+1)),0)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IFERROR(1/IF(Inputs!$B$39="pvp",15,MAX(0.1,Skills!D20-IF(Skills!E20=TRUE,Inputs!$B$32,0))),0)</f>
        <v/>
      </c>
      <c r="R2591">
        <f>IF(AND(Inputs!$B$39&lt;&gt;"pvp",Inputs!$B$44&gt;0),IF(Inputs!$B$44&lt;=0,0,(INT(Inputs!$B$44/IF(Inputs!$B$39="pvp",15,MAX(0.1,Skills!D20-IF(Skills!E20=TRUE,Inputs!$B$32,0))))+1)),0)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IFERROR(1/IF(Inputs!$B$39="pvp",15,MAX(0.1,Skills!D21-IF(Skills!E21=TRUE,Inputs!$B$32,0))),0)</f>
        <v/>
      </c>
      <c r="R2592">
        <f>IF(AND(Inputs!$B$39&lt;&gt;"pvp",Inputs!$B$44&gt;0),IF(Inputs!$B$44&lt;=0,0,(INT(Inputs!$B$44/IF(Inputs!$B$39="pvp",15,MAX(0.1,Skills!D21-IF(Skills!E21=TRUE,Inputs!$B$32,0))))+1)),0)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Skills!Y19*(1+Inputs!$B$34/100))+MIN((Skills!Y19*(1+Inputs!$B$34/100)),MAX(0,Inputs!$B$44-((R2590-1)*Skills!D19))))/Inputs!$B$44),IF(Inputs!$B$39="pvp",MIN((Skills!Y19*(1+Inputs!$B$34/100)),15)/15,(Skills!Y19*(1+Inputs!$B$34/100))/Skills!D19)))/150)))/100</f>
        <v/>
      </c>
    </row>
    <row r="2605">
      <c r="A2605" t="inlineStr">
        <is>
          <t>Alchemic Adrenaline Uptime</t>
        </is>
      </c>
      <c r="B2605">
        <f>(Skills!Y6*(1+Inputs!$B$34/100))/((Skills!Y6*(1+Inputs!$B$34/100))+(5/B2604))</f>
        <v/>
      </c>
    </row>
    <row r="2606">
      <c r="A2606" t="inlineStr">
        <is>
          <t>Attack Speed Buff Bonus %</t>
        </is>
      </c>
      <c r="B2606">
        <f>((C2590=TRUE)*F2590*IF(AND(Inputs!$B$39&lt;&gt;"pvp",Inputs!$B$44&gt;0),(((R2590-1)*(Skills!Y19*(1+Inputs!$B$34/100))+MIN((Skills!Y19*(1+Inputs!$B$34/100)),MAX(0,Inputs!$B$44-((R2590-1)*Skills!D19))))/Inputs!$B$44),IF(Inputs!$B$39="pvp",MIN((Skills!Y19*(1+Inputs!$B$34/100)),15)/15,(Skills!Y19*(1+Inputs!$B$34/100))/Skills!D19)))+((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f>
        <v/>
      </c>
    </row>
    <row r="2611">
      <c r="A2611" t="inlineStr">
        <is>
          <t>Global Crit Rate Bonus %</t>
        </is>
      </c>
      <c r="B2611">
        <f>IF(Inputs!$B$3&gt;=47,8,0)+((C2591=TRUE)*F2591*IF(AND(Inputs!$B$39&lt;&gt;"pvp",Inputs!$B$44&gt;0),(((R2591-1)*(Skills!Y20*(1+Inputs!$B$34/100))+MIN((Skills!Y20*(1+Inputs!$B$34/100)),MAX(0,Inputs!$B$44-((R2591-1)*Skills!D20))))/Inputs!$B$44),IF(Inputs!$B$39="pvp",MIN((Skills!Y20*(1+Inputs!$B$34/100)),15)/15,(Skills!Y20*(1+Inputs!$B$34/100))/Skills!D20)))</f>
        <v/>
      </c>
    </row>
    <row r="2612">
      <c r="A2612" t="inlineStr">
        <is>
          <t>Global Monster Damage-Taken Bonus %</t>
        </is>
      </c>
      <c r="B2612">
        <f>IF(Inputs!$B$3&gt;=82,15,0)+((C2587=TRUE)*F2587*IF(AND(Inputs!$B$39&lt;&gt;"pvp",Inputs!$B$44&gt;0),(((R2587-1)*(Skills!Y16*(1+Inputs!$B$34/100))+MIN((Skills!Y16*(1+Inputs!$B$34/100)),MAX(0,Inputs!$B$44-((R2587-1)*Skills!D16))))/Inputs!$B$44),IF(Inputs!$B$39="pvp",MIN((Skills!Y16*(1+Inputs!$B$34/100)),15)/15,(Skills!Y16*(1+Inputs!$B$34/100))/Skills!D16)))</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Skills!Y16*(1+Inputs!$B$34/100))+MIN((Skills!Y16*(1+Inputs!$B$34/100)),MAX(0,Inputs!$B$44-((R2587-1)*Skills!D16))))/Inputs!$B$44),IF(Inputs!$B$39="pvp",MIN((Skills!Y16*(1+Inputs!$B$34/100)),15)/15,(Skills!Y16*(1+Inputs!$B$34/100))/Skills!D16))</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IFERROR(1/IF(Inputs!$B$39="pvp",15,MAX(0.1,Skills!D3-IF(Skills!E3=TRUE,Inputs!$B$32,0))),0)</f>
        <v/>
      </c>
      <c r="R2623">
        <f>IF(AND(Inputs!$B$39&lt;&gt;"pvp",Inputs!$B$44&gt;0),IF(MAX(0,Inputs!$B$44-B2665)&lt;=0,0,(INT(MAX(0,Inputs!$B$44-B2665)/IF(Inputs!$B$39="pvp",15,MAX(0.1,Skills!D3-IF(Skills!E3=TRUE,Inputs!$B$32,0))))+1)),0)</f>
        <v/>
      </c>
      <c r="S2623">
        <f>IFERROR(O2623/N2623,0)</f>
        <v/>
      </c>
      <c r="T2623">
        <f>IF(C2623,(H2623*N2623*IF(AND(Inputs!$B$39&lt;&gt;"pvp",Inputs!$B$44&gt;0),((Skills!G3*((R2623-1)*IF(Skills!H3&gt;0,Skills!I3/Skills!H3,1)+IF(Skills!H3&gt;0,MIN(Skills!I3,MAX(0,MAX(0,Inputs!$B$44-B2665)-((R2623-1)*IF(Inputs!$B$39="pvp",15,MAX(0.1,Skills!D3-IF(Skills!E3=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Skills!E3=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IFERROR(1/IF(Inputs!$B$39="pvp",15,MAX(0.1,Skills!D4-IF(Skills!E4=TRUE,Inputs!$B$32,0))),0)</f>
        <v/>
      </c>
      <c r="R2624">
        <f>IF(AND(Inputs!$B$39&lt;&gt;"pvp",Inputs!$B$44&gt;0),IF(MAX(0,Inputs!$B$44-B2665)&lt;=0,0,(INT(MAX(0,Inputs!$B$44-B2665)/IF(Inputs!$B$39="pvp",15,MAX(0.1,Skills!D4-IF(Skills!E4=TRUE,Inputs!$B$32,0))))+1)),0)</f>
        <v/>
      </c>
      <c r="S2624">
        <f>IFERROR(O2624/N2624,0)</f>
        <v/>
      </c>
      <c r="T2624">
        <f>IF(C2624,(H2624*N2624*IF(AND(Inputs!$B$39&lt;&gt;"pvp",Inputs!$B$44&gt;0),((Skills!G4*((R2624-1)*IF(Skills!H4&gt;0,Skills!I4/Skills!H4,1)+IF(Skills!H4&gt;0,MIN(Skills!I4,MAX(0,MAX(0,Inputs!$B$44-B2665)-((R2624-1)*IF(Inputs!$B$39="pvp",15,MAX(0.1,Skills!D4-IF(Skills!E4=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Skills!E4=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IFERROR(1/IF(Inputs!$B$39="pvp",15,MAX(0.1,Skills!D5-IF(Skills!E5=TRUE,Inputs!$B$32,0))),0)</f>
        <v/>
      </c>
      <c r="R2625">
        <f>IF(AND(Inputs!$B$39&lt;&gt;"pvp",Inputs!$B$44&gt;0),IF(MAX(0,Inputs!$B$44-B2665)&lt;=0,0,(INT(MAX(0,Inputs!$B$44-B2665)/IF(Inputs!$B$39="pvp",15,MAX(0.1,Skills!D5-IF(Skills!E5=TRUE,Inputs!$B$32,0))))+1)),0)</f>
        <v/>
      </c>
      <c r="S2625">
        <f>IFERROR(O2625/N2625,0)</f>
        <v/>
      </c>
      <c r="T2625">
        <f>IF(C2625,(H2625*N2625*IF(AND(Inputs!$B$39&lt;&gt;"pvp",Inputs!$B$44&gt;0),((Skills!G5*((R2625-1)*IF(Skills!H5&gt;0,Skills!I5/Skills!H5,1)+IF(Skills!H5&gt;0,MIN(Skills!I5,MAX(0,MAX(0,Inputs!$B$44-B2665)-((R2625-1)*IF(Inputs!$B$39="pvp",15,MAX(0.1,Skills!D5-IF(Skills!E5=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Skills!E5=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IFERROR(1/IF(Inputs!$B$39="pvp",15,MAX(0.1,Skills!D8-IF(Skills!E8=TRUE,Inputs!$B$32,0))),0)</f>
        <v/>
      </c>
      <c r="R2628">
        <f>IF(AND(Inputs!$B$39&lt;&gt;"pvp",Inputs!$B$44&gt;0),IF(MAX(0,Inputs!$B$44-B2665)&lt;=0,0,(INT(MAX(0,Inputs!$B$44-B2665)/IF(Inputs!$B$39="pvp",15,MAX(0.1,Skills!D8-IF(Skills!E8=TRUE,Inputs!$B$32,0))))+1)),0)</f>
        <v/>
      </c>
      <c r="S2628">
        <f>IFERROR(O2628/N2628,0)</f>
        <v/>
      </c>
      <c r="T2628">
        <f>IF(C2628,(H2628*N2628*IF(AND(Inputs!$B$39&lt;&gt;"pvp",Inputs!$B$44&gt;0),((Skills!G8*((R2628-1)*IF(Skills!H8&gt;0,Skills!I8/Skills!H8,1)+IF(Skills!H8&gt;0,MIN(Skills!I8,MAX(0,MAX(0,Inputs!$B$44-B2665)-((R2628-1)*IF(Inputs!$B$39="pvp",15,MAX(0.1,Skills!D8-IF(Skills!E8=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Skills!E8=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IFERROR(1/IF(Inputs!$B$39="pvp",15,MAX(0.1,Skills!D9-IF(Skills!E9=TRUE,Inputs!$B$32,0))),0)</f>
        <v/>
      </c>
      <c r="R2629">
        <f>IF(AND(Inputs!$B$39&lt;&gt;"pvp",Inputs!$B$44&gt;0),IF(MAX(0,Inputs!$B$44-B2665)&lt;=0,0,(INT(MAX(0,Inputs!$B$44-B2665)/IF(Inputs!$B$39="pvp",15,MAX(0.1,Skills!D9-IF(Skills!E9=TRUE,Inputs!$B$32,0))))+1)),0)</f>
        <v/>
      </c>
      <c r="S2629">
        <f>IFERROR(O2629/N2629,0)</f>
        <v/>
      </c>
      <c r="T2629">
        <f>IF(C2629,(H2629*N2629*IF(AND(Inputs!$B$39&lt;&gt;"pvp",Inputs!$B$44&gt;0),((Skills!G9*((R2629-1)*IF(Skills!H9&gt;0,Skills!I9/Skills!H9,1)+IF(Skills!H9&gt;0,MIN(Skills!I9,MAX(0,MAX(0,Inputs!$B$44-B2665)-((R2629-1)*IF(Inputs!$B$39="pvp",15,MAX(0.1,Skills!D9-IF(Skills!E9=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Skills!E9=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IFERROR(1/IF(Inputs!$B$39="pvp",15,MAX(0.1,Skills!D12-IF(Skills!E12=TRUE,Inputs!$B$32,0))),0)</f>
        <v/>
      </c>
      <c r="R2632">
        <f>IF(AND(Inputs!$B$39&lt;&gt;"pvp",Inputs!$B$44&gt;0),IF(MAX(0,Inputs!$B$44-B2665)&lt;=0,0,(INT(MAX(0,Inputs!$B$44-B2665)/IF(Inputs!$B$39="pvp",15,MAX(0.1,Skills!D12-IF(Skills!E12=TRUE,Inputs!$B$32,0))))+1)),0)</f>
        <v/>
      </c>
      <c r="S2632">
        <f>IFERROR(O2632/N2632,0)</f>
        <v/>
      </c>
      <c r="T2632">
        <f>IF(C2632,(H2632*N2632*IF(AND(Inputs!$B$39&lt;&gt;"pvp",Inputs!$B$44&gt;0),((Skills!G12*((R2632-1)*IF(Skills!H12&gt;0,Skills!I12/Skills!H12,1)+IF(Skills!H12&gt;0,MIN(Skills!I12,MAX(0,MAX(0,Inputs!$B$44-B2665)-((R2632-1)*IF(Inputs!$B$39="pvp",15,MAX(0.1,Skills!D12-IF(Skills!E12=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Skills!E12=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IFERROR(1/IF(Inputs!$B$39="pvp",15,MAX(0.1,Skills!D13-IF(Skills!E13=TRUE,Inputs!$B$32,0))),0)</f>
        <v/>
      </c>
      <c r="R2633">
        <f>IF(AND(Inputs!$B$39&lt;&gt;"pvp",Inputs!$B$44&gt;0),IF(MAX(0,Inputs!$B$44-B2665)&lt;=0,0,(INT(MAX(0,Inputs!$B$44-B2665)/IF(Inputs!$B$39="pvp",15,MAX(0.1,Skills!D13-IF(Skills!E13=TRUE,Inputs!$B$32,0))))+1)),0)</f>
        <v/>
      </c>
      <c r="S2633">
        <f>IFERROR(O2633/N2633,0)</f>
        <v/>
      </c>
      <c r="T2633">
        <f>IF(C2633,(H2633*N2633*IF(AND(Inputs!$B$39&lt;&gt;"pvp",Inputs!$B$44&gt;0),((Skills!G13*((R2633-1)*IF(Skills!H13&gt;0,Skills!I13/Skills!H13,1)+IF(Skills!H13&gt;0,MIN(Skills!I13,MAX(0,MAX(0,Inputs!$B$44-B2665)-((R2633-1)*IF(Inputs!$B$39="pvp",15,MAX(0.1,Skills!D13-IF(Skills!E13=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Skills!E13=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IFERROR(1/IF(Inputs!$B$39="pvp",15,MAX(0.1,Skills!D14-IF(Skills!E14=TRUE,Inputs!$B$32,0))),0)</f>
        <v/>
      </c>
      <c r="R2634">
        <f>IF(AND(Inputs!$B$39&lt;&gt;"pvp",Inputs!$B$44&gt;0),IF(MAX(0,Inputs!$B$44-B2665)&lt;=0,0,(INT(MAX(0,Inputs!$B$44-B2665)/IF(Inputs!$B$39="pvp",15,MAX(0.1,Skills!D14-IF(Skills!E14=TRUE,Inputs!$B$32,0))))+1)),0)</f>
        <v/>
      </c>
      <c r="S2634">
        <f>IFERROR(O2634/N2634,0)</f>
        <v/>
      </c>
      <c r="T2634">
        <f>IF(C2634,(H2634*N2634*IF(AND(Inputs!$B$39&lt;&gt;"pvp",Inputs!$B$44&gt;0),((Skills!G14*((R2634-1)*IF(Skills!H14&gt;0,Skills!I14/Skills!H14,1)+IF(Skills!H14&gt;0,MIN(Skills!I14,MAX(0,MAX(0,Inputs!$B$44-B2665)-((R2634-1)*IF(Inputs!$B$39="pvp",15,MAX(0.1,Skills!D14-IF(Skills!E14=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Skills!E14=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IFERROR(1/IF(Inputs!$B$39="pvp",15,MAX(0.1,Skills!D16-IF(Skills!E16=TRUE,Inputs!$B$32,0))),0)</f>
        <v/>
      </c>
      <c r="R2636">
        <f>IF(AND(Inputs!$B$39&lt;&gt;"pvp",Inputs!$B$44&gt;0),IF(Inputs!$B$44&lt;=0,0,(INT(Inputs!$B$44/IF(Inputs!$B$39="pvp",15,MAX(0.1,Skills!D16-IF(Skills!E16=TRUE,Inputs!$B$32,0))))+1)),0)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Skills!Y19*(1+Inputs!$B$34/100))+MIN((Skills!Y19*(1+Inputs!$B$34/100)),MAX(0,Inputs!$B$44-((R2639-1)*Skills!D19))))/Inputs!$B$44),IF(Inputs!$B$39="pvp",MIN((Skills!Y19*(1+Inputs!$B$34/100)),15)/15,(Skills!Y19*(1+Inputs!$B$34/100))/Skills!D19)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Skills!Y19*(1+Inputs!$B$34/100))+MIN((Skills!Y19*(1+Inputs!$B$34/100)),MAX(0,Inputs!$B$44-((R2639-1)*Skills!D19))))/Inputs!$B$44),IF(Inputs!$B$39="pvp",MIN((Skills!Y19*(1+Inputs!$B$34/100)),15)/15,(Skills!Y19*(1+Inputs!$B$34/100))/Skills!D19)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f>
        <v/>
      </c>
    </row>
    <row r="2660">
      <c r="A2660" t="inlineStr">
        <is>
          <t>Global Crit Rate Bonus %</t>
        </is>
      </c>
      <c r="B2660">
        <f>IF(Inputs!$B$3&gt;=47,8,0)+((C2640=TRUE)*F2640*IF(AND(Inputs!$B$39&lt;&gt;"pvp",Inputs!$B$44&gt;0),(((R2640-1)*(Skills!Y20*(1+Inputs!$B$34/100))+MIN((Skills!Y20*(1+Inputs!$B$34/100)),MAX(0,Inputs!$B$44-((R2640-1)*Skills!D20))))/Inputs!$B$44),IF(Inputs!$B$39="pvp",MIN((Skills!Y20*(1+Inputs!$B$34/100)),15)/15,(Skills!Y20*(1+Inputs!$B$34/100))/Skills!D20)))</f>
        <v/>
      </c>
    </row>
    <row r="2661">
      <c r="A2661" t="inlineStr">
        <is>
          <t>Global Monster Damage-Taken Bonus %</t>
        </is>
      </c>
      <c r="B2661">
        <f>IF(Inputs!$B$3&gt;=82,15,0)+((C2636=TRUE)*F2636*IF(AND(Inputs!$B$39&lt;&gt;"pvp",Inputs!$B$44&gt;0),(((R2636-1)*(Skills!Y16*(1+Inputs!$B$34/100))+MIN((Skills!Y16*(1+Inputs!$B$34/100)),MAX(0,Inputs!$B$44-((R2636-1)*Skills!D16))))/Inputs!$B$44),IF(Inputs!$B$39="pvp",MIN((Skills!Y16*(1+Inputs!$B$34/100)),15)/15,(Skills!Y16*(1+Inputs!$B$34/100))/Skills!D16)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Skills!Y16*(1+Inputs!$B$34/100))+MIN((Skills!Y16*(1+Inputs!$B$34/100)),MAX(0,Inputs!$B$44-((R2636-1)*Skills!D16))))/Inputs!$B$44),IF(Inputs!$B$39="pvp",MIN((Skills!Y16*(1+Inputs!$B$34/100)),15)/15,(Skills!Y16*(1+Inputs!$B$34/100))/Skills!D16)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IFERROR(1/IF(Inputs!$B$39="pvp",15,MAX(0.1,Skills!D3-IF(Skills!E3=TRUE,Inputs!$B$32,0))),0)</f>
        <v/>
      </c>
      <c r="R2672">
        <f>IF(AND(Inputs!$B$39&lt;&gt;"pvp",Inputs!$B$44&gt;0),IF(MAX(0,Inputs!$B$44-B2714)&lt;=0,0,(INT(MAX(0,Inputs!$B$44-B2714)/IF(Inputs!$B$39="pvp",15,MAX(0.1,Skills!D3-IF(Skills!E3=TRUE,Inputs!$B$32,0))))+1)),0)</f>
        <v/>
      </c>
      <c r="S2672">
        <f>IFERROR(O2672/N2672,0)</f>
        <v/>
      </c>
      <c r="T2672">
        <f>IF(C2672,(H2672*N2672*IF(AND(Inputs!$B$39&lt;&gt;"pvp",Inputs!$B$44&gt;0),((Skills!G3*((R2672-1)*IF(Skills!H3&gt;0,Skills!I3/Skills!H3,1)+IF(Skills!H3&gt;0,MIN(Skills!I3,MAX(0,MAX(0,Inputs!$B$44-B2714)-((R2672-1)*IF(Inputs!$B$39="pvp",15,MAX(0.1,Skills!D3-IF(Skills!E3=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Skills!E3=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IFERROR(1/IF(Inputs!$B$39="pvp",15,MAX(0.1,Skills!D4-IF(Skills!E4=TRUE,Inputs!$B$32,0))),0)</f>
        <v/>
      </c>
      <c r="R2673">
        <f>IF(AND(Inputs!$B$39&lt;&gt;"pvp",Inputs!$B$44&gt;0),IF(MAX(0,Inputs!$B$44-B2714)&lt;=0,0,(INT(MAX(0,Inputs!$B$44-B2714)/IF(Inputs!$B$39="pvp",15,MAX(0.1,Skills!D4-IF(Skills!E4=TRUE,Inputs!$B$32,0))))+1)),0)</f>
        <v/>
      </c>
      <c r="S2673">
        <f>IFERROR(O2673/N2673,0)</f>
        <v/>
      </c>
      <c r="T2673">
        <f>IF(C2673,(H2673*N2673*IF(AND(Inputs!$B$39&lt;&gt;"pvp",Inputs!$B$44&gt;0),((Skills!G4*((R2673-1)*IF(Skills!H4&gt;0,Skills!I4/Skills!H4,1)+IF(Skills!H4&gt;0,MIN(Skills!I4,MAX(0,MAX(0,Inputs!$B$44-B2714)-((R2673-1)*IF(Inputs!$B$39="pvp",15,MAX(0.1,Skills!D4-IF(Skills!E4=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Skills!E4=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IFERROR(1/IF(Inputs!$B$39="pvp",15,MAX(0.1,Skills!D5-IF(Skills!E5=TRUE,Inputs!$B$32,0))),0)</f>
        <v/>
      </c>
      <c r="R2674">
        <f>IF(AND(Inputs!$B$39&lt;&gt;"pvp",Inputs!$B$44&gt;0),IF(MAX(0,Inputs!$B$44-B2714)&lt;=0,0,(INT(MAX(0,Inputs!$B$44-B2714)/IF(Inputs!$B$39="pvp",15,MAX(0.1,Skills!D5-IF(Skills!E5=TRUE,Inputs!$B$32,0))))+1)),0)</f>
        <v/>
      </c>
      <c r="S2674">
        <f>IFERROR(O2674/N2674,0)</f>
        <v/>
      </c>
      <c r="T2674">
        <f>IF(C2674,(H2674*N2674*IF(AND(Inputs!$B$39&lt;&gt;"pvp",Inputs!$B$44&gt;0),((Skills!G5*((R2674-1)*IF(Skills!H5&gt;0,Skills!I5/Skills!H5,1)+IF(Skills!H5&gt;0,MIN(Skills!I5,MAX(0,MAX(0,Inputs!$B$44-B2714)-((R2674-1)*IF(Inputs!$B$39="pvp",15,MAX(0.1,Skills!D5-IF(Skills!E5=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Skills!E5=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IFERROR(1/IF(Inputs!$B$39="pvp",15,MAX(0.1,Skills!D8-IF(Skills!E8=TRUE,Inputs!$B$32,0))),0)</f>
        <v/>
      </c>
      <c r="R2677">
        <f>IF(AND(Inputs!$B$39&lt;&gt;"pvp",Inputs!$B$44&gt;0),IF(MAX(0,Inputs!$B$44-B2714)&lt;=0,0,(INT(MAX(0,Inputs!$B$44-B2714)/IF(Inputs!$B$39="pvp",15,MAX(0.1,Skills!D8-IF(Skills!E8=TRUE,Inputs!$B$32,0))))+1)),0)</f>
        <v/>
      </c>
      <c r="S2677">
        <f>IFERROR(O2677/N2677,0)</f>
        <v/>
      </c>
      <c r="T2677">
        <f>IF(C2677,(H2677*N2677*IF(AND(Inputs!$B$39&lt;&gt;"pvp",Inputs!$B$44&gt;0),((Skills!G8*((R2677-1)*IF(Skills!H8&gt;0,Skills!I8/Skills!H8,1)+IF(Skills!H8&gt;0,MIN(Skills!I8,MAX(0,MAX(0,Inputs!$B$44-B2714)-((R2677-1)*IF(Inputs!$B$39="pvp",15,MAX(0.1,Skills!D8-IF(Skills!E8=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Skills!E8=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Inputs!$B$3&gt;=72</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IFERROR(1/IF(Inputs!$B$39="pvp",15,MAX(0.1,Skills!D9-IF(Skills!E9=TRUE,Inputs!$B$32,0))),0)</f>
        <v/>
      </c>
      <c r="R2678">
        <f>IF(AND(Inputs!$B$39&lt;&gt;"pvp",Inputs!$B$44&gt;0),IF(MAX(0,Inputs!$B$44-B2714)&lt;=0,0,(INT(MAX(0,Inputs!$B$44-B2714)/IF(Inputs!$B$39="pvp",15,MAX(0.1,Skills!D9-IF(Skills!E9=TRUE,Inputs!$B$32,0))))+1)),0)</f>
        <v/>
      </c>
      <c r="S2678">
        <f>IFERROR(O2678/N2678,0)</f>
        <v/>
      </c>
      <c r="T2678">
        <f>IF(C2678,(H2678*N2678*IF(AND(Inputs!$B$39&lt;&gt;"pvp",Inputs!$B$44&gt;0),((Skills!G9*((R2678-1)*IF(Skills!H9&gt;0,Skills!I9/Skills!H9,1)+IF(Skills!H9&gt;0,MIN(Skills!I9,MAX(0,MAX(0,Inputs!$B$44-B2714)-((R2678-1)*IF(Inputs!$B$39="pvp",15,MAX(0.1,Skills!D9-IF(Skills!E9=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Skills!E9=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IFERROR(1/IF(Inputs!$B$39="pvp",15,MAX(0.1,Skills!D12-IF(Skills!E12=TRUE,Inputs!$B$32,0))),0)</f>
        <v/>
      </c>
      <c r="R2681">
        <f>IF(AND(Inputs!$B$39&lt;&gt;"pvp",Inputs!$B$44&gt;0),IF(MAX(0,Inputs!$B$44-B2714)&lt;=0,0,(INT(MAX(0,Inputs!$B$44-B2714)/IF(Inputs!$B$39="pvp",15,MAX(0.1,Skills!D12-IF(Skills!E12=TRUE,Inputs!$B$32,0))))+1)),0)</f>
        <v/>
      </c>
      <c r="S2681">
        <f>IFERROR(O2681/N2681,0)</f>
        <v/>
      </c>
      <c r="T2681">
        <f>IF(C2681,(H2681*N2681*IF(AND(Inputs!$B$39&lt;&gt;"pvp",Inputs!$B$44&gt;0),((Skills!G12*((R2681-1)*IF(Skills!H12&gt;0,Skills!I12/Skills!H12,1)+IF(Skills!H12&gt;0,MIN(Skills!I12,MAX(0,MAX(0,Inputs!$B$44-B2714)-((R2681-1)*IF(Inputs!$B$39="pvp",15,MAX(0.1,Skills!D12-IF(Skills!E12=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Skills!E12=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IFERROR(1/IF(Inputs!$B$39="pvp",15,MAX(0.1,Skills!D13-IF(Skills!E13=TRUE,Inputs!$B$32,0))),0)</f>
        <v/>
      </c>
      <c r="R2682">
        <f>IF(AND(Inputs!$B$39&lt;&gt;"pvp",Inputs!$B$44&gt;0),IF(MAX(0,Inputs!$B$44-B2714)&lt;=0,0,(INT(MAX(0,Inputs!$B$44-B2714)/IF(Inputs!$B$39="pvp",15,MAX(0.1,Skills!D13-IF(Skills!E13=TRUE,Inputs!$B$32,0))))+1)),0)</f>
        <v/>
      </c>
      <c r="S2682">
        <f>IFERROR(O2682/N2682,0)</f>
        <v/>
      </c>
      <c r="T2682">
        <f>IF(C2682,(H2682*N2682*IF(AND(Inputs!$B$39&lt;&gt;"pvp",Inputs!$B$44&gt;0),((Skills!G13*((R2682-1)*IF(Skills!H13&gt;0,Skills!I13/Skills!H13,1)+IF(Skills!H13&gt;0,MIN(Skills!I13,MAX(0,MAX(0,Inputs!$B$44-B2714)-((R2682-1)*IF(Inputs!$B$39="pvp",15,MAX(0.1,Skills!D13-IF(Skills!E13=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Skills!E13=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IFERROR(1/IF(Inputs!$B$39="pvp",15,MAX(0.1,Skills!D14-IF(Skills!E14=TRUE,Inputs!$B$32,0))),0)</f>
        <v/>
      </c>
      <c r="R2683">
        <f>IF(AND(Inputs!$B$39&lt;&gt;"pvp",Inputs!$B$44&gt;0),IF(MAX(0,Inputs!$B$44-B2714)&lt;=0,0,(INT(MAX(0,Inputs!$B$44-B2714)/IF(Inputs!$B$39="pvp",15,MAX(0.1,Skills!D14-IF(Skills!E14=TRUE,Inputs!$B$32,0))))+1)),0)</f>
        <v/>
      </c>
      <c r="S2683">
        <f>IFERROR(O2683/N2683,0)</f>
        <v/>
      </c>
      <c r="T2683">
        <f>IF(C2683,(H2683*N2683*IF(AND(Inputs!$B$39&lt;&gt;"pvp",Inputs!$B$44&gt;0),((Skills!G14*((R2683-1)*IF(Skills!H14&gt;0,Skills!I14/Skills!H14,1)+IF(Skills!H14&gt;0,MIN(Skills!I14,MAX(0,MAX(0,Inputs!$B$44-B2714)-((R2683-1)*IF(Inputs!$B$39="pvp",15,MAX(0.1,Skills!D14-IF(Skills!E14=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Skills!E14=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IFERROR(1/IF(Inputs!$B$39="pvp",15,MAX(0.1,Skills!D15-IF(Skills!E15=TRUE,Inputs!$B$32,0))),0)</f>
        <v/>
      </c>
      <c r="R2684">
        <f>IF(AND(Inputs!$B$39&lt;&gt;"pvp",Inputs!$B$44&gt;0),IF(Inputs!$B$44&lt;=0,0,(INT(Inputs!$B$44/IF(Inputs!$B$39="pvp",15,MAX(0.1,Skills!D15-IF(Skills!E15=TRUE,Inputs!$B$32,0))))+1)),0)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IFERROR(1/IF(Inputs!$B$39="pvp",15,MAX(0.1,Skills!D16-IF(Skills!E16=TRUE,Inputs!$B$32,0))),0)</f>
        <v/>
      </c>
      <c r="R2685">
        <f>IF(AND(Inputs!$B$39&lt;&gt;"pvp",Inputs!$B$44&gt;0),IF(Inputs!$B$44&lt;=0,0,(INT(Inputs!$B$44/IF(Inputs!$B$39="pvp",15,MAX(0.1,Skills!D16-IF(Skills!E16=TRUE,Inputs!$B$32,0))))+1)),0)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IFERROR(1/IF(Inputs!$B$39="pvp",15,MAX(0.1,Skills!D19-IF(Skills!E19=TRUE,Inputs!$B$32,0))),0)</f>
        <v/>
      </c>
      <c r="R2688">
        <f>IF(AND(Inputs!$B$39&lt;&gt;"pvp",Inputs!$B$44&gt;0),IF(Inputs!$B$44&lt;=0,0,(INT(Inputs!$B$44/IF(Inputs!$B$39="pvp",15,MAX(0.1,Skills!D19-IF(Skills!E19=TRUE,Inputs!$B$32,0))))+1)),0)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IFERROR(1/IF(Inputs!$B$39="pvp",15,MAX(0.1,Skills!D20-IF(Skills!E20=TRUE,Inputs!$B$32,0))),0)</f>
        <v/>
      </c>
      <c r="R2689">
        <f>IF(AND(Inputs!$B$39&lt;&gt;"pvp",Inputs!$B$44&gt;0),IF(Inputs!$B$44&lt;=0,0,(INT(Inputs!$B$44/IF(Inputs!$B$39="pvp",15,MAX(0.1,Skills!D20-IF(Skills!E20=TRUE,Inputs!$B$32,0))))+1)),0)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IFERROR(1/IF(Inputs!$B$39="pvp",15,MAX(0.1,Skills!D21-IF(Skills!E21=TRUE,Inputs!$B$32,0))),0)</f>
        <v/>
      </c>
      <c r="R2690">
        <f>IF(AND(Inputs!$B$39&lt;&gt;"pvp",Inputs!$B$44&gt;0),IF(Inputs!$B$44&lt;=0,0,(INT(Inputs!$B$44/IF(Inputs!$B$39="pvp",15,MAX(0.1,Skills!D21-IF(Skills!E21=TRUE,Inputs!$B$32,0))))+1)),0)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Skills!Y19*(1+Inputs!$B$34/100))+MIN((Skills!Y19*(1+Inputs!$B$34/100)),MAX(0,Inputs!$B$44-((R2688-1)*Skills!D19))))/Inputs!$B$44),IF(Inputs!$B$39="pvp",MIN((Skills!Y19*(1+Inputs!$B$34/100)),15)/15,(Skills!Y19*(1+Inputs!$B$34/100))/Skills!D19)))/150)))/100</f>
        <v/>
      </c>
    </row>
    <row r="2703">
      <c r="A2703" t="inlineStr">
        <is>
          <t>Alchemic Adrenaline Uptime</t>
        </is>
      </c>
      <c r="B2703">
        <f>(Skills!Y6*(1+Inputs!$B$34/100))/((Skills!Y6*(1+Inputs!$B$34/100))+(5/B2702))</f>
        <v/>
      </c>
    </row>
    <row r="2704">
      <c r="A2704" t="inlineStr">
        <is>
          <t>Attack Speed Buff Bonus %</t>
        </is>
      </c>
      <c r="B2704">
        <f>((C2688=TRUE)*F2688*IF(AND(Inputs!$B$39&lt;&gt;"pvp",Inputs!$B$44&gt;0),(((R2688-1)*(Skills!Y19*(1+Inputs!$B$34/100))+MIN((Skills!Y19*(1+Inputs!$B$34/100)),MAX(0,Inputs!$B$44-((R2688-1)*Skills!D19))))/Inputs!$B$44),IF(Inputs!$B$39="pvp",MIN((Skills!Y19*(1+Inputs!$B$34/100)),15)/15,(Skills!Y19*(1+Inputs!$B$34/100))/Skills!D19)))+((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f>
        <v/>
      </c>
    </row>
    <row r="2709">
      <c r="A2709" t="inlineStr">
        <is>
          <t>Global Crit Rate Bonus %</t>
        </is>
      </c>
      <c r="B2709">
        <f>IF(Inputs!$B$3&gt;=47,8,0)+((C2689=TRUE)*F2689*IF(AND(Inputs!$B$39&lt;&gt;"pvp",Inputs!$B$44&gt;0),(((R2689-1)*(Skills!Y20*(1+Inputs!$B$34/100))+MIN((Skills!Y20*(1+Inputs!$B$34/100)),MAX(0,Inputs!$B$44-((R2689-1)*Skills!D20))))/Inputs!$B$44),IF(Inputs!$B$39="pvp",MIN((Skills!Y20*(1+Inputs!$B$34/100)),15)/15,(Skills!Y20*(1+Inputs!$B$34/100))/Skills!D20)))</f>
        <v/>
      </c>
    </row>
    <row r="2710">
      <c r="A2710" t="inlineStr">
        <is>
          <t>Global Monster Damage-Taken Bonus %</t>
        </is>
      </c>
      <c r="B2710">
        <f>IF(Inputs!$B$3&gt;=82,15,0)+((C2685=TRUE)*F2685*IF(AND(Inputs!$B$39&lt;&gt;"pvp",Inputs!$B$44&gt;0),(((R2685-1)*(Skills!Y16*(1+Inputs!$B$34/100))+MIN((Skills!Y16*(1+Inputs!$B$34/100)),MAX(0,Inputs!$B$44-((R2685-1)*Skills!D16))))/Inputs!$B$44),IF(Inputs!$B$39="pvp",MIN((Skills!Y16*(1+Inputs!$B$34/100)),15)/15,(Skills!Y16*(1+Inputs!$B$34/100))/Skills!D16)))</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Skills!Y16*(1+Inputs!$B$34/100))+MIN((Skills!Y16*(1+Inputs!$B$34/100)),MAX(0,Inputs!$B$44-((R2685-1)*Skills!D16))))/Inputs!$B$44),IF(Inputs!$B$39="pvp",MIN((Skills!Y16*(1+Inputs!$B$34/100)),15)/15,(Skills!Y16*(1+Inputs!$B$34/100))/Skills!D16))</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IFERROR(1/IF(Inputs!$B$39="pvp",15,MAX(0.1,Skills!D3-IF(Skills!E3=TRUE,Inputs!$B$32,0))),0)</f>
        <v/>
      </c>
      <c r="R2721">
        <f>IF(AND(Inputs!$B$39&lt;&gt;"pvp",Inputs!$B$44&gt;0),IF(MAX(0,Inputs!$B$44-B2763)&lt;=0,0,(INT(MAX(0,Inputs!$B$44-B2763)/IF(Inputs!$B$39="pvp",15,MAX(0.1,Skills!D3-IF(Skills!E3=TRUE,Inputs!$B$32,0))))+1)),0)</f>
        <v/>
      </c>
      <c r="S2721">
        <f>IFERROR(O2721/N2721,0)</f>
        <v/>
      </c>
      <c r="T2721">
        <f>IF(C2721,(H2721*N2721*IF(AND(Inputs!$B$39&lt;&gt;"pvp",Inputs!$B$44&gt;0),((Skills!G3*((R2721-1)*IF(Skills!H3&gt;0,Skills!I3/Skills!H3,1)+IF(Skills!H3&gt;0,MIN(Skills!I3,MAX(0,MAX(0,Inputs!$B$44-B2763)-((R2721-1)*IF(Inputs!$B$39="pvp",15,MAX(0.1,Skills!D3-IF(Skills!E3=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Skills!E3=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Inputs!$B$3&gt;=40</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IFERROR(1/IF(Inputs!$B$39="pvp",15,MAX(0.1,Skills!D4-IF(Skills!E4=TRUE,Inputs!$B$32,0))),0)</f>
        <v/>
      </c>
      <c r="R2722">
        <f>IF(AND(Inputs!$B$39&lt;&gt;"pvp",Inputs!$B$44&gt;0),IF(MAX(0,Inputs!$B$44-B2763)&lt;=0,0,(INT(MAX(0,Inputs!$B$44-B2763)/IF(Inputs!$B$39="pvp",15,MAX(0.1,Skills!D4-IF(Skills!E4=TRUE,Inputs!$B$32,0))))+1)),0)</f>
        <v/>
      </c>
      <c r="S2722">
        <f>IFERROR(O2722/N2722,0)</f>
        <v/>
      </c>
      <c r="T2722">
        <f>IF(C2722,(H2722*N2722*IF(AND(Inputs!$B$39&lt;&gt;"pvp",Inputs!$B$44&gt;0),((Skills!G4*((R2722-1)*IF(Skills!H4&gt;0,Skills!I4/Skills!H4,1)+IF(Skills!H4&gt;0,MIN(Skills!I4,MAX(0,MAX(0,Inputs!$B$44-B2763)-((R2722-1)*IF(Inputs!$B$39="pvp",15,MAX(0.1,Skills!D4-IF(Skills!E4=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Skills!E4=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IFERROR(1/IF(Inputs!$B$39="pvp",15,MAX(0.1,Skills!D5-IF(Skills!E5=TRUE,Inputs!$B$32,0))),0)</f>
        <v/>
      </c>
      <c r="R2723">
        <f>IF(AND(Inputs!$B$39&lt;&gt;"pvp",Inputs!$B$44&gt;0),IF(MAX(0,Inputs!$B$44-B2763)&lt;=0,0,(INT(MAX(0,Inputs!$B$44-B2763)/IF(Inputs!$B$39="pvp",15,MAX(0.1,Skills!D5-IF(Skills!E5=TRUE,Inputs!$B$32,0))))+1)),0)</f>
        <v/>
      </c>
      <c r="S2723">
        <f>IFERROR(O2723/N2723,0)</f>
        <v/>
      </c>
      <c r="T2723">
        <f>IF(C2723,(H2723*N2723*IF(AND(Inputs!$B$39&lt;&gt;"pvp",Inputs!$B$44&gt;0),((Skills!G5*((R2723-1)*IF(Skills!H5&gt;0,Skills!I5/Skills!H5,1)+IF(Skills!H5&gt;0,MIN(Skills!I5,MAX(0,MAX(0,Inputs!$B$44-B2763)-((R2723-1)*IF(Inputs!$B$39="pvp",15,MAX(0.1,Skills!D5-IF(Skills!E5=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Skills!E5=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IFERROR(1/IF(Inputs!$B$39="pvp",15,MAX(0.1,Skills!D8-IF(Skills!E8=TRUE,Inputs!$B$32,0))),0)</f>
        <v/>
      </c>
      <c r="R2726">
        <f>IF(AND(Inputs!$B$39&lt;&gt;"pvp",Inputs!$B$44&gt;0),IF(MAX(0,Inputs!$B$44-B2763)&lt;=0,0,(INT(MAX(0,Inputs!$B$44-B2763)/IF(Inputs!$B$39="pvp",15,MAX(0.1,Skills!D8-IF(Skills!E8=TRUE,Inputs!$B$32,0))))+1)),0)</f>
        <v/>
      </c>
      <c r="S2726">
        <f>IFERROR(O2726/N2726,0)</f>
        <v/>
      </c>
      <c r="T2726">
        <f>IF(C2726,(H2726*N2726*IF(AND(Inputs!$B$39&lt;&gt;"pvp",Inputs!$B$44&gt;0),((Skills!G8*((R2726-1)*IF(Skills!H8&gt;0,Skills!I8/Skills!H8,1)+IF(Skills!H8&gt;0,MIN(Skills!I8,MAX(0,MAX(0,Inputs!$B$44-B2763)-((R2726-1)*IF(Inputs!$B$39="pvp",15,MAX(0.1,Skills!D8-IF(Skills!E8=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Skills!E8=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Inputs!$B$3&gt;=72</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IFERROR(1/IF(Inputs!$B$39="pvp",15,MAX(0.1,Skills!D9-IF(Skills!E9=TRUE,Inputs!$B$32,0))),0)</f>
        <v/>
      </c>
      <c r="R2727">
        <f>IF(AND(Inputs!$B$39&lt;&gt;"pvp",Inputs!$B$44&gt;0),IF(MAX(0,Inputs!$B$44-B2763)&lt;=0,0,(INT(MAX(0,Inputs!$B$44-B2763)/IF(Inputs!$B$39="pvp",15,MAX(0.1,Skills!D9-IF(Skills!E9=TRUE,Inputs!$B$32,0))))+1)),0)</f>
        <v/>
      </c>
      <c r="S2727">
        <f>IFERROR(O2727/N2727,0)</f>
        <v/>
      </c>
      <c r="T2727">
        <f>IF(C2727,(H2727*N2727*IF(AND(Inputs!$B$39&lt;&gt;"pvp",Inputs!$B$44&gt;0),((Skills!G9*((R2727-1)*IF(Skills!H9&gt;0,Skills!I9/Skills!H9,1)+IF(Skills!H9&gt;0,MIN(Skills!I9,MAX(0,MAX(0,Inputs!$B$44-B2763)-((R2727-1)*IF(Inputs!$B$39="pvp",15,MAX(0.1,Skills!D9-IF(Skills!E9=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Skills!E9=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IFERROR(1/IF(Inputs!$B$39="pvp",15,MAX(0.1,Skills!D12-IF(Skills!E12=TRUE,Inputs!$B$32,0))),0)</f>
        <v/>
      </c>
      <c r="R2730">
        <f>IF(AND(Inputs!$B$39&lt;&gt;"pvp",Inputs!$B$44&gt;0),IF(MAX(0,Inputs!$B$44-B2763)&lt;=0,0,(INT(MAX(0,Inputs!$B$44-B2763)/IF(Inputs!$B$39="pvp",15,MAX(0.1,Skills!D12-IF(Skills!E12=TRUE,Inputs!$B$32,0))))+1)),0)</f>
        <v/>
      </c>
      <c r="S2730">
        <f>IFERROR(O2730/N2730,0)</f>
        <v/>
      </c>
      <c r="T2730">
        <f>IF(C2730,(H2730*N2730*IF(AND(Inputs!$B$39&lt;&gt;"pvp",Inputs!$B$44&gt;0),((Skills!G12*((R2730-1)*IF(Skills!H12&gt;0,Skills!I12/Skills!H12,1)+IF(Skills!H12&gt;0,MIN(Skills!I12,MAX(0,MAX(0,Inputs!$B$44-B2763)-((R2730-1)*IF(Inputs!$B$39="pvp",15,MAX(0.1,Skills!D12-IF(Skills!E12=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Skills!E12=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IFERROR(1/IF(Inputs!$B$39="pvp",15,MAX(0.1,Skills!D13-IF(Skills!E13=TRUE,Inputs!$B$32,0))),0)</f>
        <v/>
      </c>
      <c r="R2731">
        <f>IF(AND(Inputs!$B$39&lt;&gt;"pvp",Inputs!$B$44&gt;0),IF(MAX(0,Inputs!$B$44-B2763)&lt;=0,0,(INT(MAX(0,Inputs!$B$44-B2763)/IF(Inputs!$B$39="pvp",15,MAX(0.1,Skills!D13-IF(Skills!E13=TRUE,Inputs!$B$32,0))))+1)),0)</f>
        <v/>
      </c>
      <c r="S2731">
        <f>IFERROR(O2731/N2731,0)</f>
        <v/>
      </c>
      <c r="T2731">
        <f>IF(C2731,(H2731*N2731*IF(AND(Inputs!$B$39&lt;&gt;"pvp",Inputs!$B$44&gt;0),((Skills!G13*((R2731-1)*IF(Skills!H13&gt;0,Skills!I13/Skills!H13,1)+IF(Skills!H13&gt;0,MIN(Skills!I13,MAX(0,MAX(0,Inputs!$B$44-B2763)-((R2731-1)*IF(Inputs!$B$39="pvp",15,MAX(0.1,Skills!D13-IF(Skills!E13=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Skills!E13=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IFERROR(1/IF(Inputs!$B$39="pvp",15,MAX(0.1,Skills!D14-IF(Skills!E14=TRUE,Inputs!$B$32,0))),0)</f>
        <v/>
      </c>
      <c r="R2732">
        <f>IF(AND(Inputs!$B$39&lt;&gt;"pvp",Inputs!$B$44&gt;0),IF(MAX(0,Inputs!$B$44-B2763)&lt;=0,0,(INT(MAX(0,Inputs!$B$44-B2763)/IF(Inputs!$B$39="pvp",15,MAX(0.1,Skills!D14-IF(Skills!E14=TRUE,Inputs!$B$32,0))))+1)),0)</f>
        <v/>
      </c>
      <c r="S2732">
        <f>IFERROR(O2732/N2732,0)</f>
        <v/>
      </c>
      <c r="T2732">
        <f>IF(C2732,(H2732*N2732*IF(AND(Inputs!$B$39&lt;&gt;"pvp",Inputs!$B$44&gt;0),((Skills!G14*((R2732-1)*IF(Skills!H14&gt;0,Skills!I14/Skills!H14,1)+IF(Skills!H14&gt;0,MIN(Skills!I14,MAX(0,MAX(0,Inputs!$B$44-B2763)-((R2732-1)*IF(Inputs!$B$39="pvp",15,MAX(0.1,Skills!D14-IF(Skills!E14=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Skills!E14=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IFERROR(1/IF(Inputs!$B$39="pvp",15,MAX(0.1,Skills!D15-IF(Skills!E15=TRUE,Inputs!$B$32,0))),0)</f>
        <v/>
      </c>
      <c r="R2733">
        <f>IF(AND(Inputs!$B$39&lt;&gt;"pvp",Inputs!$B$44&gt;0),IF(Inputs!$B$44&lt;=0,0,(INT(Inputs!$B$44/IF(Inputs!$B$39="pvp",15,MAX(0.1,Skills!D15-IF(Skills!E15=TRUE,Inputs!$B$32,0))))+1)),0)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IFERROR(1/IF(Inputs!$B$39="pvp",15,MAX(0.1,Skills!D16-IF(Skills!E16=TRUE,Inputs!$B$32,0))),0)</f>
        <v/>
      </c>
      <c r="R2734">
        <f>IF(AND(Inputs!$B$39&lt;&gt;"pvp",Inputs!$B$44&gt;0),IF(Inputs!$B$44&lt;=0,0,(INT(Inputs!$B$44/IF(Inputs!$B$39="pvp",15,MAX(0.1,Skills!D16-IF(Skills!E16=TRUE,Inputs!$B$32,0))))+1)),0)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IFERROR(1/IF(Inputs!$B$39="pvp",15,MAX(0.1,Skills!D19-IF(Skills!E19=TRUE,Inputs!$B$32,0))),0)</f>
        <v/>
      </c>
      <c r="R2737">
        <f>IF(AND(Inputs!$B$39&lt;&gt;"pvp",Inputs!$B$44&gt;0),IF(Inputs!$B$44&lt;=0,0,(INT(Inputs!$B$44/IF(Inputs!$B$39="pvp",15,MAX(0.1,Skills!D19-IF(Skills!E19=TRUE,Inputs!$B$32,0))))+1)),0)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IFERROR(1/IF(Inputs!$B$39="pvp",15,MAX(0.1,Skills!D20-IF(Skills!E20=TRUE,Inputs!$B$32,0))),0)</f>
        <v/>
      </c>
      <c r="R2738">
        <f>IF(AND(Inputs!$B$39&lt;&gt;"pvp",Inputs!$B$44&gt;0),IF(Inputs!$B$44&lt;=0,0,(INT(Inputs!$B$44/IF(Inputs!$B$39="pvp",15,MAX(0.1,Skills!D20-IF(Skills!E20=TRUE,Inputs!$B$32,0))))+1)),0)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IFERROR(1/IF(Inputs!$B$39="pvp",15,MAX(0.1,Skills!D21-IF(Skills!E21=TRUE,Inputs!$B$32,0))),0)</f>
        <v/>
      </c>
      <c r="R2739">
        <f>IF(AND(Inputs!$B$39&lt;&gt;"pvp",Inputs!$B$44&gt;0),IF(Inputs!$B$44&lt;=0,0,(INT(Inputs!$B$44/IF(Inputs!$B$39="pvp",15,MAX(0.1,Skills!D21-IF(Skills!E21=TRUE,Inputs!$B$32,0))))+1)),0)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Skills!Y19*(1+Inputs!$B$34/100))+MIN((Skills!Y19*(1+Inputs!$B$34/100)),MAX(0,Inputs!$B$44-((R2737-1)*Skills!D19))))/Inputs!$B$44),IF(Inputs!$B$39="pvp",MIN((Skills!Y19*(1+Inputs!$B$34/100)),15)/15,(Skills!Y19*(1+Inputs!$B$34/100))/Skills!D19)))/150)))/100</f>
        <v/>
      </c>
    </row>
    <row r="2752">
      <c r="A2752" t="inlineStr">
        <is>
          <t>Alchemic Adrenaline Uptime</t>
        </is>
      </c>
      <c r="B2752">
        <f>(Skills!Y6*(1+Inputs!$B$34/100))/((Skills!Y6*(1+Inputs!$B$34/100))+(5/B2751))</f>
        <v/>
      </c>
    </row>
    <row r="2753">
      <c r="A2753" t="inlineStr">
        <is>
          <t>Attack Speed Buff Bonus %</t>
        </is>
      </c>
      <c r="B2753">
        <f>((C2737=TRUE)*F2737*IF(AND(Inputs!$B$39&lt;&gt;"pvp",Inputs!$B$44&gt;0),(((R2737-1)*(Skills!Y19*(1+Inputs!$B$34/100))+MIN((Skills!Y19*(1+Inputs!$B$34/100)),MAX(0,Inputs!$B$44-((R2737-1)*Skills!D19))))/Inputs!$B$44),IF(Inputs!$B$39="pvp",MIN((Skills!Y19*(1+Inputs!$B$34/100)),15)/15,(Skills!Y19*(1+Inputs!$B$34/100))/Skills!D19)))+((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f>
        <v/>
      </c>
    </row>
    <row r="2758">
      <c r="A2758" t="inlineStr">
        <is>
          <t>Global Crit Rate Bonus %</t>
        </is>
      </c>
      <c r="B2758">
        <f>IF(Inputs!$B$3&gt;=47,8,0)+((C2738=TRUE)*F2738*IF(AND(Inputs!$B$39&lt;&gt;"pvp",Inputs!$B$44&gt;0),(((R2738-1)*(Skills!Y20*(1+Inputs!$B$34/100))+MIN((Skills!Y20*(1+Inputs!$B$34/100)),MAX(0,Inputs!$B$44-((R2738-1)*Skills!D20))))/Inputs!$B$44),IF(Inputs!$B$39="pvp",MIN((Skills!Y20*(1+Inputs!$B$34/100)),15)/15,(Skills!Y20*(1+Inputs!$B$34/100))/Skills!D20)))</f>
        <v/>
      </c>
    </row>
    <row r="2759">
      <c r="A2759" t="inlineStr">
        <is>
          <t>Global Monster Damage-Taken Bonus %</t>
        </is>
      </c>
      <c r="B2759">
        <f>IF(Inputs!$B$3&gt;=82,15,0)+((C2734=TRUE)*F2734*IF(AND(Inputs!$B$39&lt;&gt;"pvp",Inputs!$B$44&gt;0),(((R2734-1)*(Skills!Y16*(1+Inputs!$B$34/100))+MIN((Skills!Y16*(1+Inputs!$B$34/100)),MAX(0,Inputs!$B$44-((R2734-1)*Skills!D16))))/Inputs!$B$44),IF(Inputs!$B$39="pvp",MIN((Skills!Y16*(1+Inputs!$B$34/100)),15)/15,(Skills!Y16*(1+Inputs!$B$34/100))/Skills!D16)))</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Skills!Y16*(1+Inputs!$B$34/100))+MIN((Skills!Y16*(1+Inputs!$B$34/100)),MAX(0,Inputs!$B$44-((R2734-1)*Skills!D16))))/Inputs!$B$44),IF(Inputs!$B$39="pvp",MIN((Skills!Y16*(1+Inputs!$B$34/100)),15)/15,(Skills!Y16*(1+Inputs!$B$34/100))/Skills!D16))</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IFERROR(1/IF(Inputs!$B$39="pvp",15,MAX(0.1,Skills!D3-IF(Skills!E3=TRUE,Inputs!$B$32,0))),0)</f>
        <v/>
      </c>
      <c r="R2770">
        <f>IF(AND(Inputs!$B$39&lt;&gt;"pvp",Inputs!$B$44&gt;0),IF(MAX(0,Inputs!$B$44-B2812)&lt;=0,0,(INT(MAX(0,Inputs!$B$44-B2812)/IF(Inputs!$B$39="pvp",15,MAX(0.1,Skills!D3-IF(Skills!E3=TRUE,Inputs!$B$32,0))))+1)),0)</f>
        <v/>
      </c>
      <c r="S2770">
        <f>IFERROR(O2770/N2770,0)</f>
        <v/>
      </c>
      <c r="T2770">
        <f>IF(C2770,(H2770*N2770*IF(AND(Inputs!$B$39&lt;&gt;"pvp",Inputs!$B$44&gt;0),((Skills!G3*((R2770-1)*IF(Skills!H3&gt;0,Skills!I3/Skills!H3,1)+IF(Skills!H3&gt;0,MIN(Skills!I3,MAX(0,MAX(0,Inputs!$B$44-B2812)-((R2770-1)*IF(Inputs!$B$39="pvp",15,MAX(0.1,Skills!D3-IF(Skills!E3=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Skills!E3=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Inputs!$B$3&gt;=40</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IFERROR(1/IF(Inputs!$B$39="pvp",15,MAX(0.1,Skills!D4-IF(Skills!E4=TRUE,Inputs!$B$32,0))),0)</f>
        <v/>
      </c>
      <c r="R2771">
        <f>IF(AND(Inputs!$B$39&lt;&gt;"pvp",Inputs!$B$44&gt;0),IF(MAX(0,Inputs!$B$44-B2812)&lt;=0,0,(INT(MAX(0,Inputs!$B$44-B2812)/IF(Inputs!$B$39="pvp",15,MAX(0.1,Skills!D4-IF(Skills!E4=TRUE,Inputs!$B$32,0))))+1)),0)</f>
        <v/>
      </c>
      <c r="S2771">
        <f>IFERROR(O2771/N2771,0)</f>
        <v/>
      </c>
      <c r="T2771">
        <f>IF(C2771,(H2771*N2771*IF(AND(Inputs!$B$39&lt;&gt;"pvp",Inputs!$B$44&gt;0),((Skills!G4*((R2771-1)*IF(Skills!H4&gt;0,Skills!I4/Skills!H4,1)+IF(Skills!H4&gt;0,MIN(Skills!I4,MAX(0,MAX(0,Inputs!$B$44-B2812)-((R2771-1)*IF(Inputs!$B$39="pvp",15,MAX(0.1,Skills!D4-IF(Skills!E4=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Skills!E4=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IFERROR(1/IF(Inputs!$B$39="pvp",15,MAX(0.1,Skills!D5-IF(Skills!E5=TRUE,Inputs!$B$32,0))),0)</f>
        <v/>
      </c>
      <c r="R2772">
        <f>IF(AND(Inputs!$B$39&lt;&gt;"pvp",Inputs!$B$44&gt;0),IF(MAX(0,Inputs!$B$44-B2812)&lt;=0,0,(INT(MAX(0,Inputs!$B$44-B2812)/IF(Inputs!$B$39="pvp",15,MAX(0.1,Skills!D5-IF(Skills!E5=TRUE,Inputs!$B$32,0))))+1)),0)</f>
        <v/>
      </c>
      <c r="S2772">
        <f>IFERROR(O2772/N2772,0)</f>
        <v/>
      </c>
      <c r="T2772">
        <f>IF(C2772,(H2772*N2772*IF(AND(Inputs!$B$39&lt;&gt;"pvp",Inputs!$B$44&gt;0),((Skills!G5*((R2772-1)*IF(Skills!H5&gt;0,Skills!I5/Skills!H5,1)+IF(Skills!H5&gt;0,MIN(Skills!I5,MAX(0,MAX(0,Inputs!$B$44-B2812)-((R2772-1)*IF(Inputs!$B$39="pvp",15,MAX(0.1,Skills!D5-IF(Skills!E5=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Skills!E5=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IFERROR(1/IF(Inputs!$B$39="pvp",15,MAX(0.1,Skills!D8-IF(Skills!E8=TRUE,Inputs!$B$32,0))),0)</f>
        <v/>
      </c>
      <c r="R2775">
        <f>IF(AND(Inputs!$B$39&lt;&gt;"pvp",Inputs!$B$44&gt;0),IF(MAX(0,Inputs!$B$44-B2812)&lt;=0,0,(INT(MAX(0,Inputs!$B$44-B2812)/IF(Inputs!$B$39="pvp",15,MAX(0.1,Skills!D8-IF(Skills!E8=TRUE,Inputs!$B$32,0))))+1)),0)</f>
        <v/>
      </c>
      <c r="S2775">
        <f>IFERROR(O2775/N2775,0)</f>
        <v/>
      </c>
      <c r="T2775">
        <f>IF(C2775,(H2775*N2775*IF(AND(Inputs!$B$39&lt;&gt;"pvp",Inputs!$B$44&gt;0),((Skills!G8*((R2775-1)*IF(Skills!H8&gt;0,Skills!I8/Skills!H8,1)+IF(Skills!H8&gt;0,MIN(Skills!I8,MAX(0,MAX(0,Inputs!$B$44-B2812)-((R2775-1)*IF(Inputs!$B$39="pvp",15,MAX(0.1,Skills!D8-IF(Skills!E8=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Skills!E8=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Inputs!$B$3&gt;=72</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IFERROR(1/IF(Inputs!$B$39="pvp",15,MAX(0.1,Skills!D9-IF(Skills!E9=TRUE,Inputs!$B$32,0))),0)</f>
        <v/>
      </c>
      <c r="R2776">
        <f>IF(AND(Inputs!$B$39&lt;&gt;"pvp",Inputs!$B$44&gt;0),IF(MAX(0,Inputs!$B$44-B2812)&lt;=0,0,(INT(MAX(0,Inputs!$B$44-B2812)/IF(Inputs!$B$39="pvp",15,MAX(0.1,Skills!D9-IF(Skills!E9=TRUE,Inputs!$B$32,0))))+1)),0)</f>
        <v/>
      </c>
      <c r="S2776">
        <f>IFERROR(O2776/N2776,0)</f>
        <v/>
      </c>
      <c r="T2776">
        <f>IF(C2776,(H2776*N2776*IF(AND(Inputs!$B$39&lt;&gt;"pvp",Inputs!$B$44&gt;0),((Skills!G9*((R2776-1)*IF(Skills!H9&gt;0,Skills!I9/Skills!H9,1)+IF(Skills!H9&gt;0,MIN(Skills!I9,MAX(0,MAX(0,Inputs!$B$44-B2812)-((R2776-1)*IF(Inputs!$B$39="pvp",15,MAX(0.1,Skills!D9-IF(Skills!E9=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Skills!E9=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IFERROR(1/IF(Inputs!$B$39="pvp",15,MAX(0.1,Skills!D12-IF(Skills!E12=TRUE,Inputs!$B$32,0))),0)</f>
        <v/>
      </c>
      <c r="R2779">
        <f>IF(AND(Inputs!$B$39&lt;&gt;"pvp",Inputs!$B$44&gt;0),IF(MAX(0,Inputs!$B$44-B2812)&lt;=0,0,(INT(MAX(0,Inputs!$B$44-B2812)/IF(Inputs!$B$39="pvp",15,MAX(0.1,Skills!D12-IF(Skills!E12=TRUE,Inputs!$B$32,0))))+1)),0)</f>
        <v/>
      </c>
      <c r="S2779">
        <f>IFERROR(O2779/N2779,0)</f>
        <v/>
      </c>
      <c r="T2779">
        <f>IF(C2779,(H2779*N2779*IF(AND(Inputs!$B$39&lt;&gt;"pvp",Inputs!$B$44&gt;0),((Skills!G12*((R2779-1)*IF(Skills!H12&gt;0,Skills!I12/Skills!H12,1)+IF(Skills!H12&gt;0,MIN(Skills!I12,MAX(0,MAX(0,Inputs!$B$44-B2812)-((R2779-1)*IF(Inputs!$B$39="pvp",15,MAX(0.1,Skills!D12-IF(Skills!E12=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Skills!E12=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IFERROR(1/IF(Inputs!$B$39="pvp",15,MAX(0.1,Skills!D13-IF(Skills!E13=TRUE,Inputs!$B$32,0))),0)</f>
        <v/>
      </c>
      <c r="R2780">
        <f>IF(AND(Inputs!$B$39&lt;&gt;"pvp",Inputs!$B$44&gt;0),IF(MAX(0,Inputs!$B$44-B2812)&lt;=0,0,(INT(MAX(0,Inputs!$B$44-B2812)/IF(Inputs!$B$39="pvp",15,MAX(0.1,Skills!D13-IF(Skills!E13=TRUE,Inputs!$B$32,0))))+1)),0)</f>
        <v/>
      </c>
      <c r="S2780">
        <f>IFERROR(O2780/N2780,0)</f>
        <v/>
      </c>
      <c r="T2780">
        <f>IF(C2780,(H2780*N2780*IF(AND(Inputs!$B$39&lt;&gt;"pvp",Inputs!$B$44&gt;0),((Skills!G13*((R2780-1)*IF(Skills!H13&gt;0,Skills!I13/Skills!H13,1)+IF(Skills!H13&gt;0,MIN(Skills!I13,MAX(0,MAX(0,Inputs!$B$44-B2812)-((R2780-1)*IF(Inputs!$B$39="pvp",15,MAX(0.1,Skills!D13-IF(Skills!E13=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Skills!E13=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IFERROR(1/IF(Inputs!$B$39="pvp",15,MAX(0.1,Skills!D14-IF(Skills!E14=TRUE,Inputs!$B$32,0))),0)</f>
        <v/>
      </c>
      <c r="R2781">
        <f>IF(AND(Inputs!$B$39&lt;&gt;"pvp",Inputs!$B$44&gt;0),IF(MAX(0,Inputs!$B$44-B2812)&lt;=0,0,(INT(MAX(0,Inputs!$B$44-B2812)/IF(Inputs!$B$39="pvp",15,MAX(0.1,Skills!D14-IF(Skills!E14=TRUE,Inputs!$B$32,0))))+1)),0)</f>
        <v/>
      </c>
      <c r="S2781">
        <f>IFERROR(O2781/N2781,0)</f>
        <v/>
      </c>
      <c r="T2781">
        <f>IF(C2781,(H2781*N2781*IF(AND(Inputs!$B$39&lt;&gt;"pvp",Inputs!$B$44&gt;0),((Skills!G14*((R2781-1)*IF(Skills!H14&gt;0,Skills!I14/Skills!H14,1)+IF(Skills!H14&gt;0,MIN(Skills!I14,MAX(0,MAX(0,Inputs!$B$44-B2812)-((R2781-1)*IF(Inputs!$B$39="pvp",15,MAX(0.1,Skills!D14-IF(Skills!E14=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Skills!E14=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IFERROR(1/IF(Inputs!$B$39="pvp",15,MAX(0.1,Skills!D15-IF(Skills!E15=TRUE,Inputs!$B$32,0))),0)</f>
        <v/>
      </c>
      <c r="R2782">
        <f>IF(AND(Inputs!$B$39&lt;&gt;"pvp",Inputs!$B$44&gt;0),IF(Inputs!$B$44&lt;=0,0,(INT(Inputs!$B$44/IF(Inputs!$B$39="pvp",15,MAX(0.1,Skills!D15-IF(Skills!E15=TRUE,Inputs!$B$32,0))))+1)),0)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IFERROR(1/IF(Inputs!$B$39="pvp",15,MAX(0.1,Skills!D16-IF(Skills!E16=TRUE,Inputs!$B$32,0))),0)</f>
        <v/>
      </c>
      <c r="R2783">
        <f>IF(AND(Inputs!$B$39&lt;&gt;"pvp",Inputs!$B$44&gt;0),IF(Inputs!$B$44&lt;=0,0,(INT(Inputs!$B$44/IF(Inputs!$B$39="pvp",15,MAX(0.1,Skills!D16-IF(Skills!E16=TRUE,Inputs!$B$32,0))))+1)),0)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IFERROR(1/IF(Inputs!$B$39="pvp",15,MAX(0.1,Skills!D19-IF(Skills!E19=TRUE,Inputs!$B$32,0))),0)</f>
        <v/>
      </c>
      <c r="R2786">
        <f>IF(AND(Inputs!$B$39&lt;&gt;"pvp",Inputs!$B$44&gt;0),IF(Inputs!$B$44&lt;=0,0,(INT(Inputs!$B$44/IF(Inputs!$B$39="pvp",15,MAX(0.1,Skills!D19-IF(Skills!E19=TRUE,Inputs!$B$32,0))))+1)),0)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IFERROR(1/IF(Inputs!$B$39="pvp",15,MAX(0.1,Skills!D20-IF(Skills!E20=TRUE,Inputs!$B$32,0))),0)</f>
        <v/>
      </c>
      <c r="R2787">
        <f>IF(AND(Inputs!$B$39&lt;&gt;"pvp",Inputs!$B$44&gt;0),IF(Inputs!$B$44&lt;=0,0,(INT(Inputs!$B$44/IF(Inputs!$B$39="pvp",15,MAX(0.1,Skills!D20-IF(Skills!E20=TRUE,Inputs!$B$32,0))))+1)),0)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IFERROR(1/IF(Inputs!$B$39="pvp",15,MAX(0.1,Skills!D21-IF(Skills!E21=TRUE,Inputs!$B$32,0))),0)</f>
        <v/>
      </c>
      <c r="R2788">
        <f>IF(AND(Inputs!$B$39&lt;&gt;"pvp",Inputs!$B$44&gt;0),IF(Inputs!$B$44&lt;=0,0,(INT(Inputs!$B$44/IF(Inputs!$B$39="pvp",15,MAX(0.1,Skills!D21-IF(Skills!E21=TRUE,Inputs!$B$32,0))))+1)),0)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Skills!Y19*(1+Inputs!$B$34/100))+MIN((Skills!Y19*(1+Inputs!$B$34/100)),MAX(0,Inputs!$B$44-((R2786-1)*Skills!D19))))/Inputs!$B$44),IF(Inputs!$B$39="pvp",MIN((Skills!Y19*(1+Inputs!$B$34/100)),15)/15,(Skills!Y19*(1+Inputs!$B$34/100))/Skills!D19)))/150)))/100</f>
        <v/>
      </c>
    </row>
    <row r="2801">
      <c r="A2801" t="inlineStr">
        <is>
          <t>Alchemic Adrenaline Uptime</t>
        </is>
      </c>
      <c r="B2801">
        <f>(Skills!Y6*(1+Inputs!$B$34/100))/((Skills!Y6*(1+Inputs!$B$34/100))+(5/B2800))</f>
        <v/>
      </c>
    </row>
    <row r="2802">
      <c r="A2802" t="inlineStr">
        <is>
          <t>Attack Speed Buff Bonus %</t>
        </is>
      </c>
      <c r="B2802">
        <f>((C2786=TRUE)*F2786*IF(AND(Inputs!$B$39&lt;&gt;"pvp",Inputs!$B$44&gt;0),(((R2786-1)*(Skills!Y19*(1+Inputs!$B$34/100))+MIN((Skills!Y19*(1+Inputs!$B$34/100)),MAX(0,Inputs!$B$44-((R2786-1)*Skills!D19))))/Inputs!$B$44),IF(Inputs!$B$39="pvp",MIN((Skills!Y19*(1+Inputs!$B$34/100)),15)/15,(Skills!Y19*(1+Inputs!$B$34/100))/Skills!D19)))+((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f>
        <v/>
      </c>
    </row>
    <row r="2807">
      <c r="A2807" t="inlineStr">
        <is>
          <t>Global Crit Rate Bonus %</t>
        </is>
      </c>
      <c r="B2807">
        <f>IF(Inputs!$B$3&gt;=47,8,0)+((C2787=TRUE)*F2787*IF(AND(Inputs!$B$39&lt;&gt;"pvp",Inputs!$B$44&gt;0),(((R2787-1)*(Skills!Y20*(1+Inputs!$B$34/100))+MIN((Skills!Y20*(1+Inputs!$B$34/100)),MAX(0,Inputs!$B$44-((R2787-1)*Skills!D20))))/Inputs!$B$44),IF(Inputs!$B$39="pvp",MIN((Skills!Y20*(1+Inputs!$B$34/100)),15)/15,(Skills!Y20*(1+Inputs!$B$34/100))/Skills!D20)))</f>
        <v/>
      </c>
    </row>
    <row r="2808">
      <c r="A2808" t="inlineStr">
        <is>
          <t>Global Monster Damage-Taken Bonus %</t>
        </is>
      </c>
      <c r="B2808">
        <f>IF(Inputs!$B$3&gt;=82,15,0)+((C2783=TRUE)*F2783*IF(AND(Inputs!$B$39&lt;&gt;"pvp",Inputs!$B$44&gt;0),(((R2783-1)*(Skills!Y16*(1+Inputs!$B$34/100))+MIN((Skills!Y16*(1+Inputs!$B$34/100)),MAX(0,Inputs!$B$44-((R2783-1)*Skills!D16))))/Inputs!$B$44),IF(Inputs!$B$39="pvp",MIN((Skills!Y16*(1+Inputs!$B$34/100)),15)/15,(Skills!Y16*(1+Inputs!$B$34/100))/Skills!D16)))</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Skills!Y16*(1+Inputs!$B$34/100))+MIN((Skills!Y16*(1+Inputs!$B$34/100)),MAX(0,Inputs!$B$44-((R2783-1)*Skills!D16))))/Inputs!$B$44),IF(Inputs!$B$39="pvp",MIN((Skills!Y16*(1+Inputs!$B$34/100)),15)/15,(Skills!Y16*(1+Inputs!$B$34/100))/Skills!D16))</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IFERROR(1/IF(Inputs!$B$39="pvp",15,MAX(0.1,Skills!D3-IF(Skills!E3=TRUE,Inputs!$B$32,0))),0)</f>
        <v/>
      </c>
      <c r="R2819">
        <f>IF(AND(Inputs!$B$39&lt;&gt;"pvp",Inputs!$B$44&gt;0),IF(MAX(0,Inputs!$B$44-B2861)&lt;=0,0,(INT(MAX(0,Inputs!$B$44-B2861)/IF(Inputs!$B$39="pvp",15,MAX(0.1,Skills!D3-IF(Skills!E3=TRUE,Inputs!$B$32,0))))+1)),0)</f>
        <v/>
      </c>
      <c r="S2819">
        <f>IFERROR(O2819/N2819,0)</f>
        <v/>
      </c>
      <c r="T2819">
        <f>IF(C2819,(H2819*N2819*IF(AND(Inputs!$B$39&lt;&gt;"pvp",Inputs!$B$44&gt;0),((Skills!G3*((R2819-1)*IF(Skills!H3&gt;0,Skills!I3/Skills!H3,1)+IF(Skills!H3&gt;0,MIN(Skills!I3,MAX(0,MAX(0,Inputs!$B$44-B2861)-((R2819-1)*IF(Inputs!$B$39="pvp",15,MAX(0.1,Skills!D3-IF(Skills!E3=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Skills!E3=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Inputs!$B$3&gt;=40</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IFERROR(1/IF(Inputs!$B$39="pvp",15,MAX(0.1,Skills!D4-IF(Skills!E4=TRUE,Inputs!$B$32,0))),0)</f>
        <v/>
      </c>
      <c r="R2820">
        <f>IF(AND(Inputs!$B$39&lt;&gt;"pvp",Inputs!$B$44&gt;0),IF(MAX(0,Inputs!$B$44-B2861)&lt;=0,0,(INT(MAX(0,Inputs!$B$44-B2861)/IF(Inputs!$B$39="pvp",15,MAX(0.1,Skills!D4-IF(Skills!E4=TRUE,Inputs!$B$32,0))))+1)),0)</f>
        <v/>
      </c>
      <c r="S2820">
        <f>IFERROR(O2820/N2820,0)</f>
        <v/>
      </c>
      <c r="T2820">
        <f>IF(C2820,(H2820*N2820*IF(AND(Inputs!$B$39&lt;&gt;"pvp",Inputs!$B$44&gt;0),((Skills!G4*((R2820-1)*IF(Skills!H4&gt;0,Skills!I4/Skills!H4,1)+IF(Skills!H4&gt;0,MIN(Skills!I4,MAX(0,MAX(0,Inputs!$B$44-B2861)-((R2820-1)*IF(Inputs!$B$39="pvp",15,MAX(0.1,Skills!D4-IF(Skills!E4=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Skills!E4=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IFERROR(1/IF(Inputs!$B$39="pvp",15,MAX(0.1,Skills!D5-IF(Skills!E5=TRUE,Inputs!$B$32,0))),0)</f>
        <v/>
      </c>
      <c r="R2821">
        <f>IF(AND(Inputs!$B$39&lt;&gt;"pvp",Inputs!$B$44&gt;0),IF(MAX(0,Inputs!$B$44-B2861)&lt;=0,0,(INT(MAX(0,Inputs!$B$44-B2861)/IF(Inputs!$B$39="pvp",15,MAX(0.1,Skills!D5-IF(Skills!E5=TRUE,Inputs!$B$32,0))))+1)),0)</f>
        <v/>
      </c>
      <c r="S2821">
        <f>IFERROR(O2821/N2821,0)</f>
        <v/>
      </c>
      <c r="T2821">
        <f>IF(C2821,(H2821*N2821*IF(AND(Inputs!$B$39&lt;&gt;"pvp",Inputs!$B$44&gt;0),((Skills!G5*((R2821-1)*IF(Skills!H5&gt;0,Skills!I5/Skills!H5,1)+IF(Skills!H5&gt;0,MIN(Skills!I5,MAX(0,MAX(0,Inputs!$B$44-B2861)-((R2821-1)*IF(Inputs!$B$39="pvp",15,MAX(0.1,Skills!D5-IF(Skills!E5=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Skills!E5=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IFERROR(1/IF(Inputs!$B$39="pvp",15,MAX(0.1,Skills!D8-IF(Skills!E8=TRUE,Inputs!$B$32,0))),0)</f>
        <v/>
      </c>
      <c r="R2824">
        <f>IF(AND(Inputs!$B$39&lt;&gt;"pvp",Inputs!$B$44&gt;0),IF(MAX(0,Inputs!$B$44-B2861)&lt;=0,0,(INT(MAX(0,Inputs!$B$44-B2861)/IF(Inputs!$B$39="pvp",15,MAX(0.1,Skills!D8-IF(Skills!E8=TRUE,Inputs!$B$32,0))))+1)),0)</f>
        <v/>
      </c>
      <c r="S2824">
        <f>IFERROR(O2824/N2824,0)</f>
        <v/>
      </c>
      <c r="T2824">
        <f>IF(C2824,(H2824*N2824*IF(AND(Inputs!$B$39&lt;&gt;"pvp",Inputs!$B$44&gt;0),((Skills!G8*((R2824-1)*IF(Skills!H8&gt;0,Skills!I8/Skills!H8,1)+IF(Skills!H8&gt;0,MIN(Skills!I8,MAX(0,MAX(0,Inputs!$B$44-B2861)-((R2824-1)*IF(Inputs!$B$39="pvp",15,MAX(0.1,Skills!D8-IF(Skills!E8=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Skills!E8=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Inputs!$B$3&gt;=72</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IFERROR(1/IF(Inputs!$B$39="pvp",15,MAX(0.1,Skills!D9-IF(Skills!E9=TRUE,Inputs!$B$32,0))),0)</f>
        <v/>
      </c>
      <c r="R2825">
        <f>IF(AND(Inputs!$B$39&lt;&gt;"pvp",Inputs!$B$44&gt;0),IF(MAX(0,Inputs!$B$44-B2861)&lt;=0,0,(INT(MAX(0,Inputs!$B$44-B2861)/IF(Inputs!$B$39="pvp",15,MAX(0.1,Skills!D9-IF(Skills!E9=TRUE,Inputs!$B$32,0))))+1)),0)</f>
        <v/>
      </c>
      <c r="S2825">
        <f>IFERROR(O2825/N2825,0)</f>
        <v/>
      </c>
      <c r="T2825">
        <f>IF(C2825,(H2825*N2825*IF(AND(Inputs!$B$39&lt;&gt;"pvp",Inputs!$B$44&gt;0),((Skills!G9*((R2825-1)*IF(Skills!H9&gt;0,Skills!I9/Skills!H9,1)+IF(Skills!H9&gt;0,MIN(Skills!I9,MAX(0,MAX(0,Inputs!$B$44-B2861)-((R2825-1)*IF(Inputs!$B$39="pvp",15,MAX(0.1,Skills!D9-IF(Skills!E9=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Skills!E9=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IFERROR(1/IF(Inputs!$B$39="pvp",15,MAX(0.1,Skills!D12-IF(Skills!E12=TRUE,Inputs!$B$32,0))),0)</f>
        <v/>
      </c>
      <c r="R2828">
        <f>IF(AND(Inputs!$B$39&lt;&gt;"pvp",Inputs!$B$44&gt;0),IF(MAX(0,Inputs!$B$44-B2861)&lt;=0,0,(INT(MAX(0,Inputs!$B$44-B2861)/IF(Inputs!$B$39="pvp",15,MAX(0.1,Skills!D12-IF(Skills!E12=TRUE,Inputs!$B$32,0))))+1)),0)</f>
        <v/>
      </c>
      <c r="S2828">
        <f>IFERROR(O2828/N2828,0)</f>
        <v/>
      </c>
      <c r="T2828">
        <f>IF(C2828,(H2828*N2828*IF(AND(Inputs!$B$39&lt;&gt;"pvp",Inputs!$B$44&gt;0),((Skills!G12*((R2828-1)*IF(Skills!H12&gt;0,Skills!I12/Skills!H12,1)+IF(Skills!H12&gt;0,MIN(Skills!I12,MAX(0,MAX(0,Inputs!$B$44-B2861)-((R2828-1)*IF(Inputs!$B$39="pvp",15,MAX(0.1,Skills!D12-IF(Skills!E12=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Skills!E12=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IFERROR(1/IF(Inputs!$B$39="pvp",15,MAX(0.1,Skills!D13-IF(Skills!E13=TRUE,Inputs!$B$32,0))),0)</f>
        <v/>
      </c>
      <c r="R2829">
        <f>IF(AND(Inputs!$B$39&lt;&gt;"pvp",Inputs!$B$44&gt;0),IF(MAX(0,Inputs!$B$44-B2861)&lt;=0,0,(INT(MAX(0,Inputs!$B$44-B2861)/IF(Inputs!$B$39="pvp",15,MAX(0.1,Skills!D13-IF(Skills!E13=TRUE,Inputs!$B$32,0))))+1)),0)</f>
        <v/>
      </c>
      <c r="S2829">
        <f>IFERROR(O2829/N2829,0)</f>
        <v/>
      </c>
      <c r="T2829">
        <f>IF(C2829,(H2829*N2829*IF(AND(Inputs!$B$39&lt;&gt;"pvp",Inputs!$B$44&gt;0),((Skills!G13*((R2829-1)*IF(Skills!H13&gt;0,Skills!I13/Skills!H13,1)+IF(Skills!H13&gt;0,MIN(Skills!I13,MAX(0,MAX(0,Inputs!$B$44-B2861)-((R2829-1)*IF(Inputs!$B$39="pvp",15,MAX(0.1,Skills!D13-IF(Skills!E13=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Skills!E13=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IFERROR(1/IF(Inputs!$B$39="pvp",15,MAX(0.1,Skills!D14-IF(Skills!E14=TRUE,Inputs!$B$32,0))),0)</f>
        <v/>
      </c>
      <c r="R2830">
        <f>IF(AND(Inputs!$B$39&lt;&gt;"pvp",Inputs!$B$44&gt;0),IF(MAX(0,Inputs!$B$44-B2861)&lt;=0,0,(INT(MAX(0,Inputs!$B$44-B2861)/IF(Inputs!$B$39="pvp",15,MAX(0.1,Skills!D14-IF(Skills!E14=TRUE,Inputs!$B$32,0))))+1)),0)</f>
        <v/>
      </c>
      <c r="S2830">
        <f>IFERROR(O2830/N2830,0)</f>
        <v/>
      </c>
      <c r="T2830">
        <f>IF(C2830,(H2830*N2830*IF(AND(Inputs!$B$39&lt;&gt;"pvp",Inputs!$B$44&gt;0),((Skills!G14*((R2830-1)*IF(Skills!H14&gt;0,Skills!I14/Skills!H14,1)+IF(Skills!H14&gt;0,MIN(Skills!I14,MAX(0,MAX(0,Inputs!$B$44-B2861)-((R2830-1)*IF(Inputs!$B$39="pvp",15,MAX(0.1,Skills!D14-IF(Skills!E14=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Skills!E14=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IFERROR(1/IF(Inputs!$B$39="pvp",15,MAX(0.1,Skills!D15-IF(Skills!E15=TRUE,Inputs!$B$32,0))),0)</f>
        <v/>
      </c>
      <c r="R2831">
        <f>IF(AND(Inputs!$B$39&lt;&gt;"pvp",Inputs!$B$44&gt;0),IF(Inputs!$B$44&lt;=0,0,(INT(Inputs!$B$44/IF(Inputs!$B$39="pvp",15,MAX(0.1,Skills!D15-IF(Skills!E15=TRUE,Inputs!$B$32,0))))+1)),0)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IFERROR(1/IF(Inputs!$B$39="pvp",15,MAX(0.1,Skills!D16-IF(Skills!E16=TRUE,Inputs!$B$32,0))),0)</f>
        <v/>
      </c>
      <c r="R2832">
        <f>IF(AND(Inputs!$B$39&lt;&gt;"pvp",Inputs!$B$44&gt;0),IF(Inputs!$B$44&lt;=0,0,(INT(Inputs!$B$44/IF(Inputs!$B$39="pvp",15,MAX(0.1,Skills!D16-IF(Skills!E16=TRUE,Inputs!$B$32,0))))+1)),0)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IFERROR(1/IF(Inputs!$B$39="pvp",15,MAX(0.1,Skills!D19-IF(Skills!E19=TRUE,Inputs!$B$32,0))),0)</f>
        <v/>
      </c>
      <c r="R2835">
        <f>IF(AND(Inputs!$B$39&lt;&gt;"pvp",Inputs!$B$44&gt;0),IF(Inputs!$B$44&lt;=0,0,(INT(Inputs!$B$44/IF(Inputs!$B$39="pvp",15,MAX(0.1,Skills!D19-IF(Skills!E19=TRUE,Inputs!$B$32,0))))+1)),0)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IFERROR(1/IF(Inputs!$B$39="pvp",15,MAX(0.1,Skills!D20-IF(Skills!E20=TRUE,Inputs!$B$32,0))),0)</f>
        <v/>
      </c>
      <c r="R2836">
        <f>IF(AND(Inputs!$B$39&lt;&gt;"pvp",Inputs!$B$44&gt;0),IF(Inputs!$B$44&lt;=0,0,(INT(Inputs!$B$44/IF(Inputs!$B$39="pvp",15,MAX(0.1,Skills!D20-IF(Skills!E20=TRUE,Inputs!$B$32,0))))+1)),0)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IFERROR(1/IF(Inputs!$B$39="pvp",15,MAX(0.1,Skills!D21-IF(Skills!E21=TRUE,Inputs!$B$32,0))),0)</f>
        <v/>
      </c>
      <c r="R2837">
        <f>IF(AND(Inputs!$B$39&lt;&gt;"pvp",Inputs!$B$44&gt;0),IF(Inputs!$B$44&lt;=0,0,(INT(Inputs!$B$44/IF(Inputs!$B$39="pvp",15,MAX(0.1,Skills!D21-IF(Skills!E21=TRUE,Inputs!$B$32,0))))+1)),0)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Skills!Y19*(1+Inputs!$B$34/100))+MIN((Skills!Y19*(1+Inputs!$B$34/100)),MAX(0,Inputs!$B$44-((R2835-1)*Skills!D19))))/Inputs!$B$44),IF(Inputs!$B$39="pvp",MIN((Skills!Y19*(1+Inputs!$B$34/100)),15)/15,(Skills!Y19*(1+Inputs!$B$34/100))/Skills!D19)))/150)))/100</f>
        <v/>
      </c>
    </row>
    <row r="2850">
      <c r="A2850" t="inlineStr">
        <is>
          <t>Alchemic Adrenaline Uptime</t>
        </is>
      </c>
      <c r="B2850">
        <f>(Skills!Y6*(1+Inputs!$B$34/100))/((Skills!Y6*(1+Inputs!$B$34/100))+(5/B2849))</f>
        <v/>
      </c>
    </row>
    <row r="2851">
      <c r="A2851" t="inlineStr">
        <is>
          <t>Attack Speed Buff Bonus %</t>
        </is>
      </c>
      <c r="B2851">
        <f>((C2835=TRUE)*F2835*IF(AND(Inputs!$B$39&lt;&gt;"pvp",Inputs!$B$44&gt;0),(((R2835-1)*(Skills!Y19*(1+Inputs!$B$34/100))+MIN((Skills!Y19*(1+Inputs!$B$34/100)),MAX(0,Inputs!$B$44-((R2835-1)*Skills!D19))))/Inputs!$B$44),IF(Inputs!$B$39="pvp",MIN((Skills!Y19*(1+Inputs!$B$34/100)),15)/15,(Skills!Y19*(1+Inputs!$B$34/100))/Skills!D19)))+((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f>
        <v/>
      </c>
    </row>
    <row r="2856">
      <c r="A2856" t="inlineStr">
        <is>
          <t>Global Crit Rate Bonus %</t>
        </is>
      </c>
      <c r="B2856">
        <f>IF(Inputs!$B$3&gt;=47,8,0)+((C2836=TRUE)*F2836*IF(AND(Inputs!$B$39&lt;&gt;"pvp",Inputs!$B$44&gt;0),(((R2836-1)*(Skills!Y20*(1+Inputs!$B$34/100))+MIN((Skills!Y20*(1+Inputs!$B$34/100)),MAX(0,Inputs!$B$44-((R2836-1)*Skills!D20))))/Inputs!$B$44),IF(Inputs!$B$39="pvp",MIN((Skills!Y20*(1+Inputs!$B$34/100)),15)/15,(Skills!Y20*(1+Inputs!$B$34/100))/Skills!D20)))</f>
        <v/>
      </c>
    </row>
    <row r="2857">
      <c r="A2857" t="inlineStr">
        <is>
          <t>Global Monster Damage-Taken Bonus %</t>
        </is>
      </c>
      <c r="B2857">
        <f>IF(Inputs!$B$3&gt;=82,15,0)+((C2832=TRUE)*F2832*IF(AND(Inputs!$B$39&lt;&gt;"pvp",Inputs!$B$44&gt;0),(((R2832-1)*(Skills!Y16*(1+Inputs!$B$34/100))+MIN((Skills!Y16*(1+Inputs!$B$34/100)),MAX(0,Inputs!$B$44-((R2832-1)*Skills!D16))))/Inputs!$B$44),IF(Inputs!$B$39="pvp",MIN((Skills!Y16*(1+Inputs!$B$34/100)),15)/15,(Skills!Y16*(1+Inputs!$B$34/100))/Skills!D16)))</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Skills!Y16*(1+Inputs!$B$34/100))+MIN((Skills!Y16*(1+Inputs!$B$34/100)),MAX(0,Inputs!$B$44-((R2832-1)*Skills!D16))))/Inputs!$B$44),IF(Inputs!$B$39="pvp",MIN((Skills!Y16*(1+Inputs!$B$34/100)),15)/15,(Skills!Y16*(1+Inputs!$B$34/100))/Skills!D16))</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IFERROR(1/IF(Inputs!$B$39="pvp",15,MAX(0.1,Skills!D3-IF(Skills!E3=TRUE,Inputs!$B$32,0))),0)</f>
        <v/>
      </c>
      <c r="R2868">
        <f>IF(AND(Inputs!$B$39&lt;&gt;"pvp",Inputs!$B$44&gt;0),IF(MAX(0,Inputs!$B$44-B2910)&lt;=0,0,(INT(MAX(0,Inputs!$B$44-B2910)/IF(Inputs!$B$39="pvp",15,MAX(0.1,Skills!D3-IF(Skills!E3=TRUE,Inputs!$B$32,0))))+1)),0)</f>
        <v/>
      </c>
      <c r="S2868">
        <f>IFERROR(O2868/N2868,0)</f>
        <v/>
      </c>
      <c r="T2868">
        <f>IF(C2868,(H2868*N2868*IF(AND(Inputs!$B$39&lt;&gt;"pvp",Inputs!$B$44&gt;0),((Skills!G3*((R2868-1)*IF(Skills!H3&gt;0,Skills!I3/Skills!H3,1)+IF(Skills!H3&gt;0,MIN(Skills!I3,MAX(0,MAX(0,Inputs!$B$44-B2910)-((R2868-1)*IF(Inputs!$B$39="pvp",15,MAX(0.1,Skills!D3-IF(Skills!E3=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Skills!E3=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Inputs!$B$3&gt;=40</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IFERROR(1/IF(Inputs!$B$39="pvp",15,MAX(0.1,Skills!D4-IF(Skills!E4=TRUE,Inputs!$B$32,0))),0)</f>
        <v/>
      </c>
      <c r="R2869">
        <f>IF(AND(Inputs!$B$39&lt;&gt;"pvp",Inputs!$B$44&gt;0),IF(MAX(0,Inputs!$B$44-B2910)&lt;=0,0,(INT(MAX(0,Inputs!$B$44-B2910)/IF(Inputs!$B$39="pvp",15,MAX(0.1,Skills!D4-IF(Skills!E4=TRUE,Inputs!$B$32,0))))+1)),0)</f>
        <v/>
      </c>
      <c r="S2869">
        <f>IFERROR(O2869/N2869,0)</f>
        <v/>
      </c>
      <c r="T2869">
        <f>IF(C2869,(H2869*N2869*IF(AND(Inputs!$B$39&lt;&gt;"pvp",Inputs!$B$44&gt;0),((Skills!G4*((R2869-1)*IF(Skills!H4&gt;0,Skills!I4/Skills!H4,1)+IF(Skills!H4&gt;0,MIN(Skills!I4,MAX(0,MAX(0,Inputs!$B$44-B2910)-((R2869-1)*IF(Inputs!$B$39="pvp",15,MAX(0.1,Skills!D4-IF(Skills!E4=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Skills!E4=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IFERROR(1/IF(Inputs!$B$39="pvp",15,MAX(0.1,Skills!D5-IF(Skills!E5=TRUE,Inputs!$B$32,0))),0)</f>
        <v/>
      </c>
      <c r="R2870">
        <f>IF(AND(Inputs!$B$39&lt;&gt;"pvp",Inputs!$B$44&gt;0),IF(MAX(0,Inputs!$B$44-B2910)&lt;=0,0,(INT(MAX(0,Inputs!$B$44-B2910)/IF(Inputs!$B$39="pvp",15,MAX(0.1,Skills!D5-IF(Skills!E5=TRUE,Inputs!$B$32,0))))+1)),0)</f>
        <v/>
      </c>
      <c r="S2870">
        <f>IFERROR(O2870/N2870,0)</f>
        <v/>
      </c>
      <c r="T2870">
        <f>IF(C2870,(H2870*N2870*IF(AND(Inputs!$B$39&lt;&gt;"pvp",Inputs!$B$44&gt;0),((Skills!G5*((R2870-1)*IF(Skills!H5&gt;0,Skills!I5/Skills!H5,1)+IF(Skills!H5&gt;0,MIN(Skills!I5,MAX(0,MAX(0,Inputs!$B$44-B2910)-((R2870-1)*IF(Inputs!$B$39="pvp",15,MAX(0.1,Skills!D5-IF(Skills!E5=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Skills!E5=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IFERROR(1/IF(Inputs!$B$39="pvp",15,MAX(0.1,Skills!D8-IF(Skills!E8=TRUE,Inputs!$B$32,0))),0)</f>
        <v/>
      </c>
      <c r="R2873">
        <f>IF(AND(Inputs!$B$39&lt;&gt;"pvp",Inputs!$B$44&gt;0),IF(MAX(0,Inputs!$B$44-B2910)&lt;=0,0,(INT(MAX(0,Inputs!$B$44-B2910)/IF(Inputs!$B$39="pvp",15,MAX(0.1,Skills!D8-IF(Skills!E8=TRUE,Inputs!$B$32,0))))+1)),0)</f>
        <v/>
      </c>
      <c r="S2873">
        <f>IFERROR(O2873/N2873,0)</f>
        <v/>
      </c>
      <c r="T2873">
        <f>IF(C2873,(H2873*N2873*IF(AND(Inputs!$B$39&lt;&gt;"pvp",Inputs!$B$44&gt;0),((Skills!G8*((R2873-1)*IF(Skills!H8&gt;0,Skills!I8/Skills!H8,1)+IF(Skills!H8&gt;0,MIN(Skills!I8,MAX(0,MAX(0,Inputs!$B$44-B2910)-((R2873-1)*IF(Inputs!$B$39="pvp",15,MAX(0.1,Skills!D8-IF(Skills!E8=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Skills!E8=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Inputs!$B$3&gt;=72</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IFERROR(1/IF(Inputs!$B$39="pvp",15,MAX(0.1,Skills!D9-IF(Skills!E9=TRUE,Inputs!$B$32,0))),0)</f>
        <v/>
      </c>
      <c r="R2874">
        <f>IF(AND(Inputs!$B$39&lt;&gt;"pvp",Inputs!$B$44&gt;0),IF(MAX(0,Inputs!$B$44-B2910)&lt;=0,0,(INT(MAX(0,Inputs!$B$44-B2910)/IF(Inputs!$B$39="pvp",15,MAX(0.1,Skills!D9-IF(Skills!E9=TRUE,Inputs!$B$32,0))))+1)),0)</f>
        <v/>
      </c>
      <c r="S2874">
        <f>IFERROR(O2874/N2874,0)</f>
        <v/>
      </c>
      <c r="T2874">
        <f>IF(C2874,(H2874*N2874*IF(AND(Inputs!$B$39&lt;&gt;"pvp",Inputs!$B$44&gt;0),((Skills!G9*((R2874-1)*IF(Skills!H9&gt;0,Skills!I9/Skills!H9,1)+IF(Skills!H9&gt;0,MIN(Skills!I9,MAX(0,MAX(0,Inputs!$B$44-B2910)-((R2874-1)*IF(Inputs!$B$39="pvp",15,MAX(0.1,Skills!D9-IF(Skills!E9=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Skills!E9=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IFERROR(1/IF(Inputs!$B$39="pvp",15,MAX(0.1,Skills!D12-IF(Skills!E12=TRUE,Inputs!$B$32,0))),0)</f>
        <v/>
      </c>
      <c r="R2877">
        <f>IF(AND(Inputs!$B$39&lt;&gt;"pvp",Inputs!$B$44&gt;0),IF(MAX(0,Inputs!$B$44-B2910)&lt;=0,0,(INT(MAX(0,Inputs!$B$44-B2910)/IF(Inputs!$B$39="pvp",15,MAX(0.1,Skills!D12-IF(Skills!E12=TRUE,Inputs!$B$32,0))))+1)),0)</f>
        <v/>
      </c>
      <c r="S2877">
        <f>IFERROR(O2877/N2877,0)</f>
        <v/>
      </c>
      <c r="T2877">
        <f>IF(C2877,(H2877*N2877*IF(AND(Inputs!$B$39&lt;&gt;"pvp",Inputs!$B$44&gt;0),((Skills!G12*((R2877-1)*IF(Skills!H12&gt;0,Skills!I12/Skills!H12,1)+IF(Skills!H12&gt;0,MIN(Skills!I12,MAX(0,MAX(0,Inputs!$B$44-B2910)-((R2877-1)*IF(Inputs!$B$39="pvp",15,MAX(0.1,Skills!D12-IF(Skills!E12=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Skills!E12=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IFERROR(1/IF(Inputs!$B$39="pvp",15,MAX(0.1,Skills!D13-IF(Skills!E13=TRUE,Inputs!$B$32,0))),0)</f>
        <v/>
      </c>
      <c r="R2878">
        <f>IF(AND(Inputs!$B$39&lt;&gt;"pvp",Inputs!$B$44&gt;0),IF(MAX(0,Inputs!$B$44-B2910)&lt;=0,0,(INT(MAX(0,Inputs!$B$44-B2910)/IF(Inputs!$B$39="pvp",15,MAX(0.1,Skills!D13-IF(Skills!E13=TRUE,Inputs!$B$32,0))))+1)),0)</f>
        <v/>
      </c>
      <c r="S2878">
        <f>IFERROR(O2878/N2878,0)</f>
        <v/>
      </c>
      <c r="T2878">
        <f>IF(C2878,(H2878*N2878*IF(AND(Inputs!$B$39&lt;&gt;"pvp",Inputs!$B$44&gt;0),((Skills!G13*((R2878-1)*IF(Skills!H13&gt;0,Skills!I13/Skills!H13,1)+IF(Skills!H13&gt;0,MIN(Skills!I13,MAX(0,MAX(0,Inputs!$B$44-B2910)-((R2878-1)*IF(Inputs!$B$39="pvp",15,MAX(0.1,Skills!D13-IF(Skills!E13=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Skills!E13=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IFERROR(1/IF(Inputs!$B$39="pvp",15,MAX(0.1,Skills!D14-IF(Skills!E14=TRUE,Inputs!$B$32,0))),0)</f>
        <v/>
      </c>
      <c r="R2879">
        <f>IF(AND(Inputs!$B$39&lt;&gt;"pvp",Inputs!$B$44&gt;0),IF(MAX(0,Inputs!$B$44-B2910)&lt;=0,0,(INT(MAX(0,Inputs!$B$44-B2910)/IF(Inputs!$B$39="pvp",15,MAX(0.1,Skills!D14-IF(Skills!E14=TRUE,Inputs!$B$32,0))))+1)),0)</f>
        <v/>
      </c>
      <c r="S2879">
        <f>IFERROR(O2879/N2879,0)</f>
        <v/>
      </c>
      <c r="T2879">
        <f>IF(C2879,(H2879*N2879*IF(AND(Inputs!$B$39&lt;&gt;"pvp",Inputs!$B$44&gt;0),((Skills!G14*((R2879-1)*IF(Skills!H14&gt;0,Skills!I14/Skills!H14,1)+IF(Skills!H14&gt;0,MIN(Skills!I14,MAX(0,MAX(0,Inputs!$B$44-B2910)-((R2879-1)*IF(Inputs!$B$39="pvp",15,MAX(0.1,Skills!D14-IF(Skills!E14=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Skills!E14=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IFERROR(1/IF(Inputs!$B$39="pvp",15,MAX(0.1,Skills!D15-IF(Skills!E15=TRUE,Inputs!$B$32,0))),0)</f>
        <v/>
      </c>
      <c r="R2880">
        <f>IF(AND(Inputs!$B$39&lt;&gt;"pvp",Inputs!$B$44&gt;0),IF(Inputs!$B$44&lt;=0,0,(INT(Inputs!$B$44/IF(Inputs!$B$39="pvp",15,MAX(0.1,Skills!D15-IF(Skills!E15=TRUE,Inputs!$B$32,0))))+1)),0)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IFERROR(1/IF(Inputs!$B$39="pvp",15,MAX(0.1,Skills!D16-IF(Skills!E16=TRUE,Inputs!$B$32,0))),0)</f>
        <v/>
      </c>
      <c r="R2881">
        <f>IF(AND(Inputs!$B$39&lt;&gt;"pvp",Inputs!$B$44&gt;0),IF(Inputs!$B$44&lt;=0,0,(INT(Inputs!$B$44/IF(Inputs!$B$39="pvp",15,MAX(0.1,Skills!D16-IF(Skills!E16=TRUE,Inputs!$B$32,0))))+1)),0)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IFERROR(1/IF(Inputs!$B$39="pvp",15,MAX(0.1,Skills!D19-IF(Skills!E19=TRUE,Inputs!$B$32,0))),0)</f>
        <v/>
      </c>
      <c r="R2884">
        <f>IF(AND(Inputs!$B$39&lt;&gt;"pvp",Inputs!$B$44&gt;0),IF(Inputs!$B$44&lt;=0,0,(INT(Inputs!$B$44/IF(Inputs!$B$39="pvp",15,MAX(0.1,Skills!D19-IF(Skills!E19=TRUE,Inputs!$B$32,0))))+1)),0)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IFERROR(1/IF(Inputs!$B$39="pvp",15,MAX(0.1,Skills!D20-IF(Skills!E20=TRUE,Inputs!$B$32,0))),0)</f>
        <v/>
      </c>
      <c r="R2885">
        <f>IF(AND(Inputs!$B$39&lt;&gt;"pvp",Inputs!$B$44&gt;0),IF(Inputs!$B$44&lt;=0,0,(INT(Inputs!$B$44/IF(Inputs!$B$39="pvp",15,MAX(0.1,Skills!D20-IF(Skills!E20=TRUE,Inputs!$B$32,0))))+1)),0)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IFERROR(1/IF(Inputs!$B$39="pvp",15,MAX(0.1,Skills!D21-IF(Skills!E21=TRUE,Inputs!$B$32,0))),0)</f>
        <v/>
      </c>
      <c r="R2886">
        <f>IF(AND(Inputs!$B$39&lt;&gt;"pvp",Inputs!$B$44&gt;0),IF(Inputs!$B$44&lt;=0,0,(INT(Inputs!$B$44/IF(Inputs!$B$39="pvp",15,MAX(0.1,Skills!D21-IF(Skills!E21=TRUE,Inputs!$B$32,0))))+1)),0)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Skills!Y19*(1+Inputs!$B$34/100))+MIN((Skills!Y19*(1+Inputs!$B$34/100)),MAX(0,Inputs!$B$44-((R2884-1)*Skills!D19))))/Inputs!$B$44),IF(Inputs!$B$39="pvp",MIN((Skills!Y19*(1+Inputs!$B$34/100)),15)/15,(Skills!Y19*(1+Inputs!$B$34/100))/Skills!D19)))/150)))/100</f>
        <v/>
      </c>
    </row>
    <row r="2899">
      <c r="A2899" t="inlineStr">
        <is>
          <t>Alchemic Adrenaline Uptime</t>
        </is>
      </c>
      <c r="B2899">
        <f>(Skills!Y6*(1+Inputs!$B$34/100))/((Skills!Y6*(1+Inputs!$B$34/100))+(5/B2898))</f>
        <v/>
      </c>
    </row>
    <row r="2900">
      <c r="A2900" t="inlineStr">
        <is>
          <t>Attack Speed Buff Bonus %</t>
        </is>
      </c>
      <c r="B2900">
        <f>((C2884=TRUE)*F2884*IF(AND(Inputs!$B$39&lt;&gt;"pvp",Inputs!$B$44&gt;0),(((R2884-1)*(Skills!Y19*(1+Inputs!$B$34/100))+MIN((Skills!Y19*(1+Inputs!$B$34/100)),MAX(0,Inputs!$B$44-((R2884-1)*Skills!D19))))/Inputs!$B$44),IF(Inputs!$B$39="pvp",MIN((Skills!Y19*(1+Inputs!$B$34/100)),15)/15,(Skills!Y19*(1+Inputs!$B$34/100))/Skills!D19)))+((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f>
        <v/>
      </c>
    </row>
    <row r="2905">
      <c r="A2905" t="inlineStr">
        <is>
          <t>Global Crit Rate Bonus %</t>
        </is>
      </c>
      <c r="B2905">
        <f>IF(Inputs!$B$3&gt;=47,8,0)+((C2885=TRUE)*F2885*IF(AND(Inputs!$B$39&lt;&gt;"pvp",Inputs!$B$44&gt;0),(((R2885-1)*(Skills!Y20*(1+Inputs!$B$34/100))+MIN((Skills!Y20*(1+Inputs!$B$34/100)),MAX(0,Inputs!$B$44-((R2885-1)*Skills!D20))))/Inputs!$B$44),IF(Inputs!$B$39="pvp",MIN((Skills!Y20*(1+Inputs!$B$34/100)),15)/15,(Skills!Y20*(1+Inputs!$B$34/100))/Skills!D20)))</f>
        <v/>
      </c>
    </row>
    <row r="2906">
      <c r="A2906" t="inlineStr">
        <is>
          <t>Global Monster Damage-Taken Bonus %</t>
        </is>
      </c>
      <c r="B2906">
        <f>IF(Inputs!$B$3&gt;=82,15,0)+((C2881=TRUE)*F2881*IF(AND(Inputs!$B$39&lt;&gt;"pvp",Inputs!$B$44&gt;0),(((R2881-1)*(Skills!Y16*(1+Inputs!$B$34/100))+MIN((Skills!Y16*(1+Inputs!$B$34/100)),MAX(0,Inputs!$B$44-((R2881-1)*Skills!D16))))/Inputs!$B$44),IF(Inputs!$B$39="pvp",MIN((Skills!Y16*(1+Inputs!$B$34/100)),15)/15,(Skills!Y16*(1+Inputs!$B$34/100))/Skills!D16)))</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Skills!Y16*(1+Inputs!$B$34/100))+MIN((Skills!Y16*(1+Inputs!$B$34/100)),MAX(0,Inputs!$B$44-((R2881-1)*Skills!D16))))/Inputs!$B$44),IF(Inputs!$B$39="pvp",MIN((Skills!Y16*(1+Inputs!$B$34/100)),15)/15,(Skills!Y16*(1+Inputs!$B$34/100))/Skills!D16))</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IFERROR(1/IF(Inputs!$B$39="pvp",15,MAX(0.1,Skills!D3-IF(Skills!E3=TRUE,Inputs!$B$32,0))),0)</f>
        <v/>
      </c>
      <c r="R2917">
        <f>IF(AND(Inputs!$B$39&lt;&gt;"pvp",Inputs!$B$44&gt;0),IF(MAX(0,Inputs!$B$44-B2959)&lt;=0,0,(INT(MAX(0,Inputs!$B$44-B2959)/IF(Inputs!$B$39="pvp",15,MAX(0.1,Skills!D3-IF(Skills!E3=TRUE,Inputs!$B$32,0))))+1)),0)</f>
        <v/>
      </c>
      <c r="S2917">
        <f>IFERROR(O2917/N2917,0)</f>
        <v/>
      </c>
      <c r="T2917">
        <f>IF(C2917,(H2917*N2917*IF(AND(Inputs!$B$39&lt;&gt;"pvp",Inputs!$B$44&gt;0),((Skills!G3*((R2917-1)*IF(Skills!H3&gt;0,Skills!I3/Skills!H3,1)+IF(Skills!H3&gt;0,MIN(Skills!I3,MAX(0,MAX(0,Inputs!$B$44-B2959)-((R2917-1)*IF(Inputs!$B$39="pvp",15,MAX(0.1,Skills!D3-IF(Skills!E3=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Skills!E3=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Inputs!$B$3&gt;=40</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IFERROR(1/IF(Inputs!$B$39="pvp",15,MAX(0.1,Skills!D4-IF(Skills!E4=TRUE,Inputs!$B$32,0))),0)</f>
        <v/>
      </c>
      <c r="R2918">
        <f>IF(AND(Inputs!$B$39&lt;&gt;"pvp",Inputs!$B$44&gt;0),IF(MAX(0,Inputs!$B$44-B2959)&lt;=0,0,(INT(MAX(0,Inputs!$B$44-B2959)/IF(Inputs!$B$39="pvp",15,MAX(0.1,Skills!D4-IF(Skills!E4=TRUE,Inputs!$B$32,0))))+1)),0)</f>
        <v/>
      </c>
      <c r="S2918">
        <f>IFERROR(O2918/N2918,0)</f>
        <v/>
      </c>
      <c r="T2918">
        <f>IF(C2918,(H2918*N2918*IF(AND(Inputs!$B$39&lt;&gt;"pvp",Inputs!$B$44&gt;0),((Skills!G4*((R2918-1)*IF(Skills!H4&gt;0,Skills!I4/Skills!H4,1)+IF(Skills!H4&gt;0,MIN(Skills!I4,MAX(0,MAX(0,Inputs!$B$44-B2959)-((R2918-1)*IF(Inputs!$B$39="pvp",15,MAX(0.1,Skills!D4-IF(Skills!E4=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Skills!E4=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IFERROR(1/IF(Inputs!$B$39="pvp",15,MAX(0.1,Skills!D5-IF(Skills!E5=TRUE,Inputs!$B$32,0))),0)</f>
        <v/>
      </c>
      <c r="R2919">
        <f>IF(AND(Inputs!$B$39&lt;&gt;"pvp",Inputs!$B$44&gt;0),IF(MAX(0,Inputs!$B$44-B2959)&lt;=0,0,(INT(MAX(0,Inputs!$B$44-B2959)/IF(Inputs!$B$39="pvp",15,MAX(0.1,Skills!D5-IF(Skills!E5=TRUE,Inputs!$B$32,0))))+1)),0)</f>
        <v/>
      </c>
      <c r="S2919">
        <f>IFERROR(O2919/N2919,0)</f>
        <v/>
      </c>
      <c r="T2919">
        <f>IF(C2919,(H2919*N2919*IF(AND(Inputs!$B$39&lt;&gt;"pvp",Inputs!$B$44&gt;0),((Skills!G5*((R2919-1)*IF(Skills!H5&gt;0,Skills!I5/Skills!H5,1)+IF(Skills!H5&gt;0,MIN(Skills!I5,MAX(0,MAX(0,Inputs!$B$44-B2959)-((R2919-1)*IF(Inputs!$B$39="pvp",15,MAX(0.1,Skills!D5-IF(Skills!E5=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Skills!E5=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IFERROR(1/IF(Inputs!$B$39="pvp",15,MAX(0.1,Skills!D8-IF(Skills!E8=TRUE,Inputs!$B$32,0))),0)</f>
        <v/>
      </c>
      <c r="R2922">
        <f>IF(AND(Inputs!$B$39&lt;&gt;"pvp",Inputs!$B$44&gt;0),IF(MAX(0,Inputs!$B$44-B2959)&lt;=0,0,(INT(MAX(0,Inputs!$B$44-B2959)/IF(Inputs!$B$39="pvp",15,MAX(0.1,Skills!D8-IF(Skills!E8=TRUE,Inputs!$B$32,0))))+1)),0)</f>
        <v/>
      </c>
      <c r="S2922">
        <f>IFERROR(O2922/N2922,0)</f>
        <v/>
      </c>
      <c r="T2922">
        <f>IF(C2922,(H2922*N2922*IF(AND(Inputs!$B$39&lt;&gt;"pvp",Inputs!$B$44&gt;0),((Skills!G8*((R2922-1)*IF(Skills!H8&gt;0,Skills!I8/Skills!H8,1)+IF(Skills!H8&gt;0,MIN(Skills!I8,MAX(0,MAX(0,Inputs!$B$44-B2959)-((R2922-1)*IF(Inputs!$B$39="pvp",15,MAX(0.1,Skills!D8-IF(Skills!E8=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Skills!E8=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Inputs!$B$3&gt;=72</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IFERROR(1/IF(Inputs!$B$39="pvp",15,MAX(0.1,Skills!D9-IF(Skills!E9=TRUE,Inputs!$B$32,0))),0)</f>
        <v/>
      </c>
      <c r="R2923">
        <f>IF(AND(Inputs!$B$39&lt;&gt;"pvp",Inputs!$B$44&gt;0),IF(MAX(0,Inputs!$B$44-B2959)&lt;=0,0,(INT(MAX(0,Inputs!$B$44-B2959)/IF(Inputs!$B$39="pvp",15,MAX(0.1,Skills!D9-IF(Skills!E9=TRUE,Inputs!$B$32,0))))+1)),0)</f>
        <v/>
      </c>
      <c r="S2923">
        <f>IFERROR(O2923/N2923,0)</f>
        <v/>
      </c>
      <c r="T2923">
        <f>IF(C2923,(H2923*N2923*IF(AND(Inputs!$B$39&lt;&gt;"pvp",Inputs!$B$44&gt;0),((Skills!G9*((R2923-1)*IF(Skills!H9&gt;0,Skills!I9/Skills!H9,1)+IF(Skills!H9&gt;0,MIN(Skills!I9,MAX(0,MAX(0,Inputs!$B$44-B2959)-((R2923-1)*IF(Inputs!$B$39="pvp",15,MAX(0.1,Skills!D9-IF(Skills!E9=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Skills!E9=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IFERROR(1/IF(Inputs!$B$39="pvp",15,MAX(0.1,Skills!D12-IF(Skills!E12=TRUE,Inputs!$B$32,0))),0)</f>
        <v/>
      </c>
      <c r="R2926">
        <f>IF(AND(Inputs!$B$39&lt;&gt;"pvp",Inputs!$B$44&gt;0),IF(MAX(0,Inputs!$B$44-B2959)&lt;=0,0,(INT(MAX(0,Inputs!$B$44-B2959)/IF(Inputs!$B$39="pvp",15,MAX(0.1,Skills!D12-IF(Skills!E12=TRUE,Inputs!$B$32,0))))+1)),0)</f>
        <v/>
      </c>
      <c r="S2926">
        <f>IFERROR(O2926/N2926,0)</f>
        <v/>
      </c>
      <c r="T2926">
        <f>IF(C2926,(H2926*N2926*IF(AND(Inputs!$B$39&lt;&gt;"pvp",Inputs!$B$44&gt;0),((Skills!G12*((R2926-1)*IF(Skills!H12&gt;0,Skills!I12/Skills!H12,1)+IF(Skills!H12&gt;0,MIN(Skills!I12,MAX(0,MAX(0,Inputs!$B$44-B2959)-((R2926-1)*IF(Inputs!$B$39="pvp",15,MAX(0.1,Skills!D12-IF(Skills!E12=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Skills!E12=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IFERROR(1/IF(Inputs!$B$39="pvp",15,MAX(0.1,Skills!D13-IF(Skills!E13=TRUE,Inputs!$B$32,0))),0)</f>
        <v/>
      </c>
      <c r="R2927">
        <f>IF(AND(Inputs!$B$39&lt;&gt;"pvp",Inputs!$B$44&gt;0),IF(MAX(0,Inputs!$B$44-B2959)&lt;=0,0,(INT(MAX(0,Inputs!$B$44-B2959)/IF(Inputs!$B$39="pvp",15,MAX(0.1,Skills!D13-IF(Skills!E13=TRUE,Inputs!$B$32,0))))+1)),0)</f>
        <v/>
      </c>
      <c r="S2927">
        <f>IFERROR(O2927/N2927,0)</f>
        <v/>
      </c>
      <c r="T2927">
        <f>IF(C2927,(H2927*N2927*IF(AND(Inputs!$B$39&lt;&gt;"pvp",Inputs!$B$44&gt;0),((Skills!G13*((R2927-1)*IF(Skills!H13&gt;0,Skills!I13/Skills!H13,1)+IF(Skills!H13&gt;0,MIN(Skills!I13,MAX(0,MAX(0,Inputs!$B$44-B2959)-((R2927-1)*IF(Inputs!$B$39="pvp",15,MAX(0.1,Skills!D13-IF(Skills!E13=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Skills!E13=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IFERROR(1/IF(Inputs!$B$39="pvp",15,MAX(0.1,Skills!D14-IF(Skills!E14=TRUE,Inputs!$B$32,0))),0)</f>
        <v/>
      </c>
      <c r="R2928">
        <f>IF(AND(Inputs!$B$39&lt;&gt;"pvp",Inputs!$B$44&gt;0),IF(MAX(0,Inputs!$B$44-B2959)&lt;=0,0,(INT(MAX(0,Inputs!$B$44-B2959)/IF(Inputs!$B$39="pvp",15,MAX(0.1,Skills!D14-IF(Skills!E14=TRUE,Inputs!$B$32,0))))+1)),0)</f>
        <v/>
      </c>
      <c r="S2928">
        <f>IFERROR(O2928/N2928,0)</f>
        <v/>
      </c>
      <c r="T2928">
        <f>IF(C2928,(H2928*N2928*IF(AND(Inputs!$B$39&lt;&gt;"pvp",Inputs!$B$44&gt;0),((Skills!G14*((R2928-1)*IF(Skills!H14&gt;0,Skills!I14/Skills!H14,1)+IF(Skills!H14&gt;0,MIN(Skills!I14,MAX(0,MAX(0,Inputs!$B$44-B2959)-((R2928-1)*IF(Inputs!$B$39="pvp",15,MAX(0.1,Skills!D14-IF(Skills!E14=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Skills!E14=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IFERROR(1/IF(Inputs!$B$39="pvp",15,MAX(0.1,Skills!D15-IF(Skills!E15=TRUE,Inputs!$B$32,0))),0)</f>
        <v/>
      </c>
      <c r="R2929">
        <f>IF(AND(Inputs!$B$39&lt;&gt;"pvp",Inputs!$B$44&gt;0),IF(Inputs!$B$44&lt;=0,0,(INT(Inputs!$B$44/IF(Inputs!$B$39="pvp",15,MAX(0.1,Skills!D15-IF(Skills!E15=TRUE,Inputs!$B$32,0))))+1)),0)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IFERROR(1/IF(Inputs!$B$39="pvp",15,MAX(0.1,Skills!D16-IF(Skills!E16=TRUE,Inputs!$B$32,0))),0)</f>
        <v/>
      </c>
      <c r="R2930">
        <f>IF(AND(Inputs!$B$39&lt;&gt;"pvp",Inputs!$B$44&gt;0),IF(Inputs!$B$44&lt;=0,0,(INT(Inputs!$B$44/IF(Inputs!$B$39="pvp",15,MAX(0.1,Skills!D16-IF(Skills!E16=TRUE,Inputs!$B$32,0))))+1)),0)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IFERROR(1/IF(Inputs!$B$39="pvp",15,MAX(0.1,Skills!D19-IF(Skills!E19=TRUE,Inputs!$B$32,0))),0)</f>
        <v/>
      </c>
      <c r="R2933">
        <f>IF(AND(Inputs!$B$39&lt;&gt;"pvp",Inputs!$B$44&gt;0),IF(Inputs!$B$44&lt;=0,0,(INT(Inputs!$B$44/IF(Inputs!$B$39="pvp",15,MAX(0.1,Skills!D19-IF(Skills!E19=TRUE,Inputs!$B$32,0))))+1)),0)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IFERROR(1/IF(Inputs!$B$39="pvp",15,MAX(0.1,Skills!D20-IF(Skills!E20=TRUE,Inputs!$B$32,0))),0)</f>
        <v/>
      </c>
      <c r="R2934">
        <f>IF(AND(Inputs!$B$39&lt;&gt;"pvp",Inputs!$B$44&gt;0),IF(Inputs!$B$44&lt;=0,0,(INT(Inputs!$B$44/IF(Inputs!$B$39="pvp",15,MAX(0.1,Skills!D20-IF(Skills!E20=TRUE,Inputs!$B$32,0))))+1)),0)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IFERROR(1/IF(Inputs!$B$39="pvp",15,MAX(0.1,Skills!D21-IF(Skills!E21=TRUE,Inputs!$B$32,0))),0)</f>
        <v/>
      </c>
      <c r="R2935">
        <f>IF(AND(Inputs!$B$39&lt;&gt;"pvp",Inputs!$B$44&gt;0),IF(Inputs!$B$44&lt;=0,0,(INT(Inputs!$B$44/IF(Inputs!$B$39="pvp",15,MAX(0.1,Skills!D21-IF(Skills!E21=TRUE,Inputs!$B$32,0))))+1)),0)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Skills!Y19*(1+Inputs!$B$34/100))+MIN((Skills!Y19*(1+Inputs!$B$34/100)),MAX(0,Inputs!$B$44-((R2933-1)*Skills!D19))))/Inputs!$B$44),IF(Inputs!$B$39="pvp",MIN((Skills!Y19*(1+Inputs!$B$34/100)),15)/15,(Skills!Y19*(1+Inputs!$B$34/100))/Skills!D19)))/150)))/100</f>
        <v/>
      </c>
    </row>
    <row r="2948">
      <c r="A2948" t="inlineStr">
        <is>
          <t>Alchemic Adrenaline Uptime</t>
        </is>
      </c>
      <c r="B2948">
        <f>(Skills!Y6*(1+Inputs!$B$34/100))/((Skills!Y6*(1+Inputs!$B$34/100))+(5/B2947))</f>
        <v/>
      </c>
    </row>
    <row r="2949">
      <c r="A2949" t="inlineStr">
        <is>
          <t>Attack Speed Buff Bonus %</t>
        </is>
      </c>
      <c r="B2949">
        <f>((C2933=TRUE)*F2933*IF(AND(Inputs!$B$39&lt;&gt;"pvp",Inputs!$B$44&gt;0),(((R2933-1)*(Skills!Y19*(1+Inputs!$B$34/100))+MIN((Skills!Y19*(1+Inputs!$B$34/100)),MAX(0,Inputs!$B$44-((R2933-1)*Skills!D19))))/Inputs!$B$44),IF(Inputs!$B$39="pvp",MIN((Skills!Y19*(1+Inputs!$B$34/100)),15)/15,(Skills!Y19*(1+Inputs!$B$34/100))/Skills!D19)))+((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f>
        <v/>
      </c>
    </row>
    <row r="2954">
      <c r="A2954" t="inlineStr">
        <is>
          <t>Global Crit Rate Bonus %</t>
        </is>
      </c>
      <c r="B2954">
        <f>IF(Inputs!$B$3&gt;=47,8,0)+((C2934=TRUE)*F2934*IF(AND(Inputs!$B$39&lt;&gt;"pvp",Inputs!$B$44&gt;0),(((R2934-1)*(Skills!Y20*(1+Inputs!$B$34/100))+MIN((Skills!Y20*(1+Inputs!$B$34/100)),MAX(0,Inputs!$B$44-((R2934-1)*Skills!D20))))/Inputs!$B$44),IF(Inputs!$B$39="pvp",MIN((Skills!Y20*(1+Inputs!$B$34/100)),15)/15,(Skills!Y20*(1+Inputs!$B$34/100))/Skills!D20)))</f>
        <v/>
      </c>
    </row>
    <row r="2955">
      <c r="A2955" t="inlineStr">
        <is>
          <t>Global Monster Damage-Taken Bonus %</t>
        </is>
      </c>
      <c r="B2955">
        <f>IF(Inputs!$B$3&gt;=82,15,0)+((C2930=TRUE)*F2930*IF(AND(Inputs!$B$39&lt;&gt;"pvp",Inputs!$B$44&gt;0),(((R2930-1)*(Skills!Y16*(1+Inputs!$B$34/100))+MIN((Skills!Y16*(1+Inputs!$B$34/100)),MAX(0,Inputs!$B$44-((R2930-1)*Skills!D16))))/Inputs!$B$44),IF(Inputs!$B$39="pvp",MIN((Skills!Y16*(1+Inputs!$B$34/100)),15)/15,(Skills!Y16*(1+Inputs!$B$34/100))/Skills!D16)))</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Skills!Y16*(1+Inputs!$B$34/100))+MIN((Skills!Y16*(1+Inputs!$B$34/100)),MAX(0,Inputs!$B$44-((R2930-1)*Skills!D16))))/Inputs!$B$44),IF(Inputs!$B$39="pvp",MIN((Skills!Y16*(1+Inputs!$B$34/100)),15)/15,(Skills!Y16*(1+Inputs!$B$34/100))/Skills!D16))</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IFERROR(1/IF(Inputs!$B$39="pvp",15,MAX(0.1,Skills!D3-IF(Skills!E3=TRUE,Inputs!$B$32,0))),0)</f>
        <v/>
      </c>
      <c r="R2966">
        <f>IF(AND(Inputs!$B$39&lt;&gt;"pvp",Inputs!$B$44&gt;0),IF(MAX(0,Inputs!$B$44-B3008)&lt;=0,0,(INT(MAX(0,Inputs!$B$44-B3008)/IF(Inputs!$B$39="pvp",15,MAX(0.1,Skills!D3-IF(Skills!E3=TRUE,Inputs!$B$32,0))))+1)),0)</f>
        <v/>
      </c>
      <c r="S2966">
        <f>IFERROR(O2966/N2966,0)</f>
        <v/>
      </c>
      <c r="T2966">
        <f>IF(C2966,(H2966*N2966*IF(AND(Inputs!$B$39&lt;&gt;"pvp",Inputs!$B$44&gt;0),((Skills!G3*((R2966-1)*IF(Skills!H3&gt;0,Skills!I3/Skills!H3,1)+IF(Skills!H3&gt;0,MIN(Skills!I3,MAX(0,MAX(0,Inputs!$B$44-B3008)-((R2966-1)*IF(Inputs!$B$39="pvp",15,MAX(0.1,Skills!D3-IF(Skills!E3=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Skills!E3=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Inputs!$B$3&gt;=40</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IFERROR(1/IF(Inputs!$B$39="pvp",15,MAX(0.1,Skills!D4-IF(Skills!E4=TRUE,Inputs!$B$32,0))),0)</f>
        <v/>
      </c>
      <c r="R2967">
        <f>IF(AND(Inputs!$B$39&lt;&gt;"pvp",Inputs!$B$44&gt;0),IF(MAX(0,Inputs!$B$44-B3008)&lt;=0,0,(INT(MAX(0,Inputs!$B$44-B3008)/IF(Inputs!$B$39="pvp",15,MAX(0.1,Skills!D4-IF(Skills!E4=TRUE,Inputs!$B$32,0))))+1)),0)</f>
        <v/>
      </c>
      <c r="S2967">
        <f>IFERROR(O2967/N2967,0)</f>
        <v/>
      </c>
      <c r="T2967">
        <f>IF(C2967,(H2967*N2967*IF(AND(Inputs!$B$39&lt;&gt;"pvp",Inputs!$B$44&gt;0),((Skills!G4*((R2967-1)*IF(Skills!H4&gt;0,Skills!I4/Skills!H4,1)+IF(Skills!H4&gt;0,MIN(Skills!I4,MAX(0,MAX(0,Inputs!$B$44-B3008)-((R2967-1)*IF(Inputs!$B$39="pvp",15,MAX(0.1,Skills!D4-IF(Skills!E4=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Skills!E4=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IFERROR(1/IF(Inputs!$B$39="pvp",15,MAX(0.1,Skills!D5-IF(Skills!E5=TRUE,Inputs!$B$32,0))),0)</f>
        <v/>
      </c>
      <c r="R2968">
        <f>IF(AND(Inputs!$B$39&lt;&gt;"pvp",Inputs!$B$44&gt;0),IF(MAX(0,Inputs!$B$44-B3008)&lt;=0,0,(INT(MAX(0,Inputs!$B$44-B3008)/IF(Inputs!$B$39="pvp",15,MAX(0.1,Skills!D5-IF(Skills!E5=TRUE,Inputs!$B$32,0))))+1)),0)</f>
        <v/>
      </c>
      <c r="S2968">
        <f>IFERROR(O2968/N2968,0)</f>
        <v/>
      </c>
      <c r="T2968">
        <f>IF(C2968,(H2968*N2968*IF(AND(Inputs!$B$39&lt;&gt;"pvp",Inputs!$B$44&gt;0),((Skills!G5*((R2968-1)*IF(Skills!H5&gt;0,Skills!I5/Skills!H5,1)+IF(Skills!H5&gt;0,MIN(Skills!I5,MAX(0,MAX(0,Inputs!$B$44-B3008)-((R2968-1)*IF(Inputs!$B$39="pvp",15,MAX(0.1,Skills!D5-IF(Skills!E5=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Skills!E5=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IFERROR(1/IF(Inputs!$B$39="pvp",15,MAX(0.1,Skills!D8-IF(Skills!E8=TRUE,Inputs!$B$32,0))),0)</f>
        <v/>
      </c>
      <c r="R2971">
        <f>IF(AND(Inputs!$B$39&lt;&gt;"pvp",Inputs!$B$44&gt;0),IF(MAX(0,Inputs!$B$44-B3008)&lt;=0,0,(INT(MAX(0,Inputs!$B$44-B3008)/IF(Inputs!$B$39="pvp",15,MAX(0.1,Skills!D8-IF(Skills!E8=TRUE,Inputs!$B$32,0))))+1)),0)</f>
        <v/>
      </c>
      <c r="S2971">
        <f>IFERROR(O2971/N2971,0)</f>
        <v/>
      </c>
      <c r="T2971">
        <f>IF(C2971,(H2971*N2971*IF(AND(Inputs!$B$39&lt;&gt;"pvp",Inputs!$B$44&gt;0),((Skills!G8*((R2971-1)*IF(Skills!H8&gt;0,Skills!I8/Skills!H8,1)+IF(Skills!H8&gt;0,MIN(Skills!I8,MAX(0,MAX(0,Inputs!$B$44-B3008)-((R2971-1)*IF(Inputs!$B$39="pvp",15,MAX(0.1,Skills!D8-IF(Skills!E8=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Skills!E8=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Inputs!$B$3&gt;=72</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IFERROR(1/IF(Inputs!$B$39="pvp",15,MAX(0.1,Skills!D9-IF(Skills!E9=TRUE,Inputs!$B$32,0))),0)</f>
        <v/>
      </c>
      <c r="R2972">
        <f>IF(AND(Inputs!$B$39&lt;&gt;"pvp",Inputs!$B$44&gt;0),IF(MAX(0,Inputs!$B$44-B3008)&lt;=0,0,(INT(MAX(0,Inputs!$B$44-B3008)/IF(Inputs!$B$39="pvp",15,MAX(0.1,Skills!D9-IF(Skills!E9=TRUE,Inputs!$B$32,0))))+1)),0)</f>
        <v/>
      </c>
      <c r="S2972">
        <f>IFERROR(O2972/N2972,0)</f>
        <v/>
      </c>
      <c r="T2972">
        <f>IF(C2972,(H2972*N2972*IF(AND(Inputs!$B$39&lt;&gt;"pvp",Inputs!$B$44&gt;0),((Skills!G9*((R2972-1)*IF(Skills!H9&gt;0,Skills!I9/Skills!H9,1)+IF(Skills!H9&gt;0,MIN(Skills!I9,MAX(0,MAX(0,Inputs!$B$44-B3008)-((R2972-1)*IF(Inputs!$B$39="pvp",15,MAX(0.1,Skills!D9-IF(Skills!E9=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Skills!E9=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IFERROR(1/IF(Inputs!$B$39="pvp",15,MAX(0.1,Skills!D12-IF(Skills!E12=TRUE,Inputs!$B$32,0))),0)</f>
        <v/>
      </c>
      <c r="R2975">
        <f>IF(AND(Inputs!$B$39&lt;&gt;"pvp",Inputs!$B$44&gt;0),IF(MAX(0,Inputs!$B$44-B3008)&lt;=0,0,(INT(MAX(0,Inputs!$B$44-B3008)/IF(Inputs!$B$39="pvp",15,MAX(0.1,Skills!D12-IF(Skills!E12=TRUE,Inputs!$B$32,0))))+1)),0)</f>
        <v/>
      </c>
      <c r="S2975">
        <f>IFERROR(O2975/N2975,0)</f>
        <v/>
      </c>
      <c r="T2975">
        <f>IF(C2975,(H2975*N2975*IF(AND(Inputs!$B$39&lt;&gt;"pvp",Inputs!$B$44&gt;0),((Skills!G12*((R2975-1)*IF(Skills!H12&gt;0,Skills!I12/Skills!H12,1)+IF(Skills!H12&gt;0,MIN(Skills!I12,MAX(0,MAX(0,Inputs!$B$44-B3008)-((R2975-1)*IF(Inputs!$B$39="pvp",15,MAX(0.1,Skills!D12-IF(Skills!E12=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Skills!E12=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IFERROR(1/IF(Inputs!$B$39="pvp",15,MAX(0.1,Skills!D13-IF(Skills!E13=TRUE,Inputs!$B$32,0))),0)</f>
        <v/>
      </c>
      <c r="R2976">
        <f>IF(AND(Inputs!$B$39&lt;&gt;"pvp",Inputs!$B$44&gt;0),IF(MAX(0,Inputs!$B$44-B3008)&lt;=0,0,(INT(MAX(0,Inputs!$B$44-B3008)/IF(Inputs!$B$39="pvp",15,MAX(0.1,Skills!D13-IF(Skills!E13=TRUE,Inputs!$B$32,0))))+1)),0)</f>
        <v/>
      </c>
      <c r="S2976">
        <f>IFERROR(O2976/N2976,0)</f>
        <v/>
      </c>
      <c r="T2976">
        <f>IF(C2976,(H2976*N2976*IF(AND(Inputs!$B$39&lt;&gt;"pvp",Inputs!$B$44&gt;0),((Skills!G13*((R2976-1)*IF(Skills!H13&gt;0,Skills!I13/Skills!H13,1)+IF(Skills!H13&gt;0,MIN(Skills!I13,MAX(0,MAX(0,Inputs!$B$44-B3008)-((R2976-1)*IF(Inputs!$B$39="pvp",15,MAX(0.1,Skills!D13-IF(Skills!E13=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Skills!E13=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IFERROR(1/IF(Inputs!$B$39="pvp",15,MAX(0.1,Skills!D14-IF(Skills!E14=TRUE,Inputs!$B$32,0))),0)</f>
        <v/>
      </c>
      <c r="R2977">
        <f>IF(AND(Inputs!$B$39&lt;&gt;"pvp",Inputs!$B$44&gt;0),IF(MAX(0,Inputs!$B$44-B3008)&lt;=0,0,(INT(MAX(0,Inputs!$B$44-B3008)/IF(Inputs!$B$39="pvp",15,MAX(0.1,Skills!D14-IF(Skills!E14=TRUE,Inputs!$B$32,0))))+1)),0)</f>
        <v/>
      </c>
      <c r="S2977">
        <f>IFERROR(O2977/N2977,0)</f>
        <v/>
      </c>
      <c r="T2977">
        <f>IF(C2977,(H2977*N2977*IF(AND(Inputs!$B$39&lt;&gt;"pvp",Inputs!$B$44&gt;0),((Skills!G14*((R2977-1)*IF(Skills!H14&gt;0,Skills!I14/Skills!H14,1)+IF(Skills!H14&gt;0,MIN(Skills!I14,MAX(0,MAX(0,Inputs!$B$44-B3008)-((R2977-1)*IF(Inputs!$B$39="pvp",15,MAX(0.1,Skills!D14-IF(Skills!E14=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Skills!E14=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IFERROR(1/IF(Inputs!$B$39="pvp",15,MAX(0.1,Skills!D15-IF(Skills!E15=TRUE,Inputs!$B$32,0))),0)</f>
        <v/>
      </c>
      <c r="R2978">
        <f>IF(AND(Inputs!$B$39&lt;&gt;"pvp",Inputs!$B$44&gt;0),IF(Inputs!$B$44&lt;=0,0,(INT(Inputs!$B$44/IF(Inputs!$B$39="pvp",15,MAX(0.1,Skills!D15-IF(Skills!E15=TRUE,Inputs!$B$32,0))))+1)),0)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IFERROR(1/IF(Inputs!$B$39="pvp",15,MAX(0.1,Skills!D16-IF(Skills!E16=TRUE,Inputs!$B$32,0))),0)</f>
        <v/>
      </c>
      <c r="R2979">
        <f>IF(AND(Inputs!$B$39&lt;&gt;"pvp",Inputs!$B$44&gt;0),IF(Inputs!$B$44&lt;=0,0,(INT(Inputs!$B$44/IF(Inputs!$B$39="pvp",15,MAX(0.1,Skills!D16-IF(Skills!E16=TRUE,Inputs!$B$32,0))))+1)),0)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IFERROR(1/IF(Inputs!$B$39="pvp",15,MAX(0.1,Skills!D19-IF(Skills!E19=TRUE,Inputs!$B$32,0))),0)</f>
        <v/>
      </c>
      <c r="R2982">
        <f>IF(AND(Inputs!$B$39&lt;&gt;"pvp",Inputs!$B$44&gt;0),IF(Inputs!$B$44&lt;=0,0,(INT(Inputs!$B$44/IF(Inputs!$B$39="pvp",15,MAX(0.1,Skills!D19-IF(Skills!E19=TRUE,Inputs!$B$32,0))))+1)),0)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IFERROR(1/IF(Inputs!$B$39="pvp",15,MAX(0.1,Skills!D20-IF(Skills!E20=TRUE,Inputs!$B$32,0))),0)</f>
        <v/>
      </c>
      <c r="R2983">
        <f>IF(AND(Inputs!$B$39&lt;&gt;"pvp",Inputs!$B$44&gt;0),IF(Inputs!$B$44&lt;=0,0,(INT(Inputs!$B$44/IF(Inputs!$B$39="pvp",15,MAX(0.1,Skills!D20-IF(Skills!E20=TRUE,Inputs!$B$32,0))))+1)),0)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IFERROR(1/IF(Inputs!$B$39="pvp",15,MAX(0.1,Skills!D21-IF(Skills!E21=TRUE,Inputs!$B$32,0))),0)</f>
        <v/>
      </c>
      <c r="R2984">
        <f>IF(AND(Inputs!$B$39&lt;&gt;"pvp",Inputs!$B$44&gt;0),IF(Inputs!$B$44&lt;=0,0,(INT(Inputs!$B$44/IF(Inputs!$B$39="pvp",15,MAX(0.1,Skills!D21-IF(Skills!E21=TRUE,Inputs!$B$32,0))))+1)),0)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Skills!Y19*(1+Inputs!$B$34/100))+MIN((Skills!Y19*(1+Inputs!$B$34/100)),MAX(0,Inputs!$B$44-((R2982-1)*Skills!D19))))/Inputs!$B$44),IF(Inputs!$B$39="pvp",MIN((Skills!Y19*(1+Inputs!$B$34/100)),15)/15,(Skills!Y19*(1+Inputs!$B$34/100))/Skills!D19)))/150)))/100</f>
        <v/>
      </c>
    </row>
    <row r="2997">
      <c r="A2997" t="inlineStr">
        <is>
          <t>Alchemic Adrenaline Uptime</t>
        </is>
      </c>
      <c r="B2997">
        <f>(Skills!Y6*(1+Inputs!$B$34/100))/((Skills!Y6*(1+Inputs!$B$34/100))+(5/B2996))</f>
        <v/>
      </c>
    </row>
    <row r="2998">
      <c r="A2998" t="inlineStr">
        <is>
          <t>Attack Speed Buff Bonus %</t>
        </is>
      </c>
      <c r="B2998">
        <f>((C2982=TRUE)*F2982*IF(AND(Inputs!$B$39&lt;&gt;"pvp",Inputs!$B$44&gt;0),(((R2982-1)*(Skills!Y19*(1+Inputs!$B$34/100))+MIN((Skills!Y19*(1+Inputs!$B$34/100)),MAX(0,Inputs!$B$44-((R2982-1)*Skills!D19))))/Inputs!$B$44),IF(Inputs!$B$39="pvp",MIN((Skills!Y19*(1+Inputs!$B$34/100)),15)/15,(Skills!Y19*(1+Inputs!$B$34/100))/Skills!D19)))+((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f>
        <v/>
      </c>
    </row>
    <row r="3003">
      <c r="A3003" t="inlineStr">
        <is>
          <t>Global Crit Rate Bonus %</t>
        </is>
      </c>
      <c r="B3003">
        <f>IF(Inputs!$B$3&gt;=47,8,0)+((C2983=TRUE)*F2983*IF(AND(Inputs!$B$39&lt;&gt;"pvp",Inputs!$B$44&gt;0),(((R2983-1)*(Skills!Y20*(1+Inputs!$B$34/100))+MIN((Skills!Y20*(1+Inputs!$B$34/100)),MAX(0,Inputs!$B$44-((R2983-1)*Skills!D20))))/Inputs!$B$44),IF(Inputs!$B$39="pvp",MIN((Skills!Y20*(1+Inputs!$B$34/100)),15)/15,(Skills!Y20*(1+Inputs!$B$34/100))/Skills!D20)))</f>
        <v/>
      </c>
    </row>
    <row r="3004">
      <c r="A3004" t="inlineStr">
        <is>
          <t>Global Monster Damage-Taken Bonus %</t>
        </is>
      </c>
      <c r="B3004">
        <f>IF(Inputs!$B$3&gt;=82,15,0)+((C2979=TRUE)*F2979*IF(AND(Inputs!$B$39&lt;&gt;"pvp",Inputs!$B$44&gt;0),(((R2979-1)*(Skills!Y16*(1+Inputs!$B$34/100))+MIN((Skills!Y16*(1+Inputs!$B$34/100)),MAX(0,Inputs!$B$44-((R2979-1)*Skills!D16))))/Inputs!$B$44),IF(Inputs!$B$39="pvp",MIN((Skills!Y16*(1+Inputs!$B$34/100)),15)/15,(Skills!Y16*(1+Inputs!$B$34/100))/Skills!D16)))</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Skills!Y16*(1+Inputs!$B$34/100))+MIN((Skills!Y16*(1+Inputs!$B$34/100)),MAX(0,Inputs!$B$44-((R2979-1)*Skills!D16))))/Inputs!$B$44),IF(Inputs!$B$39="pvp",MIN((Skills!Y16*(1+Inputs!$B$34/100)),15)/15,(Skills!Y16*(1+Inputs!$B$34/100))/Skills!D16))</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IFERROR(1/IF(Inputs!$B$39="pvp",15,MAX(0.1,Skills!D3-IF(Skills!E3=TRUE,Inputs!$B$32,0))),0)</f>
        <v/>
      </c>
      <c r="R3015">
        <f>IF(AND(Inputs!$B$39&lt;&gt;"pvp",Inputs!$B$44&gt;0),IF(MAX(0,Inputs!$B$44-B3057)&lt;=0,0,(INT(MAX(0,Inputs!$B$44-B3057)/IF(Inputs!$B$39="pvp",15,MAX(0.1,Skills!D3-IF(Skills!E3=TRUE,Inputs!$B$32,0))))+1)),0)</f>
        <v/>
      </c>
      <c r="S3015">
        <f>IFERROR(O3015/N3015,0)</f>
        <v/>
      </c>
      <c r="T3015">
        <f>IF(C3015,(H3015*N3015*IF(AND(Inputs!$B$39&lt;&gt;"pvp",Inputs!$B$44&gt;0),((Skills!G3*((R3015-1)*IF(Skills!H3&gt;0,Skills!I3/Skills!H3,1)+IF(Skills!H3&gt;0,MIN(Skills!I3,MAX(0,MAX(0,Inputs!$B$44-B3057)-((R3015-1)*IF(Inputs!$B$39="pvp",15,MAX(0.1,Skills!D3-IF(Skills!E3=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Skills!E3=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Inputs!$B$3&gt;=40</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IFERROR(1/IF(Inputs!$B$39="pvp",15,MAX(0.1,Skills!D4-IF(Skills!E4=TRUE,Inputs!$B$32,0))),0)</f>
        <v/>
      </c>
      <c r="R3016">
        <f>IF(AND(Inputs!$B$39&lt;&gt;"pvp",Inputs!$B$44&gt;0),IF(MAX(0,Inputs!$B$44-B3057)&lt;=0,0,(INT(MAX(0,Inputs!$B$44-B3057)/IF(Inputs!$B$39="pvp",15,MAX(0.1,Skills!D4-IF(Skills!E4=TRUE,Inputs!$B$32,0))))+1)),0)</f>
        <v/>
      </c>
      <c r="S3016">
        <f>IFERROR(O3016/N3016,0)</f>
        <v/>
      </c>
      <c r="T3016">
        <f>IF(C3016,(H3016*N3016*IF(AND(Inputs!$B$39&lt;&gt;"pvp",Inputs!$B$44&gt;0),((Skills!G4*((R3016-1)*IF(Skills!H4&gt;0,Skills!I4/Skills!H4,1)+IF(Skills!H4&gt;0,MIN(Skills!I4,MAX(0,MAX(0,Inputs!$B$44-B3057)-((R3016-1)*IF(Inputs!$B$39="pvp",15,MAX(0.1,Skills!D4-IF(Skills!E4=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Skills!E4=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IFERROR(1/IF(Inputs!$B$39="pvp",15,MAX(0.1,Skills!D5-IF(Skills!E5=TRUE,Inputs!$B$32,0))),0)</f>
        <v/>
      </c>
      <c r="R3017">
        <f>IF(AND(Inputs!$B$39&lt;&gt;"pvp",Inputs!$B$44&gt;0),IF(MAX(0,Inputs!$B$44-B3057)&lt;=0,0,(INT(MAX(0,Inputs!$B$44-B3057)/IF(Inputs!$B$39="pvp",15,MAX(0.1,Skills!D5-IF(Skills!E5=TRUE,Inputs!$B$32,0))))+1)),0)</f>
        <v/>
      </c>
      <c r="S3017">
        <f>IFERROR(O3017/N3017,0)</f>
        <v/>
      </c>
      <c r="T3017">
        <f>IF(C3017,(H3017*N3017*IF(AND(Inputs!$B$39&lt;&gt;"pvp",Inputs!$B$44&gt;0),((Skills!G5*((R3017-1)*IF(Skills!H5&gt;0,Skills!I5/Skills!H5,1)+IF(Skills!H5&gt;0,MIN(Skills!I5,MAX(0,MAX(0,Inputs!$B$44-B3057)-((R3017-1)*IF(Inputs!$B$39="pvp",15,MAX(0.1,Skills!D5-IF(Skills!E5=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Skills!E5=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IFERROR(1/IF(Inputs!$B$39="pvp",15,MAX(0.1,Skills!D8-IF(Skills!E8=TRUE,Inputs!$B$32,0))),0)</f>
        <v/>
      </c>
      <c r="R3020">
        <f>IF(AND(Inputs!$B$39&lt;&gt;"pvp",Inputs!$B$44&gt;0),IF(MAX(0,Inputs!$B$44-B3057)&lt;=0,0,(INT(MAX(0,Inputs!$B$44-B3057)/IF(Inputs!$B$39="pvp",15,MAX(0.1,Skills!D8-IF(Skills!E8=TRUE,Inputs!$B$32,0))))+1)),0)</f>
        <v/>
      </c>
      <c r="S3020">
        <f>IFERROR(O3020/N3020,0)</f>
        <v/>
      </c>
      <c r="T3020">
        <f>IF(C3020,(H3020*N3020*IF(AND(Inputs!$B$39&lt;&gt;"pvp",Inputs!$B$44&gt;0),((Skills!G8*((R3020-1)*IF(Skills!H8&gt;0,Skills!I8/Skills!H8,1)+IF(Skills!H8&gt;0,MIN(Skills!I8,MAX(0,MAX(0,Inputs!$B$44-B3057)-((R3020-1)*IF(Inputs!$B$39="pvp",15,MAX(0.1,Skills!D8-IF(Skills!E8=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Skills!E8=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Inputs!$B$3&gt;=72</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IFERROR(1/IF(Inputs!$B$39="pvp",15,MAX(0.1,Skills!D9-IF(Skills!E9=TRUE,Inputs!$B$32,0))),0)</f>
        <v/>
      </c>
      <c r="R3021">
        <f>IF(AND(Inputs!$B$39&lt;&gt;"pvp",Inputs!$B$44&gt;0),IF(MAX(0,Inputs!$B$44-B3057)&lt;=0,0,(INT(MAX(0,Inputs!$B$44-B3057)/IF(Inputs!$B$39="pvp",15,MAX(0.1,Skills!D9-IF(Skills!E9=TRUE,Inputs!$B$32,0))))+1)),0)</f>
        <v/>
      </c>
      <c r="S3021">
        <f>IFERROR(O3021/N3021,0)</f>
        <v/>
      </c>
      <c r="T3021">
        <f>IF(C3021,(H3021*N3021*IF(AND(Inputs!$B$39&lt;&gt;"pvp",Inputs!$B$44&gt;0),((Skills!G9*((R3021-1)*IF(Skills!H9&gt;0,Skills!I9/Skills!H9,1)+IF(Skills!H9&gt;0,MIN(Skills!I9,MAX(0,MAX(0,Inputs!$B$44-B3057)-((R3021-1)*IF(Inputs!$B$39="pvp",15,MAX(0.1,Skills!D9-IF(Skills!E9=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Skills!E9=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IFERROR(1/IF(Inputs!$B$39="pvp",15,MAX(0.1,Skills!D12-IF(Skills!E12=TRUE,Inputs!$B$32,0))),0)</f>
        <v/>
      </c>
      <c r="R3024">
        <f>IF(AND(Inputs!$B$39&lt;&gt;"pvp",Inputs!$B$44&gt;0),IF(MAX(0,Inputs!$B$44-B3057)&lt;=0,0,(INT(MAX(0,Inputs!$B$44-B3057)/IF(Inputs!$B$39="pvp",15,MAX(0.1,Skills!D12-IF(Skills!E12=TRUE,Inputs!$B$32,0))))+1)),0)</f>
        <v/>
      </c>
      <c r="S3024">
        <f>IFERROR(O3024/N3024,0)</f>
        <v/>
      </c>
      <c r="T3024">
        <f>IF(C3024,(H3024*N3024*IF(AND(Inputs!$B$39&lt;&gt;"pvp",Inputs!$B$44&gt;0),((Skills!G12*((R3024-1)*IF(Skills!H12&gt;0,Skills!I12/Skills!H12,1)+IF(Skills!H12&gt;0,MIN(Skills!I12,MAX(0,MAX(0,Inputs!$B$44-B3057)-((R3024-1)*IF(Inputs!$B$39="pvp",15,MAX(0.1,Skills!D12-IF(Skills!E12=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Skills!E12=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IFERROR(1/IF(Inputs!$B$39="pvp",15,MAX(0.1,Skills!D13-IF(Skills!E13=TRUE,Inputs!$B$32,0))),0)</f>
        <v/>
      </c>
      <c r="R3025">
        <f>IF(AND(Inputs!$B$39&lt;&gt;"pvp",Inputs!$B$44&gt;0),IF(MAX(0,Inputs!$B$44-B3057)&lt;=0,0,(INT(MAX(0,Inputs!$B$44-B3057)/IF(Inputs!$B$39="pvp",15,MAX(0.1,Skills!D13-IF(Skills!E13=TRUE,Inputs!$B$32,0))))+1)),0)</f>
        <v/>
      </c>
      <c r="S3025">
        <f>IFERROR(O3025/N3025,0)</f>
        <v/>
      </c>
      <c r="T3025">
        <f>IF(C3025,(H3025*N3025*IF(AND(Inputs!$B$39&lt;&gt;"pvp",Inputs!$B$44&gt;0),((Skills!G13*((R3025-1)*IF(Skills!H13&gt;0,Skills!I13/Skills!H13,1)+IF(Skills!H13&gt;0,MIN(Skills!I13,MAX(0,MAX(0,Inputs!$B$44-B3057)-((R3025-1)*IF(Inputs!$B$39="pvp",15,MAX(0.1,Skills!D13-IF(Skills!E13=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Skills!E13=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IFERROR(1/IF(Inputs!$B$39="pvp",15,MAX(0.1,Skills!D14-IF(Skills!E14=TRUE,Inputs!$B$32,0))),0)</f>
        <v/>
      </c>
      <c r="R3026">
        <f>IF(AND(Inputs!$B$39&lt;&gt;"pvp",Inputs!$B$44&gt;0),IF(MAX(0,Inputs!$B$44-B3057)&lt;=0,0,(INT(MAX(0,Inputs!$B$44-B3057)/IF(Inputs!$B$39="pvp",15,MAX(0.1,Skills!D14-IF(Skills!E14=TRUE,Inputs!$B$32,0))))+1)),0)</f>
        <v/>
      </c>
      <c r="S3026">
        <f>IFERROR(O3026/N3026,0)</f>
        <v/>
      </c>
      <c r="T3026">
        <f>IF(C3026,(H3026*N3026*IF(AND(Inputs!$B$39&lt;&gt;"pvp",Inputs!$B$44&gt;0),((Skills!G14*((R3026-1)*IF(Skills!H14&gt;0,Skills!I14/Skills!H14,1)+IF(Skills!H14&gt;0,MIN(Skills!I14,MAX(0,MAX(0,Inputs!$B$44-B3057)-((R3026-1)*IF(Inputs!$B$39="pvp",15,MAX(0.1,Skills!D14-IF(Skills!E14=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Skills!E14=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IFERROR(1/IF(Inputs!$B$39="pvp",15,MAX(0.1,Skills!D15-IF(Skills!E15=TRUE,Inputs!$B$32,0))),0)</f>
        <v/>
      </c>
      <c r="R3027">
        <f>IF(AND(Inputs!$B$39&lt;&gt;"pvp",Inputs!$B$44&gt;0),IF(Inputs!$B$44&lt;=0,0,(INT(Inputs!$B$44/IF(Inputs!$B$39="pvp",15,MAX(0.1,Skills!D15-IF(Skills!E15=TRUE,Inputs!$B$32,0))))+1)),0)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IFERROR(1/IF(Inputs!$B$39="pvp",15,MAX(0.1,Skills!D16-IF(Skills!E16=TRUE,Inputs!$B$32,0))),0)</f>
        <v/>
      </c>
      <c r="R3028">
        <f>IF(AND(Inputs!$B$39&lt;&gt;"pvp",Inputs!$B$44&gt;0),IF(Inputs!$B$44&lt;=0,0,(INT(Inputs!$B$44/IF(Inputs!$B$39="pvp",15,MAX(0.1,Skills!D16-IF(Skills!E16=TRUE,Inputs!$B$32,0))))+1)),0)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IFERROR(1/IF(Inputs!$B$39="pvp",15,MAX(0.1,Skills!D19-IF(Skills!E19=TRUE,Inputs!$B$32,0))),0)</f>
        <v/>
      </c>
      <c r="R3031">
        <f>IF(AND(Inputs!$B$39&lt;&gt;"pvp",Inputs!$B$44&gt;0),IF(Inputs!$B$44&lt;=0,0,(INT(Inputs!$B$44/IF(Inputs!$B$39="pvp",15,MAX(0.1,Skills!D19-IF(Skills!E19=TRUE,Inputs!$B$32,0))))+1)),0)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IFERROR(1/IF(Inputs!$B$39="pvp",15,MAX(0.1,Skills!D20-IF(Skills!E20=TRUE,Inputs!$B$32,0))),0)</f>
        <v/>
      </c>
      <c r="R3032">
        <f>IF(AND(Inputs!$B$39&lt;&gt;"pvp",Inputs!$B$44&gt;0),IF(Inputs!$B$44&lt;=0,0,(INT(Inputs!$B$44/IF(Inputs!$B$39="pvp",15,MAX(0.1,Skills!D20-IF(Skills!E20=TRUE,Inputs!$B$32,0))))+1)),0)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IFERROR(1/IF(Inputs!$B$39="pvp",15,MAX(0.1,Skills!D21-IF(Skills!E21=TRUE,Inputs!$B$32,0))),0)</f>
        <v/>
      </c>
      <c r="R3033">
        <f>IF(AND(Inputs!$B$39&lt;&gt;"pvp",Inputs!$B$44&gt;0),IF(Inputs!$B$44&lt;=0,0,(INT(Inputs!$B$44/IF(Inputs!$B$39="pvp",15,MAX(0.1,Skills!D21-IF(Skills!E21=TRUE,Inputs!$B$32,0))))+1)),0)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Skills!Y19*(1+Inputs!$B$34/100))+MIN((Skills!Y19*(1+Inputs!$B$34/100)),MAX(0,Inputs!$B$44-((R3031-1)*Skills!D19))))/Inputs!$B$44),IF(Inputs!$B$39="pvp",MIN((Skills!Y19*(1+Inputs!$B$34/100)),15)/15,(Skills!Y19*(1+Inputs!$B$34/100))/Skills!D19)))/150)))/100</f>
        <v/>
      </c>
    </row>
    <row r="3046">
      <c r="A3046" t="inlineStr">
        <is>
          <t>Alchemic Adrenaline Uptime</t>
        </is>
      </c>
      <c r="B3046">
        <f>(Skills!Y6*(1+Inputs!$B$34/100))/((Skills!Y6*(1+Inputs!$B$34/100))+(5/B3045))</f>
        <v/>
      </c>
    </row>
    <row r="3047">
      <c r="A3047" t="inlineStr">
        <is>
          <t>Attack Speed Buff Bonus %</t>
        </is>
      </c>
      <c r="B3047">
        <f>((C3031=TRUE)*F3031*IF(AND(Inputs!$B$39&lt;&gt;"pvp",Inputs!$B$44&gt;0),(((R3031-1)*(Skills!Y19*(1+Inputs!$B$34/100))+MIN((Skills!Y19*(1+Inputs!$B$34/100)),MAX(0,Inputs!$B$44-((R3031-1)*Skills!D19))))/Inputs!$B$44),IF(Inputs!$B$39="pvp",MIN((Skills!Y19*(1+Inputs!$B$34/100)),15)/15,(Skills!Y19*(1+Inputs!$B$34/100))/Skills!D19)))+((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f>
        <v/>
      </c>
    </row>
    <row r="3052">
      <c r="A3052" t="inlineStr">
        <is>
          <t>Global Crit Rate Bonus %</t>
        </is>
      </c>
      <c r="B3052">
        <f>IF(Inputs!$B$3&gt;=47,8,0)+((C3032=TRUE)*F3032*IF(AND(Inputs!$B$39&lt;&gt;"pvp",Inputs!$B$44&gt;0),(((R3032-1)*(Skills!Y20*(1+Inputs!$B$34/100))+MIN((Skills!Y20*(1+Inputs!$B$34/100)),MAX(0,Inputs!$B$44-((R3032-1)*Skills!D20))))/Inputs!$B$44),IF(Inputs!$B$39="pvp",MIN((Skills!Y20*(1+Inputs!$B$34/100)),15)/15,(Skills!Y20*(1+Inputs!$B$34/100))/Skills!D20)))</f>
        <v/>
      </c>
    </row>
    <row r="3053">
      <c r="A3053" t="inlineStr">
        <is>
          <t>Global Monster Damage-Taken Bonus %</t>
        </is>
      </c>
      <c r="B3053">
        <f>IF(Inputs!$B$3&gt;=82,15,0)+((C3028=TRUE)*F3028*IF(AND(Inputs!$B$39&lt;&gt;"pvp",Inputs!$B$44&gt;0),(((R3028-1)*(Skills!Y16*(1+Inputs!$B$34/100))+MIN((Skills!Y16*(1+Inputs!$B$34/100)),MAX(0,Inputs!$B$44-((R3028-1)*Skills!D16))))/Inputs!$B$44),IF(Inputs!$B$39="pvp",MIN((Skills!Y16*(1+Inputs!$B$34/100)),15)/15,(Skills!Y16*(1+Inputs!$B$34/100))/Skills!D16)))</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Skills!Y16*(1+Inputs!$B$34/100))+MIN((Skills!Y16*(1+Inputs!$B$34/100)),MAX(0,Inputs!$B$44-((R3028-1)*Skills!D16))))/Inputs!$B$44),IF(Inputs!$B$39="pvp",MIN((Skills!Y16*(1+Inputs!$B$34/100)),15)/15,(Skills!Y16*(1+Inputs!$B$34/100))/Skills!D16))</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IFERROR(1/IF(Inputs!$B$39="pvp",15,MAX(0.1,Skills!D3-IF(Skills!E3=TRUE,Inputs!$B$32,0))),0)</f>
        <v/>
      </c>
      <c r="R3064">
        <f>IF(AND(Inputs!$B$39&lt;&gt;"pvp",Inputs!$B$44&gt;0),IF(MAX(0,Inputs!$B$44-B3106)&lt;=0,0,(INT(MAX(0,Inputs!$B$44-B3106)/IF(Inputs!$B$39="pvp",15,MAX(0.1,Skills!D3-IF(Skills!E3=TRUE,Inputs!$B$32,0))))+1)),0)</f>
        <v/>
      </c>
      <c r="S3064">
        <f>IFERROR(O3064/N3064,0)</f>
        <v/>
      </c>
      <c r="T3064">
        <f>IF(C3064,(H3064*N3064*IF(AND(Inputs!$B$39&lt;&gt;"pvp",Inputs!$B$44&gt;0),((Skills!G3*((R3064-1)*IF(Skills!H3&gt;0,Skills!I3/Skills!H3,1)+IF(Skills!H3&gt;0,MIN(Skills!I3,MAX(0,MAX(0,Inputs!$B$44-B3106)-((R3064-1)*IF(Inputs!$B$39="pvp",15,MAX(0.1,Skills!D3-IF(Skills!E3=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Skills!E3=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Inputs!$B$3&gt;=40</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IFERROR(1/IF(Inputs!$B$39="pvp",15,MAX(0.1,Skills!D4-IF(Skills!E4=TRUE,Inputs!$B$32,0))),0)</f>
        <v/>
      </c>
      <c r="R3065">
        <f>IF(AND(Inputs!$B$39&lt;&gt;"pvp",Inputs!$B$44&gt;0),IF(MAX(0,Inputs!$B$44-B3106)&lt;=0,0,(INT(MAX(0,Inputs!$B$44-B3106)/IF(Inputs!$B$39="pvp",15,MAX(0.1,Skills!D4-IF(Skills!E4=TRUE,Inputs!$B$32,0))))+1)),0)</f>
        <v/>
      </c>
      <c r="S3065">
        <f>IFERROR(O3065/N3065,0)</f>
        <v/>
      </c>
      <c r="T3065">
        <f>IF(C3065,(H3065*N3065*IF(AND(Inputs!$B$39&lt;&gt;"pvp",Inputs!$B$44&gt;0),((Skills!G4*((R3065-1)*IF(Skills!H4&gt;0,Skills!I4/Skills!H4,1)+IF(Skills!H4&gt;0,MIN(Skills!I4,MAX(0,MAX(0,Inputs!$B$44-B3106)-((R3065-1)*IF(Inputs!$B$39="pvp",15,MAX(0.1,Skills!D4-IF(Skills!E4=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Skills!E4=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IFERROR(1/IF(Inputs!$B$39="pvp",15,MAX(0.1,Skills!D5-IF(Skills!E5=TRUE,Inputs!$B$32,0))),0)</f>
        <v/>
      </c>
      <c r="R3066">
        <f>IF(AND(Inputs!$B$39&lt;&gt;"pvp",Inputs!$B$44&gt;0),IF(MAX(0,Inputs!$B$44-B3106)&lt;=0,0,(INT(MAX(0,Inputs!$B$44-B3106)/IF(Inputs!$B$39="pvp",15,MAX(0.1,Skills!D5-IF(Skills!E5=TRUE,Inputs!$B$32,0))))+1)),0)</f>
        <v/>
      </c>
      <c r="S3066">
        <f>IFERROR(O3066/N3066,0)</f>
        <v/>
      </c>
      <c r="T3066">
        <f>IF(C3066,(H3066*N3066*IF(AND(Inputs!$B$39&lt;&gt;"pvp",Inputs!$B$44&gt;0),((Skills!G5*((R3066-1)*IF(Skills!H5&gt;0,Skills!I5/Skills!H5,1)+IF(Skills!H5&gt;0,MIN(Skills!I5,MAX(0,MAX(0,Inputs!$B$44-B3106)-((R3066-1)*IF(Inputs!$B$39="pvp",15,MAX(0.1,Skills!D5-IF(Skills!E5=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Skills!E5=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IFERROR(1/IF(Inputs!$B$39="pvp",15,MAX(0.1,Skills!D8-IF(Skills!E8=TRUE,Inputs!$B$32,0))),0)</f>
        <v/>
      </c>
      <c r="R3069">
        <f>IF(AND(Inputs!$B$39&lt;&gt;"pvp",Inputs!$B$44&gt;0),IF(MAX(0,Inputs!$B$44-B3106)&lt;=0,0,(INT(MAX(0,Inputs!$B$44-B3106)/IF(Inputs!$B$39="pvp",15,MAX(0.1,Skills!D8-IF(Skills!E8=TRUE,Inputs!$B$32,0))))+1)),0)</f>
        <v/>
      </c>
      <c r="S3069">
        <f>IFERROR(O3069/N3069,0)</f>
        <v/>
      </c>
      <c r="T3069">
        <f>IF(C3069,(H3069*N3069*IF(AND(Inputs!$B$39&lt;&gt;"pvp",Inputs!$B$44&gt;0),((Skills!G8*((R3069-1)*IF(Skills!H8&gt;0,Skills!I8/Skills!H8,1)+IF(Skills!H8&gt;0,MIN(Skills!I8,MAX(0,MAX(0,Inputs!$B$44-B3106)-((R3069-1)*IF(Inputs!$B$39="pvp",15,MAX(0.1,Skills!D8-IF(Skills!E8=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Skills!E8=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Inputs!$B$3&gt;=72</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IFERROR(1/IF(Inputs!$B$39="pvp",15,MAX(0.1,Skills!D9-IF(Skills!E9=TRUE,Inputs!$B$32,0))),0)</f>
        <v/>
      </c>
      <c r="R3070">
        <f>IF(AND(Inputs!$B$39&lt;&gt;"pvp",Inputs!$B$44&gt;0),IF(MAX(0,Inputs!$B$44-B3106)&lt;=0,0,(INT(MAX(0,Inputs!$B$44-B3106)/IF(Inputs!$B$39="pvp",15,MAX(0.1,Skills!D9-IF(Skills!E9=TRUE,Inputs!$B$32,0))))+1)),0)</f>
        <v/>
      </c>
      <c r="S3070">
        <f>IFERROR(O3070/N3070,0)</f>
        <v/>
      </c>
      <c r="T3070">
        <f>IF(C3070,(H3070*N3070*IF(AND(Inputs!$B$39&lt;&gt;"pvp",Inputs!$B$44&gt;0),((Skills!G9*((R3070-1)*IF(Skills!H9&gt;0,Skills!I9/Skills!H9,1)+IF(Skills!H9&gt;0,MIN(Skills!I9,MAX(0,MAX(0,Inputs!$B$44-B3106)-((R3070-1)*IF(Inputs!$B$39="pvp",15,MAX(0.1,Skills!D9-IF(Skills!E9=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Skills!E9=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IFERROR(1/IF(Inputs!$B$39="pvp",15,MAX(0.1,Skills!D12-IF(Skills!E12=TRUE,Inputs!$B$32,0))),0)</f>
        <v/>
      </c>
      <c r="R3073">
        <f>IF(AND(Inputs!$B$39&lt;&gt;"pvp",Inputs!$B$44&gt;0),IF(MAX(0,Inputs!$B$44-B3106)&lt;=0,0,(INT(MAX(0,Inputs!$B$44-B3106)/IF(Inputs!$B$39="pvp",15,MAX(0.1,Skills!D12-IF(Skills!E12=TRUE,Inputs!$B$32,0))))+1)),0)</f>
        <v/>
      </c>
      <c r="S3073">
        <f>IFERROR(O3073/N3073,0)</f>
        <v/>
      </c>
      <c r="T3073">
        <f>IF(C3073,(H3073*N3073*IF(AND(Inputs!$B$39&lt;&gt;"pvp",Inputs!$B$44&gt;0),((Skills!G12*((R3073-1)*IF(Skills!H12&gt;0,Skills!I12/Skills!H12,1)+IF(Skills!H12&gt;0,MIN(Skills!I12,MAX(0,MAX(0,Inputs!$B$44-B3106)-((R3073-1)*IF(Inputs!$B$39="pvp",15,MAX(0.1,Skills!D12-IF(Skills!E12=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Skills!E12=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IFERROR(1/IF(Inputs!$B$39="pvp",15,MAX(0.1,Skills!D13-IF(Skills!E13=TRUE,Inputs!$B$32,0))),0)</f>
        <v/>
      </c>
      <c r="R3074">
        <f>IF(AND(Inputs!$B$39&lt;&gt;"pvp",Inputs!$B$44&gt;0),IF(MAX(0,Inputs!$B$44-B3106)&lt;=0,0,(INT(MAX(0,Inputs!$B$44-B3106)/IF(Inputs!$B$39="pvp",15,MAX(0.1,Skills!D13-IF(Skills!E13=TRUE,Inputs!$B$32,0))))+1)),0)</f>
        <v/>
      </c>
      <c r="S3074">
        <f>IFERROR(O3074/N3074,0)</f>
        <v/>
      </c>
      <c r="T3074">
        <f>IF(C3074,(H3074*N3074*IF(AND(Inputs!$B$39&lt;&gt;"pvp",Inputs!$B$44&gt;0),((Skills!G13*((R3074-1)*IF(Skills!H13&gt;0,Skills!I13/Skills!H13,1)+IF(Skills!H13&gt;0,MIN(Skills!I13,MAX(0,MAX(0,Inputs!$B$44-B3106)-((R3074-1)*IF(Inputs!$B$39="pvp",15,MAX(0.1,Skills!D13-IF(Skills!E13=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Skills!E13=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IFERROR(1/IF(Inputs!$B$39="pvp",15,MAX(0.1,Skills!D14-IF(Skills!E14=TRUE,Inputs!$B$32,0))),0)</f>
        <v/>
      </c>
      <c r="R3075">
        <f>IF(AND(Inputs!$B$39&lt;&gt;"pvp",Inputs!$B$44&gt;0),IF(MAX(0,Inputs!$B$44-B3106)&lt;=0,0,(INT(MAX(0,Inputs!$B$44-B3106)/IF(Inputs!$B$39="pvp",15,MAX(0.1,Skills!D14-IF(Skills!E14=TRUE,Inputs!$B$32,0))))+1)),0)</f>
        <v/>
      </c>
      <c r="S3075">
        <f>IFERROR(O3075/N3075,0)</f>
        <v/>
      </c>
      <c r="T3075">
        <f>IF(C3075,(H3075*N3075*IF(AND(Inputs!$B$39&lt;&gt;"pvp",Inputs!$B$44&gt;0),((Skills!G14*((R3075-1)*IF(Skills!H14&gt;0,Skills!I14/Skills!H14,1)+IF(Skills!H14&gt;0,MIN(Skills!I14,MAX(0,MAX(0,Inputs!$B$44-B3106)-((R3075-1)*IF(Inputs!$B$39="pvp",15,MAX(0.1,Skills!D14-IF(Skills!E14=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Skills!E14=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IFERROR(1/IF(Inputs!$B$39="pvp",15,MAX(0.1,Skills!D15-IF(Skills!E15=TRUE,Inputs!$B$32,0))),0)</f>
        <v/>
      </c>
      <c r="R3076">
        <f>IF(AND(Inputs!$B$39&lt;&gt;"pvp",Inputs!$B$44&gt;0),IF(Inputs!$B$44&lt;=0,0,(INT(Inputs!$B$44/IF(Inputs!$B$39="pvp",15,MAX(0.1,Skills!D15-IF(Skills!E15=TRUE,Inputs!$B$32,0))))+1)),0)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IFERROR(1/IF(Inputs!$B$39="pvp",15,MAX(0.1,Skills!D16-IF(Skills!E16=TRUE,Inputs!$B$32,0))),0)</f>
        <v/>
      </c>
      <c r="R3077">
        <f>IF(AND(Inputs!$B$39&lt;&gt;"pvp",Inputs!$B$44&gt;0),IF(Inputs!$B$44&lt;=0,0,(INT(Inputs!$B$44/IF(Inputs!$B$39="pvp",15,MAX(0.1,Skills!D16-IF(Skills!E16=TRUE,Inputs!$B$32,0))))+1)),0)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IFERROR(1/IF(Inputs!$B$39="pvp",15,MAX(0.1,Skills!D19-IF(Skills!E19=TRUE,Inputs!$B$32,0))),0)</f>
        <v/>
      </c>
      <c r="R3080">
        <f>IF(AND(Inputs!$B$39&lt;&gt;"pvp",Inputs!$B$44&gt;0),IF(Inputs!$B$44&lt;=0,0,(INT(Inputs!$B$44/IF(Inputs!$B$39="pvp",15,MAX(0.1,Skills!D19-IF(Skills!E19=TRUE,Inputs!$B$32,0))))+1)),0)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IFERROR(1/IF(Inputs!$B$39="pvp",15,MAX(0.1,Skills!D20-IF(Skills!E20=TRUE,Inputs!$B$32,0))),0)</f>
        <v/>
      </c>
      <c r="R3081">
        <f>IF(AND(Inputs!$B$39&lt;&gt;"pvp",Inputs!$B$44&gt;0),IF(Inputs!$B$44&lt;=0,0,(INT(Inputs!$B$44/IF(Inputs!$B$39="pvp",15,MAX(0.1,Skills!D20-IF(Skills!E20=TRUE,Inputs!$B$32,0))))+1)),0)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IFERROR(1/IF(Inputs!$B$39="pvp",15,MAX(0.1,Skills!D21-IF(Skills!E21=TRUE,Inputs!$B$32,0))),0)</f>
        <v/>
      </c>
      <c r="R3082">
        <f>IF(AND(Inputs!$B$39&lt;&gt;"pvp",Inputs!$B$44&gt;0),IF(Inputs!$B$44&lt;=0,0,(INT(Inputs!$B$44/IF(Inputs!$B$39="pvp",15,MAX(0.1,Skills!D21-IF(Skills!E21=TRUE,Inputs!$B$32,0))))+1)),0)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Skills!Y19*(1+Inputs!$B$34/100))+MIN((Skills!Y19*(1+Inputs!$B$34/100)),MAX(0,Inputs!$B$44-((R3080-1)*Skills!D19))))/Inputs!$B$44),IF(Inputs!$B$39="pvp",MIN((Skills!Y19*(1+Inputs!$B$34/100)),15)/15,(Skills!Y19*(1+Inputs!$B$34/100))/Skills!D19)))/150)))/100</f>
        <v/>
      </c>
    </row>
    <row r="3095">
      <c r="A3095" t="inlineStr">
        <is>
          <t>Alchemic Adrenaline Uptime</t>
        </is>
      </c>
      <c r="B3095">
        <f>(Skills!Y6*(1+Inputs!$B$34/100))/((Skills!Y6*(1+Inputs!$B$34/100))+(5/B3094))</f>
        <v/>
      </c>
    </row>
    <row r="3096">
      <c r="A3096" t="inlineStr">
        <is>
          <t>Attack Speed Buff Bonus %</t>
        </is>
      </c>
      <c r="B3096">
        <f>((C3080=TRUE)*F3080*IF(AND(Inputs!$B$39&lt;&gt;"pvp",Inputs!$B$44&gt;0),(((R3080-1)*(Skills!Y19*(1+Inputs!$B$34/100))+MIN((Skills!Y19*(1+Inputs!$B$34/100)),MAX(0,Inputs!$B$44-((R3080-1)*Skills!D19))))/Inputs!$B$44),IF(Inputs!$B$39="pvp",MIN((Skills!Y19*(1+Inputs!$B$34/100)),15)/15,(Skills!Y19*(1+Inputs!$B$34/100))/Skills!D19)))+((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f>
        <v/>
      </c>
    </row>
    <row r="3101">
      <c r="A3101" t="inlineStr">
        <is>
          <t>Global Crit Rate Bonus %</t>
        </is>
      </c>
      <c r="B3101">
        <f>IF(Inputs!$B$3&gt;=47,8,0)+((C3081=TRUE)*F3081*IF(AND(Inputs!$B$39&lt;&gt;"pvp",Inputs!$B$44&gt;0),(((R3081-1)*(Skills!Y20*(1+Inputs!$B$34/100))+MIN((Skills!Y20*(1+Inputs!$B$34/100)),MAX(0,Inputs!$B$44-((R3081-1)*Skills!D20))))/Inputs!$B$44),IF(Inputs!$B$39="pvp",MIN((Skills!Y20*(1+Inputs!$B$34/100)),15)/15,(Skills!Y20*(1+Inputs!$B$34/100))/Skills!D20)))</f>
        <v/>
      </c>
    </row>
    <row r="3102">
      <c r="A3102" t="inlineStr">
        <is>
          <t>Global Monster Damage-Taken Bonus %</t>
        </is>
      </c>
      <c r="B3102">
        <f>IF(Inputs!$B$3&gt;=82,15,0)+((C3077=TRUE)*F3077*IF(AND(Inputs!$B$39&lt;&gt;"pvp",Inputs!$B$44&gt;0),(((R3077-1)*(Skills!Y16*(1+Inputs!$B$34/100))+MIN((Skills!Y16*(1+Inputs!$B$34/100)),MAX(0,Inputs!$B$44-((R3077-1)*Skills!D16))))/Inputs!$B$44),IF(Inputs!$B$39="pvp",MIN((Skills!Y16*(1+Inputs!$B$34/100)),15)/15,(Skills!Y16*(1+Inputs!$B$34/100))/Skills!D16)))</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Skills!Y16*(1+Inputs!$B$34/100))+MIN((Skills!Y16*(1+Inputs!$B$34/100)),MAX(0,Inputs!$B$44-((R3077-1)*Skills!D16))))/Inputs!$B$44),IF(Inputs!$B$39="pvp",MIN((Skills!Y16*(1+Inputs!$B$34/100)),15)/15,(Skills!Y16*(1+Inputs!$B$34/100))/Skills!D16))</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IFERROR(1/IF(Inputs!$B$39="pvp",15,MAX(0.1,Skills!D3-IF(Skills!E3=TRUE,Inputs!$B$32,0))),0)</f>
        <v/>
      </c>
      <c r="R3113">
        <f>IF(AND(Inputs!$B$39&lt;&gt;"pvp",Inputs!$B$44&gt;0),IF(MAX(0,Inputs!$B$44-B3155)&lt;=0,0,(INT(MAX(0,Inputs!$B$44-B3155)/IF(Inputs!$B$39="pvp",15,MAX(0.1,Skills!D3-IF(Skills!E3=TRUE,Inputs!$B$32,0))))+1)),0)</f>
        <v/>
      </c>
      <c r="S3113">
        <f>IFERROR(O3113/N3113,0)</f>
        <v/>
      </c>
      <c r="T3113">
        <f>IF(C3113,(H3113*N3113*IF(AND(Inputs!$B$39&lt;&gt;"pvp",Inputs!$B$44&gt;0),((Skills!G3*((R3113-1)*IF(Skills!H3&gt;0,Skills!I3/Skills!H3,1)+IF(Skills!H3&gt;0,MIN(Skills!I3,MAX(0,MAX(0,Inputs!$B$44-B3155)-((R3113-1)*IF(Inputs!$B$39="pvp",15,MAX(0.1,Skills!D3-IF(Skills!E3=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Skills!E3=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Inputs!$B$3&gt;=40</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IFERROR(1/IF(Inputs!$B$39="pvp",15,MAX(0.1,Skills!D4-IF(Skills!E4=TRUE,Inputs!$B$32,0))),0)</f>
        <v/>
      </c>
      <c r="R3114">
        <f>IF(AND(Inputs!$B$39&lt;&gt;"pvp",Inputs!$B$44&gt;0),IF(MAX(0,Inputs!$B$44-B3155)&lt;=0,0,(INT(MAX(0,Inputs!$B$44-B3155)/IF(Inputs!$B$39="pvp",15,MAX(0.1,Skills!D4-IF(Skills!E4=TRUE,Inputs!$B$32,0))))+1)),0)</f>
        <v/>
      </c>
      <c r="S3114">
        <f>IFERROR(O3114/N3114,0)</f>
        <v/>
      </c>
      <c r="T3114">
        <f>IF(C3114,(H3114*N3114*IF(AND(Inputs!$B$39&lt;&gt;"pvp",Inputs!$B$44&gt;0),((Skills!G4*((R3114-1)*IF(Skills!H4&gt;0,Skills!I4/Skills!H4,1)+IF(Skills!H4&gt;0,MIN(Skills!I4,MAX(0,MAX(0,Inputs!$B$44-B3155)-((R3114-1)*IF(Inputs!$B$39="pvp",15,MAX(0.1,Skills!D4-IF(Skills!E4=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Skills!E4=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IFERROR(1/IF(Inputs!$B$39="pvp",15,MAX(0.1,Skills!D5-IF(Skills!E5=TRUE,Inputs!$B$32,0))),0)</f>
        <v/>
      </c>
      <c r="R3115">
        <f>IF(AND(Inputs!$B$39&lt;&gt;"pvp",Inputs!$B$44&gt;0),IF(MAX(0,Inputs!$B$44-B3155)&lt;=0,0,(INT(MAX(0,Inputs!$B$44-B3155)/IF(Inputs!$B$39="pvp",15,MAX(0.1,Skills!D5-IF(Skills!E5=TRUE,Inputs!$B$32,0))))+1)),0)</f>
        <v/>
      </c>
      <c r="S3115">
        <f>IFERROR(O3115/N3115,0)</f>
        <v/>
      </c>
      <c r="T3115">
        <f>IF(C3115,(H3115*N3115*IF(AND(Inputs!$B$39&lt;&gt;"pvp",Inputs!$B$44&gt;0),((Skills!G5*((R3115-1)*IF(Skills!H5&gt;0,Skills!I5/Skills!H5,1)+IF(Skills!H5&gt;0,MIN(Skills!I5,MAX(0,MAX(0,Inputs!$B$44-B3155)-((R3115-1)*IF(Inputs!$B$39="pvp",15,MAX(0.1,Skills!D5-IF(Skills!E5=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Skills!E5=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IFERROR(1/IF(Inputs!$B$39="pvp",15,MAX(0.1,Skills!D8-IF(Skills!E8=TRUE,Inputs!$B$32,0))),0)</f>
        <v/>
      </c>
      <c r="R3118">
        <f>IF(AND(Inputs!$B$39&lt;&gt;"pvp",Inputs!$B$44&gt;0),IF(MAX(0,Inputs!$B$44-B3155)&lt;=0,0,(INT(MAX(0,Inputs!$B$44-B3155)/IF(Inputs!$B$39="pvp",15,MAX(0.1,Skills!D8-IF(Skills!E8=TRUE,Inputs!$B$32,0))))+1)),0)</f>
        <v/>
      </c>
      <c r="S3118">
        <f>IFERROR(O3118/N3118,0)</f>
        <v/>
      </c>
      <c r="T3118">
        <f>IF(C3118,(H3118*N3118*IF(AND(Inputs!$B$39&lt;&gt;"pvp",Inputs!$B$44&gt;0),((Skills!G8*((R3118-1)*IF(Skills!H8&gt;0,Skills!I8/Skills!H8,1)+IF(Skills!H8&gt;0,MIN(Skills!I8,MAX(0,MAX(0,Inputs!$B$44-B3155)-((R3118-1)*IF(Inputs!$B$39="pvp",15,MAX(0.1,Skills!D8-IF(Skills!E8=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Skills!E8=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Inputs!$B$3&gt;=72</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IFERROR(1/IF(Inputs!$B$39="pvp",15,MAX(0.1,Skills!D9-IF(Skills!E9=TRUE,Inputs!$B$32,0))),0)</f>
        <v/>
      </c>
      <c r="R3119">
        <f>IF(AND(Inputs!$B$39&lt;&gt;"pvp",Inputs!$B$44&gt;0),IF(MAX(0,Inputs!$B$44-B3155)&lt;=0,0,(INT(MAX(0,Inputs!$B$44-B3155)/IF(Inputs!$B$39="pvp",15,MAX(0.1,Skills!D9-IF(Skills!E9=TRUE,Inputs!$B$32,0))))+1)),0)</f>
        <v/>
      </c>
      <c r="S3119">
        <f>IFERROR(O3119/N3119,0)</f>
        <v/>
      </c>
      <c r="T3119">
        <f>IF(C3119,(H3119*N3119*IF(AND(Inputs!$B$39&lt;&gt;"pvp",Inputs!$B$44&gt;0),((Skills!G9*((R3119-1)*IF(Skills!H9&gt;0,Skills!I9/Skills!H9,1)+IF(Skills!H9&gt;0,MIN(Skills!I9,MAX(0,MAX(0,Inputs!$B$44-B3155)-((R3119-1)*IF(Inputs!$B$39="pvp",15,MAX(0.1,Skills!D9-IF(Skills!E9=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Skills!E9=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IFERROR(1/IF(Inputs!$B$39="pvp",15,MAX(0.1,Skills!D12-IF(Skills!E12=TRUE,Inputs!$B$32,0))),0)</f>
        <v/>
      </c>
      <c r="R3122">
        <f>IF(AND(Inputs!$B$39&lt;&gt;"pvp",Inputs!$B$44&gt;0),IF(MAX(0,Inputs!$B$44-B3155)&lt;=0,0,(INT(MAX(0,Inputs!$B$44-B3155)/IF(Inputs!$B$39="pvp",15,MAX(0.1,Skills!D12-IF(Skills!E12=TRUE,Inputs!$B$32,0))))+1)),0)</f>
        <v/>
      </c>
      <c r="S3122">
        <f>IFERROR(O3122/N3122,0)</f>
        <v/>
      </c>
      <c r="T3122">
        <f>IF(C3122,(H3122*N3122*IF(AND(Inputs!$B$39&lt;&gt;"pvp",Inputs!$B$44&gt;0),((Skills!G12*((R3122-1)*IF(Skills!H12&gt;0,Skills!I12/Skills!H12,1)+IF(Skills!H12&gt;0,MIN(Skills!I12,MAX(0,MAX(0,Inputs!$B$44-B3155)-((R3122-1)*IF(Inputs!$B$39="pvp",15,MAX(0.1,Skills!D12-IF(Skills!E12=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Skills!E12=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IFERROR(1/IF(Inputs!$B$39="pvp",15,MAX(0.1,Skills!D13-IF(Skills!E13=TRUE,Inputs!$B$32,0))),0)</f>
        <v/>
      </c>
      <c r="R3123">
        <f>IF(AND(Inputs!$B$39&lt;&gt;"pvp",Inputs!$B$44&gt;0),IF(MAX(0,Inputs!$B$44-B3155)&lt;=0,0,(INT(MAX(0,Inputs!$B$44-B3155)/IF(Inputs!$B$39="pvp",15,MAX(0.1,Skills!D13-IF(Skills!E13=TRUE,Inputs!$B$32,0))))+1)),0)</f>
        <v/>
      </c>
      <c r="S3123">
        <f>IFERROR(O3123/N3123,0)</f>
        <v/>
      </c>
      <c r="T3123">
        <f>IF(C3123,(H3123*N3123*IF(AND(Inputs!$B$39&lt;&gt;"pvp",Inputs!$B$44&gt;0),((Skills!G13*((R3123-1)*IF(Skills!H13&gt;0,Skills!I13/Skills!H13,1)+IF(Skills!H13&gt;0,MIN(Skills!I13,MAX(0,MAX(0,Inputs!$B$44-B3155)-((R3123-1)*IF(Inputs!$B$39="pvp",15,MAX(0.1,Skills!D13-IF(Skills!E13=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Skills!E13=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IFERROR(1/IF(Inputs!$B$39="pvp",15,MAX(0.1,Skills!D14-IF(Skills!E14=TRUE,Inputs!$B$32,0))),0)</f>
        <v/>
      </c>
      <c r="R3124">
        <f>IF(AND(Inputs!$B$39&lt;&gt;"pvp",Inputs!$B$44&gt;0),IF(MAX(0,Inputs!$B$44-B3155)&lt;=0,0,(INT(MAX(0,Inputs!$B$44-B3155)/IF(Inputs!$B$39="pvp",15,MAX(0.1,Skills!D14-IF(Skills!E14=TRUE,Inputs!$B$32,0))))+1)),0)</f>
        <v/>
      </c>
      <c r="S3124">
        <f>IFERROR(O3124/N3124,0)</f>
        <v/>
      </c>
      <c r="T3124">
        <f>IF(C3124,(H3124*N3124*IF(AND(Inputs!$B$39&lt;&gt;"pvp",Inputs!$B$44&gt;0),((Skills!G14*((R3124-1)*IF(Skills!H14&gt;0,Skills!I14/Skills!H14,1)+IF(Skills!H14&gt;0,MIN(Skills!I14,MAX(0,MAX(0,Inputs!$B$44-B3155)-((R3124-1)*IF(Inputs!$B$39="pvp",15,MAX(0.1,Skills!D14-IF(Skills!E14=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Skills!E14=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IFERROR(1/IF(Inputs!$B$39="pvp",15,MAX(0.1,Skills!D15-IF(Skills!E15=TRUE,Inputs!$B$32,0))),0)</f>
        <v/>
      </c>
      <c r="R3125">
        <f>IF(AND(Inputs!$B$39&lt;&gt;"pvp",Inputs!$B$44&gt;0),IF(Inputs!$B$44&lt;=0,0,(INT(Inputs!$B$44/IF(Inputs!$B$39="pvp",15,MAX(0.1,Skills!D15-IF(Skills!E15=TRUE,Inputs!$B$32,0))))+1)),0)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IFERROR(1/IF(Inputs!$B$39="pvp",15,MAX(0.1,Skills!D16-IF(Skills!E16=TRUE,Inputs!$B$32,0))),0)</f>
        <v/>
      </c>
      <c r="R3126">
        <f>IF(AND(Inputs!$B$39&lt;&gt;"pvp",Inputs!$B$44&gt;0),IF(Inputs!$B$44&lt;=0,0,(INT(Inputs!$B$44/IF(Inputs!$B$39="pvp",15,MAX(0.1,Skills!D16-IF(Skills!E16=TRUE,Inputs!$B$32,0))))+1)),0)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IFERROR(1/IF(Inputs!$B$39="pvp",15,MAX(0.1,Skills!D19-IF(Skills!E19=TRUE,Inputs!$B$32,0))),0)</f>
        <v/>
      </c>
      <c r="R3129">
        <f>IF(AND(Inputs!$B$39&lt;&gt;"pvp",Inputs!$B$44&gt;0),IF(Inputs!$B$44&lt;=0,0,(INT(Inputs!$B$44/IF(Inputs!$B$39="pvp",15,MAX(0.1,Skills!D19-IF(Skills!E19=TRUE,Inputs!$B$32,0))))+1)),0)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IFERROR(1/IF(Inputs!$B$39="pvp",15,MAX(0.1,Skills!D20-IF(Skills!E20=TRUE,Inputs!$B$32,0))),0)</f>
        <v/>
      </c>
      <c r="R3130">
        <f>IF(AND(Inputs!$B$39&lt;&gt;"pvp",Inputs!$B$44&gt;0),IF(Inputs!$B$44&lt;=0,0,(INT(Inputs!$B$44/IF(Inputs!$B$39="pvp",15,MAX(0.1,Skills!D20-IF(Skills!E20=TRUE,Inputs!$B$32,0))))+1)),0)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IFERROR(1/IF(Inputs!$B$39="pvp",15,MAX(0.1,Skills!D21-IF(Skills!E21=TRUE,Inputs!$B$32,0))),0)</f>
        <v/>
      </c>
      <c r="R3131">
        <f>IF(AND(Inputs!$B$39&lt;&gt;"pvp",Inputs!$B$44&gt;0),IF(Inputs!$B$44&lt;=0,0,(INT(Inputs!$B$44/IF(Inputs!$B$39="pvp",15,MAX(0.1,Skills!D21-IF(Skills!E21=TRUE,Inputs!$B$32,0))))+1)),0)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Skills!Y19*(1+Inputs!$B$34/100))+MIN((Skills!Y19*(1+Inputs!$B$34/100)),MAX(0,Inputs!$B$44-((R3129-1)*Skills!D19))))/Inputs!$B$44),IF(Inputs!$B$39="pvp",MIN((Skills!Y19*(1+Inputs!$B$34/100)),15)/15,(Skills!Y19*(1+Inputs!$B$34/100))/Skills!D19)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Skills!Y19*(1+Inputs!$B$34/100))+MIN((Skills!Y19*(1+Inputs!$B$34/100)),MAX(0,Inputs!$B$44-((R3129-1)*Skills!D19))))/Inputs!$B$44),IF(Inputs!$B$39="pvp",MIN((Skills!Y19*(1+Inputs!$B$34/100)),15)/15,(Skills!Y19*(1+Inputs!$B$34/100))/Skills!D19)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f>
        <v/>
      </c>
    </row>
    <row r="3150">
      <c r="A3150" t="inlineStr">
        <is>
          <t>Global Crit Rate Bonus %</t>
        </is>
      </c>
      <c r="B3150">
        <f>IF(Inputs!$B$3&gt;=47,8,0)+((C3130=TRUE)*F3130*IF(AND(Inputs!$B$39&lt;&gt;"pvp",Inputs!$B$44&gt;0),(((R3130-1)*(Skills!Y20*(1+Inputs!$B$34/100))+MIN((Skills!Y20*(1+Inputs!$B$34/100)),MAX(0,Inputs!$B$44-((R3130-1)*Skills!D20))))/Inputs!$B$44),IF(Inputs!$B$39="pvp",MIN((Skills!Y20*(1+Inputs!$B$34/100)),15)/15,(Skills!Y20*(1+Inputs!$B$34/100))/Skills!D20)))</f>
        <v/>
      </c>
    </row>
    <row r="3151">
      <c r="A3151" t="inlineStr">
        <is>
          <t>Global Monster Damage-Taken Bonus %</t>
        </is>
      </c>
      <c r="B3151">
        <f>IF(Inputs!$B$3&gt;=82,15,0)+((C3126=TRUE)*F3126*IF(AND(Inputs!$B$39&lt;&gt;"pvp",Inputs!$B$44&gt;0),(((R3126-1)*(Skills!Y16*(1+Inputs!$B$34/100))+MIN((Skills!Y16*(1+Inputs!$B$34/100)),MAX(0,Inputs!$B$44-((R3126-1)*Skills!D16))))/Inputs!$B$44),IF(Inputs!$B$39="pvp",MIN((Skills!Y16*(1+Inputs!$B$34/100)),15)/15,(Skills!Y16*(1+Inputs!$B$34/100))/Skills!D16)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Skills!Y16*(1+Inputs!$B$34/100))+MIN((Skills!Y16*(1+Inputs!$B$34/100)),MAX(0,Inputs!$B$44-((R3126-1)*Skills!D16))))/Inputs!$B$44),IF(Inputs!$B$39="pvp",MIN((Skills!Y16*(1+Inputs!$B$34/100)),15)/15,(Skills!Y16*(1+Inputs!$B$34/100))/Skills!D16)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IFERROR(1/IF(Inputs!$B$39="pvp",15,MAX(0.1,Skills!D3-IF(Skills!E3=TRUE,0.5,0))),0)</f>
        <v/>
      </c>
      <c r="R3176">
        <f>IF(AND(Inputs!$B$39&lt;&gt;"pvp",Inputs!$B$44&gt;0),IF(MAX(0,Inputs!$B$44-B3218)&lt;=0,0,(INT(MAX(0,Inputs!$B$44-B3218)/IF(Inputs!$B$39="pvp",15,MAX(0.1,Skills!D3-IF(Skills!E3=TRUE,0.5,0))))+1)),0)</f>
        <v/>
      </c>
      <c r="S3176">
        <f>IFERROR(O3176/N3176,0)</f>
        <v/>
      </c>
      <c r="T3176">
        <f>IF(C3176,(H3176*N3176*IF(AND(Inputs!$B$39&lt;&gt;"pvp",Inputs!$B$44&gt;0),((Skills!G3*((R3176-1)*IF(Skills!H3&gt;0,Skills!I3/Skills!H3,1)+IF(Skills!H3&gt;0,MIN(Skills!I3,MAX(0,MAX(0,Inputs!$B$44-B3218)-((R3176-1)*IF(Inputs!$B$39="pvp",15,MAX(0.1,Skills!D3-IF(Skills!E3=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Skills!E3=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Inputs!$B$3&gt;=40</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IFERROR(1/IF(Inputs!$B$39="pvp",15,MAX(0.1,Skills!D4-IF(Skills!E4=TRUE,0.5,0))),0)</f>
        <v/>
      </c>
      <c r="R3177">
        <f>IF(AND(Inputs!$B$39&lt;&gt;"pvp",Inputs!$B$44&gt;0),IF(MAX(0,Inputs!$B$44-B3218)&lt;=0,0,(INT(MAX(0,Inputs!$B$44-B3218)/IF(Inputs!$B$39="pvp",15,MAX(0.1,Skills!D4-IF(Skills!E4=TRUE,0.5,0))))+1)),0)</f>
        <v/>
      </c>
      <c r="S3177">
        <f>IFERROR(O3177/N3177,0)</f>
        <v/>
      </c>
      <c r="T3177">
        <f>IF(C3177,(H3177*N3177*IF(AND(Inputs!$B$39&lt;&gt;"pvp",Inputs!$B$44&gt;0),((Skills!G4*((R3177-1)*IF(Skills!H4&gt;0,Skills!I4/Skills!H4,1)+IF(Skills!H4&gt;0,MIN(Skills!I4,MAX(0,MAX(0,Inputs!$B$44-B3218)-((R3177-1)*IF(Inputs!$B$39="pvp",15,MAX(0.1,Skills!D4-IF(Skills!E4=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Skills!E4=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IFERROR(1/IF(Inputs!$B$39="pvp",15,MAX(0.1,Skills!D5-IF(Skills!E5=TRUE,0.5,0))),0)</f>
        <v/>
      </c>
      <c r="R3178">
        <f>IF(AND(Inputs!$B$39&lt;&gt;"pvp",Inputs!$B$44&gt;0),IF(MAX(0,Inputs!$B$44-B3218)&lt;=0,0,(INT(MAX(0,Inputs!$B$44-B3218)/IF(Inputs!$B$39="pvp",15,MAX(0.1,Skills!D5-IF(Skills!E5=TRUE,0.5,0))))+1)),0)</f>
        <v/>
      </c>
      <c r="S3178">
        <f>IFERROR(O3178/N3178,0)</f>
        <v/>
      </c>
      <c r="T3178">
        <f>IF(C3178,(H3178*N3178*IF(AND(Inputs!$B$39&lt;&gt;"pvp",Inputs!$B$44&gt;0),((Skills!G5*((R3178-1)*IF(Skills!H5&gt;0,Skills!I5/Skills!H5,1)+IF(Skills!H5&gt;0,MIN(Skills!I5,MAX(0,MAX(0,Inputs!$B$44-B3218)-((R3178-1)*IF(Inputs!$B$39="pvp",15,MAX(0.1,Skills!D5-IF(Skills!E5=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Skills!E5=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IFERROR(1/IF(Inputs!$B$39="pvp",15,MAX(0.1,Skills!D8-IF(Skills!E8=TRUE,0.5,0))),0)</f>
        <v/>
      </c>
      <c r="R3181">
        <f>IF(AND(Inputs!$B$39&lt;&gt;"pvp",Inputs!$B$44&gt;0),IF(MAX(0,Inputs!$B$44-B3218)&lt;=0,0,(INT(MAX(0,Inputs!$B$44-B3218)/IF(Inputs!$B$39="pvp",15,MAX(0.1,Skills!D8-IF(Skills!E8=TRUE,0.5,0))))+1)),0)</f>
        <v/>
      </c>
      <c r="S3181">
        <f>IFERROR(O3181/N3181,0)</f>
        <v/>
      </c>
      <c r="T3181">
        <f>IF(C3181,(H3181*N3181*IF(AND(Inputs!$B$39&lt;&gt;"pvp",Inputs!$B$44&gt;0),((Skills!G8*((R3181-1)*IF(Skills!H8&gt;0,Skills!I8/Skills!H8,1)+IF(Skills!H8&gt;0,MIN(Skills!I8,MAX(0,MAX(0,Inputs!$B$44-B3218)-((R3181-1)*IF(Inputs!$B$39="pvp",15,MAX(0.1,Skills!D8-IF(Skills!E8=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Skills!E8=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Inputs!$B$3&gt;=72</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IFERROR(1/IF(Inputs!$B$39="pvp",15,MAX(0.1,Skills!D9-IF(Skills!E9=TRUE,0.5,0))),0)</f>
        <v/>
      </c>
      <c r="R3182">
        <f>IF(AND(Inputs!$B$39&lt;&gt;"pvp",Inputs!$B$44&gt;0),IF(MAX(0,Inputs!$B$44-B3218)&lt;=0,0,(INT(MAX(0,Inputs!$B$44-B3218)/IF(Inputs!$B$39="pvp",15,MAX(0.1,Skills!D9-IF(Skills!E9=TRUE,0.5,0))))+1)),0)</f>
        <v/>
      </c>
      <c r="S3182">
        <f>IFERROR(O3182/N3182,0)</f>
        <v/>
      </c>
      <c r="T3182">
        <f>IF(C3182,(H3182*N3182*IF(AND(Inputs!$B$39&lt;&gt;"pvp",Inputs!$B$44&gt;0),((Skills!G9*((R3182-1)*IF(Skills!H9&gt;0,Skills!I9/Skills!H9,1)+IF(Skills!H9&gt;0,MIN(Skills!I9,MAX(0,MAX(0,Inputs!$B$44-B3218)-((R3182-1)*IF(Inputs!$B$39="pvp",15,MAX(0.1,Skills!D9-IF(Skills!E9=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Skills!E9=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IFERROR(1/IF(Inputs!$B$39="pvp",15,MAX(0.1,Skills!D12-IF(Skills!E12=TRUE,0.5,0))),0)</f>
        <v/>
      </c>
      <c r="R3185">
        <f>IF(AND(Inputs!$B$39&lt;&gt;"pvp",Inputs!$B$44&gt;0),IF(MAX(0,Inputs!$B$44-B3218)&lt;=0,0,(INT(MAX(0,Inputs!$B$44-B3218)/IF(Inputs!$B$39="pvp",15,MAX(0.1,Skills!D12-IF(Skills!E12=TRUE,0.5,0))))+1)),0)</f>
        <v/>
      </c>
      <c r="S3185">
        <f>IFERROR(O3185/N3185,0)</f>
        <v/>
      </c>
      <c r="T3185">
        <f>IF(C3185,(H3185*N3185*IF(AND(Inputs!$B$39&lt;&gt;"pvp",Inputs!$B$44&gt;0),((Skills!G12*((R3185-1)*IF(Skills!H12&gt;0,Skills!I12/Skills!H12,1)+IF(Skills!H12&gt;0,MIN(Skills!I12,MAX(0,MAX(0,Inputs!$B$44-B3218)-((R3185-1)*IF(Inputs!$B$39="pvp",15,MAX(0.1,Skills!D12-IF(Skills!E12=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Skills!E12=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IFERROR(1/IF(Inputs!$B$39="pvp",15,MAX(0.1,Skills!D13-IF(Skills!E13=TRUE,0.5,0))),0)</f>
        <v/>
      </c>
      <c r="R3186">
        <f>IF(AND(Inputs!$B$39&lt;&gt;"pvp",Inputs!$B$44&gt;0),IF(MAX(0,Inputs!$B$44-B3218)&lt;=0,0,(INT(MAX(0,Inputs!$B$44-B3218)/IF(Inputs!$B$39="pvp",15,MAX(0.1,Skills!D13-IF(Skills!E13=TRUE,0.5,0))))+1)),0)</f>
        <v/>
      </c>
      <c r="S3186">
        <f>IFERROR(O3186/N3186,0)</f>
        <v/>
      </c>
      <c r="T3186">
        <f>IF(C3186,(H3186*N3186*IF(AND(Inputs!$B$39&lt;&gt;"pvp",Inputs!$B$44&gt;0),((Skills!G13*((R3186-1)*IF(Skills!H13&gt;0,Skills!I13/Skills!H13,1)+IF(Skills!H13&gt;0,MIN(Skills!I13,MAX(0,MAX(0,Inputs!$B$44-B3218)-((R3186-1)*IF(Inputs!$B$39="pvp",15,MAX(0.1,Skills!D13-IF(Skills!E13=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Skills!E13=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IFERROR(1/IF(Inputs!$B$39="pvp",15,MAX(0.1,Skills!D14-IF(Skills!E14=TRUE,0.5,0))),0)</f>
        <v/>
      </c>
      <c r="R3187">
        <f>IF(AND(Inputs!$B$39&lt;&gt;"pvp",Inputs!$B$44&gt;0),IF(MAX(0,Inputs!$B$44-B3218)&lt;=0,0,(INT(MAX(0,Inputs!$B$44-B3218)/IF(Inputs!$B$39="pvp",15,MAX(0.1,Skills!D14-IF(Skills!E14=TRUE,0.5,0))))+1)),0)</f>
        <v/>
      </c>
      <c r="S3187">
        <f>IFERROR(O3187/N3187,0)</f>
        <v/>
      </c>
      <c r="T3187">
        <f>IF(C3187,(H3187*N3187*IF(AND(Inputs!$B$39&lt;&gt;"pvp",Inputs!$B$44&gt;0),((Skills!G14*((R3187-1)*IF(Skills!H14&gt;0,Skills!I14/Skills!H14,1)+IF(Skills!H14&gt;0,MIN(Skills!I14,MAX(0,MAX(0,Inputs!$B$44-B3218)-((R3187-1)*IF(Inputs!$B$39="pvp",15,MAX(0.1,Skills!D14-IF(Skills!E14=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Skills!E14=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IFERROR(1/IF(Inputs!$B$39="pvp",15,MAX(0.1,Skills!D15-IF(Skills!E15=TRUE,0.5,0))),0)</f>
        <v/>
      </c>
      <c r="R3188">
        <f>IF(AND(Inputs!$B$39&lt;&gt;"pvp",Inputs!$B$44&gt;0),IF(Inputs!$B$44&lt;=0,0,(INT(Inputs!$B$44/IF(Inputs!$B$39="pvp",15,MAX(0.1,Skills!D15-IF(Skills!E15=TRUE,0.5,0))))+1)),0)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IFERROR(1/IF(Inputs!$B$39="pvp",15,MAX(0.1,Skills!D16-IF(Skills!E16=TRUE,0.5,0))),0)</f>
        <v/>
      </c>
      <c r="R3189">
        <f>IF(AND(Inputs!$B$39&lt;&gt;"pvp",Inputs!$B$44&gt;0),IF(Inputs!$B$44&lt;=0,0,(INT(Inputs!$B$44/IF(Inputs!$B$39="pvp",15,MAX(0.1,Skills!D16-IF(Skills!E16=TRUE,0.5,0))))+1)),0)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IFERROR(1/IF(Inputs!$B$39="pvp",15,MAX(0.1,Skills!D19-IF(Skills!E19=TRUE,0.5,0))),0)</f>
        <v/>
      </c>
      <c r="R3192">
        <f>IF(AND(Inputs!$B$39&lt;&gt;"pvp",Inputs!$B$44&gt;0),IF(Inputs!$B$44&lt;=0,0,(INT(Inputs!$B$44/IF(Inputs!$B$39="pvp",15,MAX(0.1,Skills!D19-IF(Skills!E19=TRUE,0.5,0))))+1)),0)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IFERROR(1/IF(Inputs!$B$39="pvp",15,MAX(0.1,Skills!D20-IF(Skills!E20=TRUE,0.5,0))),0)</f>
        <v/>
      </c>
      <c r="R3193">
        <f>IF(AND(Inputs!$B$39&lt;&gt;"pvp",Inputs!$B$44&gt;0),IF(Inputs!$B$44&lt;=0,0,(INT(Inputs!$B$44/IF(Inputs!$B$39="pvp",15,MAX(0.1,Skills!D20-IF(Skills!E20=TRUE,0.5,0))))+1)),0)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IFERROR(1/IF(Inputs!$B$39="pvp",15,MAX(0.1,Skills!D21-IF(Skills!E21=TRUE,0.5,0))),0)</f>
        <v/>
      </c>
      <c r="R3194">
        <f>IF(AND(Inputs!$B$39&lt;&gt;"pvp",Inputs!$B$44&gt;0),IF(Inputs!$B$44&lt;=0,0,(INT(Inputs!$B$44/IF(Inputs!$B$39="pvp",15,MAX(0.1,Skills!D21-IF(Skills!E21=TRUE,0.5,0))))+1)),0)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Skills!Y19*(1+Inputs!$B$34/100))+MIN((Skills!Y19*(1+Inputs!$B$34/100)),MAX(0,Inputs!$B$44-((R3192-1)*Skills!D19))))/Inputs!$B$44),IF(Inputs!$B$39="pvp",MIN((Skills!Y19*(1+Inputs!$B$34/100)),15)/15,(Skills!Y19*(1+Inputs!$B$34/100))/Skills!D19)))/150)))/100</f>
        <v/>
      </c>
    </row>
    <row r="3207">
      <c r="A3207" t="inlineStr">
        <is>
          <t>Alchemic Adrenaline Uptime</t>
        </is>
      </c>
      <c r="B3207">
        <f>(Skills!Y6*(1+Inputs!$B$34/100))/((Skills!Y6*(1+Inputs!$B$34/100))+(5/B3206))</f>
        <v/>
      </c>
    </row>
    <row r="3208">
      <c r="A3208" t="inlineStr">
        <is>
          <t>Attack Speed Buff Bonus %</t>
        </is>
      </c>
      <c r="B3208">
        <f>((C3192=TRUE)*F3192*IF(AND(Inputs!$B$39&lt;&gt;"pvp",Inputs!$B$44&gt;0),(((R3192-1)*(Skills!Y19*(1+Inputs!$B$34/100))+MIN((Skills!Y19*(1+Inputs!$B$34/100)),MAX(0,Inputs!$B$44-((R3192-1)*Skills!D19))))/Inputs!$B$44),IF(Inputs!$B$39="pvp",MIN((Skills!Y19*(1+Inputs!$B$34/100)),15)/15,(Skills!Y19*(1+Inputs!$B$34/100))/Skills!D19)))+((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f>
        <v/>
      </c>
    </row>
    <row r="3213">
      <c r="A3213" t="inlineStr">
        <is>
          <t>Global Crit Rate Bonus %</t>
        </is>
      </c>
      <c r="B3213">
        <f>IF(Inputs!$B$3&gt;=47,8,0)+((C3193=TRUE)*F3193*IF(AND(Inputs!$B$39&lt;&gt;"pvp",Inputs!$B$44&gt;0),(((R3193-1)*(Skills!Y20*(1+Inputs!$B$34/100))+MIN((Skills!Y20*(1+Inputs!$B$34/100)),MAX(0,Inputs!$B$44-((R3193-1)*Skills!D20))))/Inputs!$B$44),IF(Inputs!$B$39="pvp",MIN((Skills!Y20*(1+Inputs!$B$34/100)),15)/15,(Skills!Y20*(1+Inputs!$B$34/100))/Skills!D20)))</f>
        <v/>
      </c>
    </row>
    <row r="3214">
      <c r="A3214" t="inlineStr">
        <is>
          <t>Global Monster Damage-Taken Bonus %</t>
        </is>
      </c>
      <c r="B3214">
        <f>IF(Inputs!$B$3&gt;=82,15,0)+((C3189=TRUE)*F3189*IF(AND(Inputs!$B$39&lt;&gt;"pvp",Inputs!$B$44&gt;0),(((R3189-1)*(Skills!Y16*(1+Inputs!$B$34/100))+MIN((Skills!Y16*(1+Inputs!$B$34/100)),MAX(0,Inputs!$B$44-((R3189-1)*Skills!D16))))/Inputs!$B$44),IF(Inputs!$B$39="pvp",MIN((Skills!Y16*(1+Inputs!$B$34/100)),15)/15,(Skills!Y16*(1+Inputs!$B$34/100))/Skills!D16)))</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Skills!Y16*(1+Inputs!$B$34/100))+MIN((Skills!Y16*(1+Inputs!$B$34/100)),MAX(0,Inputs!$B$44-((R3189-1)*Skills!D16))))/Inputs!$B$44),IF(Inputs!$B$39="pvp",MIN((Skills!Y16*(1+Inputs!$B$34/100)),15)/15,(Skills!Y16*(1+Inputs!$B$34/100))/Skills!D16))</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IFERROR(1/IF(Inputs!$B$39="pvp",15,MAX(0.1,Skills!D3-IF(Skills!E3=TRUE,1.0,0))),0)</f>
        <v/>
      </c>
      <c r="R3225">
        <f>IF(AND(Inputs!$B$39&lt;&gt;"pvp",Inputs!$B$44&gt;0),IF(MAX(0,Inputs!$B$44-B3267)&lt;=0,0,(INT(MAX(0,Inputs!$B$44-B3267)/IF(Inputs!$B$39="pvp",15,MAX(0.1,Skills!D3-IF(Skills!E3=TRUE,1.0,0))))+1)),0)</f>
        <v/>
      </c>
      <c r="S3225">
        <f>IFERROR(O3225/N3225,0)</f>
        <v/>
      </c>
      <c r="T3225">
        <f>IF(C3225,(H3225*N3225*IF(AND(Inputs!$B$39&lt;&gt;"pvp",Inputs!$B$44&gt;0),((Skills!G3*((R3225-1)*IF(Skills!H3&gt;0,Skills!I3/Skills!H3,1)+IF(Skills!H3&gt;0,MIN(Skills!I3,MAX(0,MAX(0,Inputs!$B$44-B3267)-((R3225-1)*IF(Inputs!$B$39="pvp",15,MAX(0.1,Skills!D3-IF(Skills!E3=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Skills!E3=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Inputs!$B$3&gt;=40</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IFERROR(1/IF(Inputs!$B$39="pvp",15,MAX(0.1,Skills!D4-IF(Skills!E4=TRUE,1.0,0))),0)</f>
        <v/>
      </c>
      <c r="R3226">
        <f>IF(AND(Inputs!$B$39&lt;&gt;"pvp",Inputs!$B$44&gt;0),IF(MAX(0,Inputs!$B$44-B3267)&lt;=0,0,(INT(MAX(0,Inputs!$B$44-B3267)/IF(Inputs!$B$39="pvp",15,MAX(0.1,Skills!D4-IF(Skills!E4=TRUE,1.0,0))))+1)),0)</f>
        <v/>
      </c>
      <c r="S3226">
        <f>IFERROR(O3226/N3226,0)</f>
        <v/>
      </c>
      <c r="T3226">
        <f>IF(C3226,(H3226*N3226*IF(AND(Inputs!$B$39&lt;&gt;"pvp",Inputs!$B$44&gt;0),((Skills!G4*((R3226-1)*IF(Skills!H4&gt;0,Skills!I4/Skills!H4,1)+IF(Skills!H4&gt;0,MIN(Skills!I4,MAX(0,MAX(0,Inputs!$B$44-B3267)-((R3226-1)*IF(Inputs!$B$39="pvp",15,MAX(0.1,Skills!D4-IF(Skills!E4=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Skills!E4=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IFERROR(1/IF(Inputs!$B$39="pvp",15,MAX(0.1,Skills!D5-IF(Skills!E5=TRUE,1.0,0))),0)</f>
        <v/>
      </c>
      <c r="R3227">
        <f>IF(AND(Inputs!$B$39&lt;&gt;"pvp",Inputs!$B$44&gt;0),IF(MAX(0,Inputs!$B$44-B3267)&lt;=0,0,(INT(MAX(0,Inputs!$B$44-B3267)/IF(Inputs!$B$39="pvp",15,MAX(0.1,Skills!D5-IF(Skills!E5=TRUE,1.0,0))))+1)),0)</f>
        <v/>
      </c>
      <c r="S3227">
        <f>IFERROR(O3227/N3227,0)</f>
        <v/>
      </c>
      <c r="T3227">
        <f>IF(C3227,(H3227*N3227*IF(AND(Inputs!$B$39&lt;&gt;"pvp",Inputs!$B$44&gt;0),((Skills!G5*((R3227-1)*IF(Skills!H5&gt;0,Skills!I5/Skills!H5,1)+IF(Skills!H5&gt;0,MIN(Skills!I5,MAX(0,MAX(0,Inputs!$B$44-B3267)-((R3227-1)*IF(Inputs!$B$39="pvp",15,MAX(0.1,Skills!D5-IF(Skills!E5=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Skills!E5=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IFERROR(1/IF(Inputs!$B$39="pvp",15,MAX(0.1,Skills!D8-IF(Skills!E8=TRUE,1.0,0))),0)</f>
        <v/>
      </c>
      <c r="R3230">
        <f>IF(AND(Inputs!$B$39&lt;&gt;"pvp",Inputs!$B$44&gt;0),IF(MAX(0,Inputs!$B$44-B3267)&lt;=0,0,(INT(MAX(0,Inputs!$B$44-B3267)/IF(Inputs!$B$39="pvp",15,MAX(0.1,Skills!D8-IF(Skills!E8=TRUE,1.0,0))))+1)),0)</f>
        <v/>
      </c>
      <c r="S3230">
        <f>IFERROR(O3230/N3230,0)</f>
        <v/>
      </c>
      <c r="T3230">
        <f>IF(C3230,(H3230*N3230*IF(AND(Inputs!$B$39&lt;&gt;"pvp",Inputs!$B$44&gt;0),((Skills!G8*((R3230-1)*IF(Skills!H8&gt;0,Skills!I8/Skills!H8,1)+IF(Skills!H8&gt;0,MIN(Skills!I8,MAX(0,MAX(0,Inputs!$B$44-B3267)-((R3230-1)*IF(Inputs!$B$39="pvp",15,MAX(0.1,Skills!D8-IF(Skills!E8=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Skills!E8=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Inputs!$B$3&gt;=72</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IFERROR(1/IF(Inputs!$B$39="pvp",15,MAX(0.1,Skills!D9-IF(Skills!E9=TRUE,1.0,0))),0)</f>
        <v/>
      </c>
      <c r="R3231">
        <f>IF(AND(Inputs!$B$39&lt;&gt;"pvp",Inputs!$B$44&gt;0),IF(MAX(0,Inputs!$B$44-B3267)&lt;=0,0,(INT(MAX(0,Inputs!$B$44-B3267)/IF(Inputs!$B$39="pvp",15,MAX(0.1,Skills!D9-IF(Skills!E9=TRUE,1.0,0))))+1)),0)</f>
        <v/>
      </c>
      <c r="S3231">
        <f>IFERROR(O3231/N3231,0)</f>
        <v/>
      </c>
      <c r="T3231">
        <f>IF(C3231,(H3231*N3231*IF(AND(Inputs!$B$39&lt;&gt;"pvp",Inputs!$B$44&gt;0),((Skills!G9*((R3231-1)*IF(Skills!H9&gt;0,Skills!I9/Skills!H9,1)+IF(Skills!H9&gt;0,MIN(Skills!I9,MAX(0,MAX(0,Inputs!$B$44-B3267)-((R3231-1)*IF(Inputs!$B$39="pvp",15,MAX(0.1,Skills!D9-IF(Skills!E9=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Skills!E9=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IFERROR(1/IF(Inputs!$B$39="pvp",15,MAX(0.1,Skills!D12-IF(Skills!E12=TRUE,1.0,0))),0)</f>
        <v/>
      </c>
      <c r="R3234">
        <f>IF(AND(Inputs!$B$39&lt;&gt;"pvp",Inputs!$B$44&gt;0),IF(MAX(0,Inputs!$B$44-B3267)&lt;=0,0,(INT(MAX(0,Inputs!$B$44-B3267)/IF(Inputs!$B$39="pvp",15,MAX(0.1,Skills!D12-IF(Skills!E12=TRUE,1.0,0))))+1)),0)</f>
        <v/>
      </c>
      <c r="S3234">
        <f>IFERROR(O3234/N3234,0)</f>
        <v/>
      </c>
      <c r="T3234">
        <f>IF(C3234,(H3234*N3234*IF(AND(Inputs!$B$39&lt;&gt;"pvp",Inputs!$B$44&gt;0),((Skills!G12*((R3234-1)*IF(Skills!H12&gt;0,Skills!I12/Skills!H12,1)+IF(Skills!H12&gt;0,MIN(Skills!I12,MAX(0,MAX(0,Inputs!$B$44-B3267)-((R3234-1)*IF(Inputs!$B$39="pvp",15,MAX(0.1,Skills!D12-IF(Skills!E12=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Skills!E12=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IFERROR(1/IF(Inputs!$B$39="pvp",15,MAX(0.1,Skills!D13-IF(Skills!E13=TRUE,1.0,0))),0)</f>
        <v/>
      </c>
      <c r="R3235">
        <f>IF(AND(Inputs!$B$39&lt;&gt;"pvp",Inputs!$B$44&gt;0),IF(MAX(0,Inputs!$B$44-B3267)&lt;=0,0,(INT(MAX(0,Inputs!$B$44-B3267)/IF(Inputs!$B$39="pvp",15,MAX(0.1,Skills!D13-IF(Skills!E13=TRUE,1.0,0))))+1)),0)</f>
        <v/>
      </c>
      <c r="S3235">
        <f>IFERROR(O3235/N3235,0)</f>
        <v/>
      </c>
      <c r="T3235">
        <f>IF(C3235,(H3235*N3235*IF(AND(Inputs!$B$39&lt;&gt;"pvp",Inputs!$B$44&gt;0),((Skills!G13*((R3235-1)*IF(Skills!H13&gt;0,Skills!I13/Skills!H13,1)+IF(Skills!H13&gt;0,MIN(Skills!I13,MAX(0,MAX(0,Inputs!$B$44-B3267)-((R3235-1)*IF(Inputs!$B$39="pvp",15,MAX(0.1,Skills!D13-IF(Skills!E13=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Skills!E13=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IFERROR(1/IF(Inputs!$B$39="pvp",15,MAX(0.1,Skills!D14-IF(Skills!E14=TRUE,1.0,0))),0)</f>
        <v/>
      </c>
      <c r="R3236">
        <f>IF(AND(Inputs!$B$39&lt;&gt;"pvp",Inputs!$B$44&gt;0),IF(MAX(0,Inputs!$B$44-B3267)&lt;=0,0,(INT(MAX(0,Inputs!$B$44-B3267)/IF(Inputs!$B$39="pvp",15,MAX(0.1,Skills!D14-IF(Skills!E14=TRUE,1.0,0))))+1)),0)</f>
        <v/>
      </c>
      <c r="S3236">
        <f>IFERROR(O3236/N3236,0)</f>
        <v/>
      </c>
      <c r="T3236">
        <f>IF(C3236,(H3236*N3236*IF(AND(Inputs!$B$39&lt;&gt;"pvp",Inputs!$B$44&gt;0),((Skills!G14*((R3236-1)*IF(Skills!H14&gt;0,Skills!I14/Skills!H14,1)+IF(Skills!H14&gt;0,MIN(Skills!I14,MAX(0,MAX(0,Inputs!$B$44-B3267)-((R3236-1)*IF(Inputs!$B$39="pvp",15,MAX(0.1,Skills!D14-IF(Skills!E14=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Skills!E14=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IFERROR(1/IF(Inputs!$B$39="pvp",15,MAX(0.1,Skills!D15-IF(Skills!E15=TRUE,1.0,0))),0)</f>
        <v/>
      </c>
      <c r="R3237">
        <f>IF(AND(Inputs!$B$39&lt;&gt;"pvp",Inputs!$B$44&gt;0),IF(Inputs!$B$44&lt;=0,0,(INT(Inputs!$B$44/IF(Inputs!$B$39="pvp",15,MAX(0.1,Skills!D15-IF(Skills!E15=TRUE,1.0,0))))+1)),0)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IFERROR(1/IF(Inputs!$B$39="pvp",15,MAX(0.1,Skills!D16-IF(Skills!E16=TRUE,1.0,0))),0)</f>
        <v/>
      </c>
      <c r="R3238">
        <f>IF(AND(Inputs!$B$39&lt;&gt;"pvp",Inputs!$B$44&gt;0),IF(Inputs!$B$44&lt;=0,0,(INT(Inputs!$B$44/IF(Inputs!$B$39="pvp",15,MAX(0.1,Skills!D16-IF(Skills!E16=TRUE,1.0,0))))+1)),0)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IFERROR(1/IF(Inputs!$B$39="pvp",15,MAX(0.1,Skills!D19-IF(Skills!E19=TRUE,1.0,0))),0)</f>
        <v/>
      </c>
      <c r="R3241">
        <f>IF(AND(Inputs!$B$39&lt;&gt;"pvp",Inputs!$B$44&gt;0),IF(Inputs!$B$44&lt;=0,0,(INT(Inputs!$B$44/IF(Inputs!$B$39="pvp",15,MAX(0.1,Skills!D19-IF(Skills!E19=TRUE,1.0,0))))+1)),0)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IFERROR(1/IF(Inputs!$B$39="pvp",15,MAX(0.1,Skills!D20-IF(Skills!E20=TRUE,1.0,0))),0)</f>
        <v/>
      </c>
      <c r="R3242">
        <f>IF(AND(Inputs!$B$39&lt;&gt;"pvp",Inputs!$B$44&gt;0),IF(Inputs!$B$44&lt;=0,0,(INT(Inputs!$B$44/IF(Inputs!$B$39="pvp",15,MAX(0.1,Skills!D20-IF(Skills!E20=TRUE,1.0,0))))+1)),0)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IFERROR(1/IF(Inputs!$B$39="pvp",15,MAX(0.1,Skills!D21-IF(Skills!E21=TRUE,1.0,0))),0)</f>
        <v/>
      </c>
      <c r="R3243">
        <f>IF(AND(Inputs!$B$39&lt;&gt;"pvp",Inputs!$B$44&gt;0),IF(Inputs!$B$44&lt;=0,0,(INT(Inputs!$B$44/IF(Inputs!$B$39="pvp",15,MAX(0.1,Skills!D21-IF(Skills!E21=TRUE,1.0,0))))+1)),0)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Skills!Y19*(1+Inputs!$B$34/100))+MIN((Skills!Y19*(1+Inputs!$B$34/100)),MAX(0,Inputs!$B$44-((R3241-1)*Skills!D19))))/Inputs!$B$44),IF(Inputs!$B$39="pvp",MIN((Skills!Y19*(1+Inputs!$B$34/100)),15)/15,(Skills!Y19*(1+Inputs!$B$34/100))/Skills!D19)))/150)))/100</f>
        <v/>
      </c>
    </row>
    <row r="3256">
      <c r="A3256" t="inlineStr">
        <is>
          <t>Alchemic Adrenaline Uptime</t>
        </is>
      </c>
      <c r="B3256">
        <f>(Skills!Y6*(1+Inputs!$B$34/100))/((Skills!Y6*(1+Inputs!$B$34/100))+(5/B3255))</f>
        <v/>
      </c>
    </row>
    <row r="3257">
      <c r="A3257" t="inlineStr">
        <is>
          <t>Attack Speed Buff Bonus %</t>
        </is>
      </c>
      <c r="B3257">
        <f>((C3241=TRUE)*F3241*IF(AND(Inputs!$B$39&lt;&gt;"pvp",Inputs!$B$44&gt;0),(((R3241-1)*(Skills!Y19*(1+Inputs!$B$34/100))+MIN((Skills!Y19*(1+Inputs!$B$34/100)),MAX(0,Inputs!$B$44-((R3241-1)*Skills!D19))))/Inputs!$B$44),IF(Inputs!$B$39="pvp",MIN((Skills!Y19*(1+Inputs!$B$34/100)),15)/15,(Skills!Y19*(1+Inputs!$B$34/100))/Skills!D19)))+((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f>
        <v/>
      </c>
    </row>
    <row r="3262">
      <c r="A3262" t="inlineStr">
        <is>
          <t>Global Crit Rate Bonus %</t>
        </is>
      </c>
      <c r="B3262">
        <f>IF(Inputs!$B$3&gt;=47,8,0)+((C3242=TRUE)*F3242*IF(AND(Inputs!$B$39&lt;&gt;"pvp",Inputs!$B$44&gt;0),(((R3242-1)*(Skills!Y20*(1+Inputs!$B$34/100))+MIN((Skills!Y20*(1+Inputs!$B$34/100)),MAX(0,Inputs!$B$44-((R3242-1)*Skills!D20))))/Inputs!$B$44),IF(Inputs!$B$39="pvp",MIN((Skills!Y20*(1+Inputs!$B$34/100)),15)/15,(Skills!Y20*(1+Inputs!$B$34/100))/Skills!D20)))</f>
        <v/>
      </c>
    </row>
    <row r="3263">
      <c r="A3263" t="inlineStr">
        <is>
          <t>Global Monster Damage-Taken Bonus %</t>
        </is>
      </c>
      <c r="B3263">
        <f>IF(Inputs!$B$3&gt;=82,15,0)+((C3238=TRUE)*F3238*IF(AND(Inputs!$B$39&lt;&gt;"pvp",Inputs!$B$44&gt;0),(((R3238-1)*(Skills!Y16*(1+Inputs!$B$34/100))+MIN((Skills!Y16*(1+Inputs!$B$34/100)),MAX(0,Inputs!$B$44-((R3238-1)*Skills!D16))))/Inputs!$B$44),IF(Inputs!$B$39="pvp",MIN((Skills!Y16*(1+Inputs!$B$34/100)),15)/15,(Skills!Y16*(1+Inputs!$B$34/100))/Skills!D16)))</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Skills!Y16*(1+Inputs!$B$34/100))+MIN((Skills!Y16*(1+Inputs!$B$34/100)),MAX(0,Inputs!$B$44-((R3238-1)*Skills!D16))))/Inputs!$B$44),IF(Inputs!$B$39="pvp",MIN((Skills!Y16*(1+Inputs!$B$34/100)),15)/15,(Skills!Y16*(1+Inputs!$B$34/100))/Skills!D16))</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IFERROR(1/IF(Inputs!$B$39="pvp",15,MAX(0.1,Skills!D3-IF(Skills!E3=TRUE,1.5,0))),0)</f>
        <v/>
      </c>
      <c r="R3274">
        <f>IF(AND(Inputs!$B$39&lt;&gt;"pvp",Inputs!$B$44&gt;0),IF(MAX(0,Inputs!$B$44-B3316)&lt;=0,0,(INT(MAX(0,Inputs!$B$44-B3316)/IF(Inputs!$B$39="pvp",15,MAX(0.1,Skills!D3-IF(Skills!E3=TRUE,1.5,0))))+1)),0)</f>
        <v/>
      </c>
      <c r="S3274">
        <f>IFERROR(O3274/N3274,0)</f>
        <v/>
      </c>
      <c r="T3274">
        <f>IF(C3274,(H3274*N3274*IF(AND(Inputs!$B$39&lt;&gt;"pvp",Inputs!$B$44&gt;0),((Skills!G3*((R3274-1)*IF(Skills!H3&gt;0,Skills!I3/Skills!H3,1)+IF(Skills!H3&gt;0,MIN(Skills!I3,MAX(0,MAX(0,Inputs!$B$44-B3316)-((R3274-1)*IF(Inputs!$B$39="pvp",15,MAX(0.1,Skills!D3-IF(Skills!E3=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Skills!E3=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Inputs!$B$3&gt;=40</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IFERROR(1/IF(Inputs!$B$39="pvp",15,MAX(0.1,Skills!D4-IF(Skills!E4=TRUE,1.5,0))),0)</f>
        <v/>
      </c>
      <c r="R3275">
        <f>IF(AND(Inputs!$B$39&lt;&gt;"pvp",Inputs!$B$44&gt;0),IF(MAX(0,Inputs!$B$44-B3316)&lt;=0,0,(INT(MAX(0,Inputs!$B$44-B3316)/IF(Inputs!$B$39="pvp",15,MAX(0.1,Skills!D4-IF(Skills!E4=TRUE,1.5,0))))+1)),0)</f>
        <v/>
      </c>
      <c r="S3275">
        <f>IFERROR(O3275/N3275,0)</f>
        <v/>
      </c>
      <c r="T3275">
        <f>IF(C3275,(H3275*N3275*IF(AND(Inputs!$B$39&lt;&gt;"pvp",Inputs!$B$44&gt;0),((Skills!G4*((R3275-1)*IF(Skills!H4&gt;0,Skills!I4/Skills!H4,1)+IF(Skills!H4&gt;0,MIN(Skills!I4,MAX(0,MAX(0,Inputs!$B$44-B3316)-((R3275-1)*IF(Inputs!$B$39="pvp",15,MAX(0.1,Skills!D4-IF(Skills!E4=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Skills!E4=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IFERROR(1/IF(Inputs!$B$39="pvp",15,MAX(0.1,Skills!D5-IF(Skills!E5=TRUE,1.5,0))),0)</f>
        <v/>
      </c>
      <c r="R3276">
        <f>IF(AND(Inputs!$B$39&lt;&gt;"pvp",Inputs!$B$44&gt;0),IF(MAX(0,Inputs!$B$44-B3316)&lt;=0,0,(INT(MAX(0,Inputs!$B$44-B3316)/IF(Inputs!$B$39="pvp",15,MAX(0.1,Skills!D5-IF(Skills!E5=TRUE,1.5,0))))+1)),0)</f>
        <v/>
      </c>
      <c r="S3276">
        <f>IFERROR(O3276/N3276,0)</f>
        <v/>
      </c>
      <c r="T3276">
        <f>IF(C3276,(H3276*N3276*IF(AND(Inputs!$B$39&lt;&gt;"pvp",Inputs!$B$44&gt;0),((Skills!G5*((R3276-1)*IF(Skills!H5&gt;0,Skills!I5/Skills!H5,1)+IF(Skills!H5&gt;0,MIN(Skills!I5,MAX(0,MAX(0,Inputs!$B$44-B3316)-((R3276-1)*IF(Inputs!$B$39="pvp",15,MAX(0.1,Skills!D5-IF(Skills!E5=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Skills!E5=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IFERROR(1/IF(Inputs!$B$39="pvp",15,MAX(0.1,Skills!D8-IF(Skills!E8=TRUE,1.5,0))),0)</f>
        <v/>
      </c>
      <c r="R3279">
        <f>IF(AND(Inputs!$B$39&lt;&gt;"pvp",Inputs!$B$44&gt;0),IF(MAX(0,Inputs!$B$44-B3316)&lt;=0,0,(INT(MAX(0,Inputs!$B$44-B3316)/IF(Inputs!$B$39="pvp",15,MAX(0.1,Skills!D8-IF(Skills!E8=TRUE,1.5,0))))+1)),0)</f>
        <v/>
      </c>
      <c r="S3279">
        <f>IFERROR(O3279/N3279,0)</f>
        <v/>
      </c>
      <c r="T3279">
        <f>IF(C3279,(H3279*N3279*IF(AND(Inputs!$B$39&lt;&gt;"pvp",Inputs!$B$44&gt;0),((Skills!G8*((R3279-1)*IF(Skills!H8&gt;0,Skills!I8/Skills!H8,1)+IF(Skills!H8&gt;0,MIN(Skills!I8,MAX(0,MAX(0,Inputs!$B$44-B3316)-((R3279-1)*IF(Inputs!$B$39="pvp",15,MAX(0.1,Skills!D8-IF(Skills!E8=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Skills!E8=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Inputs!$B$3&gt;=72</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IFERROR(1/IF(Inputs!$B$39="pvp",15,MAX(0.1,Skills!D9-IF(Skills!E9=TRUE,1.5,0))),0)</f>
        <v/>
      </c>
      <c r="R3280">
        <f>IF(AND(Inputs!$B$39&lt;&gt;"pvp",Inputs!$B$44&gt;0),IF(MAX(0,Inputs!$B$44-B3316)&lt;=0,0,(INT(MAX(0,Inputs!$B$44-B3316)/IF(Inputs!$B$39="pvp",15,MAX(0.1,Skills!D9-IF(Skills!E9=TRUE,1.5,0))))+1)),0)</f>
        <v/>
      </c>
      <c r="S3280">
        <f>IFERROR(O3280/N3280,0)</f>
        <v/>
      </c>
      <c r="T3280">
        <f>IF(C3280,(H3280*N3280*IF(AND(Inputs!$B$39&lt;&gt;"pvp",Inputs!$B$44&gt;0),((Skills!G9*((R3280-1)*IF(Skills!H9&gt;0,Skills!I9/Skills!H9,1)+IF(Skills!H9&gt;0,MIN(Skills!I9,MAX(0,MAX(0,Inputs!$B$44-B3316)-((R3280-1)*IF(Inputs!$B$39="pvp",15,MAX(0.1,Skills!D9-IF(Skills!E9=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Skills!E9=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IFERROR(1/IF(Inputs!$B$39="pvp",15,MAX(0.1,Skills!D12-IF(Skills!E12=TRUE,1.5,0))),0)</f>
        <v/>
      </c>
      <c r="R3283">
        <f>IF(AND(Inputs!$B$39&lt;&gt;"pvp",Inputs!$B$44&gt;0),IF(MAX(0,Inputs!$B$44-B3316)&lt;=0,0,(INT(MAX(0,Inputs!$B$44-B3316)/IF(Inputs!$B$39="pvp",15,MAX(0.1,Skills!D12-IF(Skills!E12=TRUE,1.5,0))))+1)),0)</f>
        <v/>
      </c>
      <c r="S3283">
        <f>IFERROR(O3283/N3283,0)</f>
        <v/>
      </c>
      <c r="T3283">
        <f>IF(C3283,(H3283*N3283*IF(AND(Inputs!$B$39&lt;&gt;"pvp",Inputs!$B$44&gt;0),((Skills!G12*((R3283-1)*IF(Skills!H12&gt;0,Skills!I12/Skills!H12,1)+IF(Skills!H12&gt;0,MIN(Skills!I12,MAX(0,MAX(0,Inputs!$B$44-B3316)-((R3283-1)*IF(Inputs!$B$39="pvp",15,MAX(0.1,Skills!D12-IF(Skills!E12=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Skills!E12=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IFERROR(1/IF(Inputs!$B$39="pvp",15,MAX(0.1,Skills!D13-IF(Skills!E13=TRUE,1.5,0))),0)</f>
        <v/>
      </c>
      <c r="R3284">
        <f>IF(AND(Inputs!$B$39&lt;&gt;"pvp",Inputs!$B$44&gt;0),IF(MAX(0,Inputs!$B$44-B3316)&lt;=0,0,(INT(MAX(0,Inputs!$B$44-B3316)/IF(Inputs!$B$39="pvp",15,MAX(0.1,Skills!D13-IF(Skills!E13=TRUE,1.5,0))))+1)),0)</f>
        <v/>
      </c>
      <c r="S3284">
        <f>IFERROR(O3284/N3284,0)</f>
        <v/>
      </c>
      <c r="T3284">
        <f>IF(C3284,(H3284*N3284*IF(AND(Inputs!$B$39&lt;&gt;"pvp",Inputs!$B$44&gt;0),((Skills!G13*((R3284-1)*IF(Skills!H13&gt;0,Skills!I13/Skills!H13,1)+IF(Skills!H13&gt;0,MIN(Skills!I13,MAX(0,MAX(0,Inputs!$B$44-B3316)-((R3284-1)*IF(Inputs!$B$39="pvp",15,MAX(0.1,Skills!D13-IF(Skills!E13=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Skills!E13=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IFERROR(1/IF(Inputs!$B$39="pvp",15,MAX(0.1,Skills!D14-IF(Skills!E14=TRUE,1.5,0))),0)</f>
        <v/>
      </c>
      <c r="R3285">
        <f>IF(AND(Inputs!$B$39&lt;&gt;"pvp",Inputs!$B$44&gt;0),IF(MAX(0,Inputs!$B$44-B3316)&lt;=0,0,(INT(MAX(0,Inputs!$B$44-B3316)/IF(Inputs!$B$39="pvp",15,MAX(0.1,Skills!D14-IF(Skills!E14=TRUE,1.5,0))))+1)),0)</f>
        <v/>
      </c>
      <c r="S3285">
        <f>IFERROR(O3285/N3285,0)</f>
        <v/>
      </c>
      <c r="T3285">
        <f>IF(C3285,(H3285*N3285*IF(AND(Inputs!$B$39&lt;&gt;"pvp",Inputs!$B$44&gt;0),((Skills!G14*((R3285-1)*IF(Skills!H14&gt;0,Skills!I14/Skills!H14,1)+IF(Skills!H14&gt;0,MIN(Skills!I14,MAX(0,MAX(0,Inputs!$B$44-B3316)-((R3285-1)*IF(Inputs!$B$39="pvp",15,MAX(0.1,Skills!D14-IF(Skills!E14=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Skills!E14=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IFERROR(1/IF(Inputs!$B$39="pvp",15,MAX(0.1,Skills!D15-IF(Skills!E15=TRUE,1.5,0))),0)</f>
        <v/>
      </c>
      <c r="R3286">
        <f>IF(AND(Inputs!$B$39&lt;&gt;"pvp",Inputs!$B$44&gt;0),IF(Inputs!$B$44&lt;=0,0,(INT(Inputs!$B$44/IF(Inputs!$B$39="pvp",15,MAX(0.1,Skills!D15-IF(Skills!E15=TRUE,1.5,0))))+1)),0)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IFERROR(1/IF(Inputs!$B$39="pvp",15,MAX(0.1,Skills!D16-IF(Skills!E16=TRUE,1.5,0))),0)</f>
        <v/>
      </c>
      <c r="R3287">
        <f>IF(AND(Inputs!$B$39&lt;&gt;"pvp",Inputs!$B$44&gt;0),IF(Inputs!$B$44&lt;=0,0,(INT(Inputs!$B$44/IF(Inputs!$B$39="pvp",15,MAX(0.1,Skills!D16-IF(Skills!E16=TRUE,1.5,0))))+1)),0)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IFERROR(1/IF(Inputs!$B$39="pvp",15,MAX(0.1,Skills!D19-IF(Skills!E19=TRUE,1.5,0))),0)</f>
        <v/>
      </c>
      <c r="R3290">
        <f>IF(AND(Inputs!$B$39&lt;&gt;"pvp",Inputs!$B$44&gt;0),IF(Inputs!$B$44&lt;=0,0,(INT(Inputs!$B$44/IF(Inputs!$B$39="pvp",15,MAX(0.1,Skills!D19-IF(Skills!E19=TRUE,1.5,0))))+1)),0)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IFERROR(1/IF(Inputs!$B$39="pvp",15,MAX(0.1,Skills!D20-IF(Skills!E20=TRUE,1.5,0))),0)</f>
        <v/>
      </c>
      <c r="R3291">
        <f>IF(AND(Inputs!$B$39&lt;&gt;"pvp",Inputs!$B$44&gt;0),IF(Inputs!$B$44&lt;=0,0,(INT(Inputs!$B$44/IF(Inputs!$B$39="pvp",15,MAX(0.1,Skills!D20-IF(Skills!E20=TRUE,1.5,0))))+1)),0)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IFERROR(1/IF(Inputs!$B$39="pvp",15,MAX(0.1,Skills!D21-IF(Skills!E21=TRUE,1.5,0))),0)</f>
        <v/>
      </c>
      <c r="R3292">
        <f>IF(AND(Inputs!$B$39&lt;&gt;"pvp",Inputs!$B$44&gt;0),IF(Inputs!$B$44&lt;=0,0,(INT(Inputs!$B$44/IF(Inputs!$B$39="pvp",15,MAX(0.1,Skills!D21-IF(Skills!E21=TRUE,1.5,0))))+1)),0)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Skills!Y19*(1+Inputs!$B$34/100))+MIN((Skills!Y19*(1+Inputs!$B$34/100)),MAX(0,Inputs!$B$44-((R3290-1)*Skills!D19))))/Inputs!$B$44),IF(Inputs!$B$39="pvp",MIN((Skills!Y19*(1+Inputs!$B$34/100)),15)/15,(Skills!Y19*(1+Inputs!$B$34/100))/Skills!D19)))/150)))/100</f>
        <v/>
      </c>
    </row>
    <row r="3305">
      <c r="A3305" t="inlineStr">
        <is>
          <t>Alchemic Adrenaline Uptime</t>
        </is>
      </c>
      <c r="B3305">
        <f>(Skills!Y6*(1+Inputs!$B$34/100))/((Skills!Y6*(1+Inputs!$B$34/100))+(5/B3304))</f>
        <v/>
      </c>
    </row>
    <row r="3306">
      <c r="A3306" t="inlineStr">
        <is>
          <t>Attack Speed Buff Bonus %</t>
        </is>
      </c>
      <c r="B3306">
        <f>((C3290=TRUE)*F3290*IF(AND(Inputs!$B$39&lt;&gt;"pvp",Inputs!$B$44&gt;0),(((R3290-1)*(Skills!Y19*(1+Inputs!$B$34/100))+MIN((Skills!Y19*(1+Inputs!$B$34/100)),MAX(0,Inputs!$B$44-((R3290-1)*Skills!D19))))/Inputs!$B$44),IF(Inputs!$B$39="pvp",MIN((Skills!Y19*(1+Inputs!$B$34/100)),15)/15,(Skills!Y19*(1+Inputs!$B$34/100))/Skills!D19)))+((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f>
        <v/>
      </c>
    </row>
    <row r="3311">
      <c r="A3311" t="inlineStr">
        <is>
          <t>Global Crit Rate Bonus %</t>
        </is>
      </c>
      <c r="B3311">
        <f>IF(Inputs!$B$3&gt;=47,8,0)+((C3291=TRUE)*F3291*IF(AND(Inputs!$B$39&lt;&gt;"pvp",Inputs!$B$44&gt;0),(((R3291-1)*(Skills!Y20*(1+Inputs!$B$34/100))+MIN((Skills!Y20*(1+Inputs!$B$34/100)),MAX(0,Inputs!$B$44-((R3291-1)*Skills!D20))))/Inputs!$B$44),IF(Inputs!$B$39="pvp",MIN((Skills!Y20*(1+Inputs!$B$34/100)),15)/15,(Skills!Y20*(1+Inputs!$B$34/100))/Skills!D20)))</f>
        <v/>
      </c>
    </row>
    <row r="3312">
      <c r="A3312" t="inlineStr">
        <is>
          <t>Global Monster Damage-Taken Bonus %</t>
        </is>
      </c>
      <c r="B3312">
        <f>IF(Inputs!$B$3&gt;=82,15,0)+((C3287=TRUE)*F3287*IF(AND(Inputs!$B$39&lt;&gt;"pvp",Inputs!$B$44&gt;0),(((R3287-1)*(Skills!Y16*(1+Inputs!$B$34/100))+MIN((Skills!Y16*(1+Inputs!$B$34/100)),MAX(0,Inputs!$B$44-((R3287-1)*Skills!D16))))/Inputs!$B$44),IF(Inputs!$B$39="pvp",MIN((Skills!Y16*(1+Inputs!$B$34/100)),15)/15,(Skills!Y16*(1+Inputs!$B$34/100))/Skills!D16)))</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Skills!Y16*(1+Inputs!$B$34/100))+MIN((Skills!Y16*(1+Inputs!$B$34/100)),MAX(0,Inputs!$B$44-((R3287-1)*Skills!D16))))/Inputs!$B$44),IF(Inputs!$B$39="pvp",MIN((Skills!Y16*(1+Inputs!$B$34/100)),15)/15,(Skills!Y16*(1+Inputs!$B$34/100))/Skills!D16))</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IFERROR(1/IF(Inputs!$B$39="pvp",15,MAX(0.1,Skills!D3-IF(Skills!E3=TRUE,2.0,0))),0)</f>
        <v/>
      </c>
      <c r="R3323">
        <f>IF(AND(Inputs!$B$39&lt;&gt;"pvp",Inputs!$B$44&gt;0),IF(MAX(0,Inputs!$B$44-B3365)&lt;=0,0,(INT(MAX(0,Inputs!$B$44-B3365)/IF(Inputs!$B$39="pvp",15,MAX(0.1,Skills!D3-IF(Skills!E3=TRUE,2.0,0))))+1)),0)</f>
        <v/>
      </c>
      <c r="S3323">
        <f>IFERROR(O3323/N3323,0)</f>
        <v/>
      </c>
      <c r="T3323">
        <f>IF(C3323,(H3323*N3323*IF(AND(Inputs!$B$39&lt;&gt;"pvp",Inputs!$B$44&gt;0),((Skills!G3*((R3323-1)*IF(Skills!H3&gt;0,Skills!I3/Skills!H3,1)+IF(Skills!H3&gt;0,MIN(Skills!I3,MAX(0,MAX(0,Inputs!$B$44-B3365)-((R3323-1)*IF(Inputs!$B$39="pvp",15,MAX(0.1,Skills!D3-IF(Skills!E3=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Skills!E3=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Inputs!$B$3&gt;=40</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IFERROR(1/IF(Inputs!$B$39="pvp",15,MAX(0.1,Skills!D4-IF(Skills!E4=TRUE,2.0,0))),0)</f>
        <v/>
      </c>
      <c r="R3324">
        <f>IF(AND(Inputs!$B$39&lt;&gt;"pvp",Inputs!$B$44&gt;0),IF(MAX(0,Inputs!$B$44-B3365)&lt;=0,0,(INT(MAX(0,Inputs!$B$44-B3365)/IF(Inputs!$B$39="pvp",15,MAX(0.1,Skills!D4-IF(Skills!E4=TRUE,2.0,0))))+1)),0)</f>
        <v/>
      </c>
      <c r="S3324">
        <f>IFERROR(O3324/N3324,0)</f>
        <v/>
      </c>
      <c r="T3324">
        <f>IF(C3324,(H3324*N3324*IF(AND(Inputs!$B$39&lt;&gt;"pvp",Inputs!$B$44&gt;0),((Skills!G4*((R3324-1)*IF(Skills!H4&gt;0,Skills!I4/Skills!H4,1)+IF(Skills!H4&gt;0,MIN(Skills!I4,MAX(0,MAX(0,Inputs!$B$44-B3365)-((R3324-1)*IF(Inputs!$B$39="pvp",15,MAX(0.1,Skills!D4-IF(Skills!E4=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Skills!E4=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IFERROR(1/IF(Inputs!$B$39="pvp",15,MAX(0.1,Skills!D5-IF(Skills!E5=TRUE,2.0,0))),0)</f>
        <v/>
      </c>
      <c r="R3325">
        <f>IF(AND(Inputs!$B$39&lt;&gt;"pvp",Inputs!$B$44&gt;0),IF(MAX(0,Inputs!$B$44-B3365)&lt;=0,0,(INT(MAX(0,Inputs!$B$44-B3365)/IF(Inputs!$B$39="pvp",15,MAX(0.1,Skills!D5-IF(Skills!E5=TRUE,2.0,0))))+1)),0)</f>
        <v/>
      </c>
      <c r="S3325">
        <f>IFERROR(O3325/N3325,0)</f>
        <v/>
      </c>
      <c r="T3325">
        <f>IF(C3325,(H3325*N3325*IF(AND(Inputs!$B$39&lt;&gt;"pvp",Inputs!$B$44&gt;0),((Skills!G5*((R3325-1)*IF(Skills!H5&gt;0,Skills!I5/Skills!H5,1)+IF(Skills!H5&gt;0,MIN(Skills!I5,MAX(0,MAX(0,Inputs!$B$44-B3365)-((R3325-1)*IF(Inputs!$B$39="pvp",15,MAX(0.1,Skills!D5-IF(Skills!E5=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Skills!E5=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IFERROR(1/IF(Inputs!$B$39="pvp",15,MAX(0.1,Skills!D8-IF(Skills!E8=TRUE,2.0,0))),0)</f>
        <v/>
      </c>
      <c r="R3328">
        <f>IF(AND(Inputs!$B$39&lt;&gt;"pvp",Inputs!$B$44&gt;0),IF(MAX(0,Inputs!$B$44-B3365)&lt;=0,0,(INT(MAX(0,Inputs!$B$44-B3365)/IF(Inputs!$B$39="pvp",15,MAX(0.1,Skills!D8-IF(Skills!E8=TRUE,2.0,0))))+1)),0)</f>
        <v/>
      </c>
      <c r="S3328">
        <f>IFERROR(O3328/N3328,0)</f>
        <v/>
      </c>
      <c r="T3328">
        <f>IF(C3328,(H3328*N3328*IF(AND(Inputs!$B$39&lt;&gt;"pvp",Inputs!$B$44&gt;0),((Skills!G8*((R3328-1)*IF(Skills!H8&gt;0,Skills!I8/Skills!H8,1)+IF(Skills!H8&gt;0,MIN(Skills!I8,MAX(0,MAX(0,Inputs!$B$44-B3365)-((R3328-1)*IF(Inputs!$B$39="pvp",15,MAX(0.1,Skills!D8-IF(Skills!E8=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Skills!E8=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Inputs!$B$3&gt;=72</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IFERROR(1/IF(Inputs!$B$39="pvp",15,MAX(0.1,Skills!D9-IF(Skills!E9=TRUE,2.0,0))),0)</f>
        <v/>
      </c>
      <c r="R3329">
        <f>IF(AND(Inputs!$B$39&lt;&gt;"pvp",Inputs!$B$44&gt;0),IF(MAX(0,Inputs!$B$44-B3365)&lt;=0,0,(INT(MAX(0,Inputs!$B$44-B3365)/IF(Inputs!$B$39="pvp",15,MAX(0.1,Skills!D9-IF(Skills!E9=TRUE,2.0,0))))+1)),0)</f>
        <v/>
      </c>
      <c r="S3329">
        <f>IFERROR(O3329/N3329,0)</f>
        <v/>
      </c>
      <c r="T3329">
        <f>IF(C3329,(H3329*N3329*IF(AND(Inputs!$B$39&lt;&gt;"pvp",Inputs!$B$44&gt;0),((Skills!G9*((R3329-1)*IF(Skills!H9&gt;0,Skills!I9/Skills!H9,1)+IF(Skills!H9&gt;0,MIN(Skills!I9,MAX(0,MAX(0,Inputs!$B$44-B3365)-((R3329-1)*IF(Inputs!$B$39="pvp",15,MAX(0.1,Skills!D9-IF(Skills!E9=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Skills!E9=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IFERROR(1/IF(Inputs!$B$39="pvp",15,MAX(0.1,Skills!D12-IF(Skills!E12=TRUE,2.0,0))),0)</f>
        <v/>
      </c>
      <c r="R3332">
        <f>IF(AND(Inputs!$B$39&lt;&gt;"pvp",Inputs!$B$44&gt;0),IF(MAX(0,Inputs!$B$44-B3365)&lt;=0,0,(INT(MAX(0,Inputs!$B$44-B3365)/IF(Inputs!$B$39="pvp",15,MAX(0.1,Skills!D12-IF(Skills!E12=TRUE,2.0,0))))+1)),0)</f>
        <v/>
      </c>
      <c r="S3332">
        <f>IFERROR(O3332/N3332,0)</f>
        <v/>
      </c>
      <c r="T3332">
        <f>IF(C3332,(H3332*N3332*IF(AND(Inputs!$B$39&lt;&gt;"pvp",Inputs!$B$44&gt;0),((Skills!G12*((R3332-1)*IF(Skills!H12&gt;0,Skills!I12/Skills!H12,1)+IF(Skills!H12&gt;0,MIN(Skills!I12,MAX(0,MAX(0,Inputs!$B$44-B3365)-((R3332-1)*IF(Inputs!$B$39="pvp",15,MAX(0.1,Skills!D12-IF(Skills!E12=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Skills!E12=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IFERROR(1/IF(Inputs!$B$39="pvp",15,MAX(0.1,Skills!D13-IF(Skills!E13=TRUE,2.0,0))),0)</f>
        <v/>
      </c>
      <c r="R3333">
        <f>IF(AND(Inputs!$B$39&lt;&gt;"pvp",Inputs!$B$44&gt;0),IF(MAX(0,Inputs!$B$44-B3365)&lt;=0,0,(INT(MAX(0,Inputs!$B$44-B3365)/IF(Inputs!$B$39="pvp",15,MAX(0.1,Skills!D13-IF(Skills!E13=TRUE,2.0,0))))+1)),0)</f>
        <v/>
      </c>
      <c r="S3333">
        <f>IFERROR(O3333/N3333,0)</f>
        <v/>
      </c>
      <c r="T3333">
        <f>IF(C3333,(H3333*N3333*IF(AND(Inputs!$B$39&lt;&gt;"pvp",Inputs!$B$44&gt;0),((Skills!G13*((R3333-1)*IF(Skills!H13&gt;0,Skills!I13/Skills!H13,1)+IF(Skills!H13&gt;0,MIN(Skills!I13,MAX(0,MAX(0,Inputs!$B$44-B3365)-((R3333-1)*IF(Inputs!$B$39="pvp",15,MAX(0.1,Skills!D13-IF(Skills!E13=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Skills!E13=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IFERROR(1/IF(Inputs!$B$39="pvp",15,MAX(0.1,Skills!D14-IF(Skills!E14=TRUE,2.0,0))),0)</f>
        <v/>
      </c>
      <c r="R3334">
        <f>IF(AND(Inputs!$B$39&lt;&gt;"pvp",Inputs!$B$44&gt;0),IF(MAX(0,Inputs!$B$44-B3365)&lt;=0,0,(INT(MAX(0,Inputs!$B$44-B3365)/IF(Inputs!$B$39="pvp",15,MAX(0.1,Skills!D14-IF(Skills!E14=TRUE,2.0,0))))+1)),0)</f>
        <v/>
      </c>
      <c r="S3334">
        <f>IFERROR(O3334/N3334,0)</f>
        <v/>
      </c>
      <c r="T3334">
        <f>IF(C3334,(H3334*N3334*IF(AND(Inputs!$B$39&lt;&gt;"pvp",Inputs!$B$44&gt;0),((Skills!G14*((R3334-1)*IF(Skills!H14&gt;0,Skills!I14/Skills!H14,1)+IF(Skills!H14&gt;0,MIN(Skills!I14,MAX(0,MAX(0,Inputs!$B$44-B3365)-((R3334-1)*IF(Inputs!$B$39="pvp",15,MAX(0.1,Skills!D14-IF(Skills!E14=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Skills!E14=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IFERROR(1/IF(Inputs!$B$39="pvp",15,MAX(0.1,Skills!D15-IF(Skills!E15=TRUE,2.0,0))),0)</f>
        <v/>
      </c>
      <c r="R3335">
        <f>IF(AND(Inputs!$B$39&lt;&gt;"pvp",Inputs!$B$44&gt;0),IF(Inputs!$B$44&lt;=0,0,(INT(Inputs!$B$44/IF(Inputs!$B$39="pvp",15,MAX(0.1,Skills!D15-IF(Skills!E15=TRUE,2.0,0))))+1)),0)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IFERROR(1/IF(Inputs!$B$39="pvp",15,MAX(0.1,Skills!D16-IF(Skills!E16=TRUE,2.0,0))),0)</f>
        <v/>
      </c>
      <c r="R3336">
        <f>IF(AND(Inputs!$B$39&lt;&gt;"pvp",Inputs!$B$44&gt;0),IF(Inputs!$B$44&lt;=0,0,(INT(Inputs!$B$44/IF(Inputs!$B$39="pvp",15,MAX(0.1,Skills!D16-IF(Skills!E16=TRUE,2.0,0))))+1)),0)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IFERROR(1/IF(Inputs!$B$39="pvp",15,MAX(0.1,Skills!D19-IF(Skills!E19=TRUE,2.0,0))),0)</f>
        <v/>
      </c>
      <c r="R3339">
        <f>IF(AND(Inputs!$B$39&lt;&gt;"pvp",Inputs!$B$44&gt;0),IF(Inputs!$B$44&lt;=0,0,(INT(Inputs!$B$44/IF(Inputs!$B$39="pvp",15,MAX(0.1,Skills!D19-IF(Skills!E19=TRUE,2.0,0))))+1)),0)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IFERROR(1/IF(Inputs!$B$39="pvp",15,MAX(0.1,Skills!D20-IF(Skills!E20=TRUE,2.0,0))),0)</f>
        <v/>
      </c>
      <c r="R3340">
        <f>IF(AND(Inputs!$B$39&lt;&gt;"pvp",Inputs!$B$44&gt;0),IF(Inputs!$B$44&lt;=0,0,(INT(Inputs!$B$44/IF(Inputs!$B$39="pvp",15,MAX(0.1,Skills!D20-IF(Skills!E20=TRUE,2.0,0))))+1)),0)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IFERROR(1/IF(Inputs!$B$39="pvp",15,MAX(0.1,Skills!D21-IF(Skills!E21=TRUE,2.0,0))),0)</f>
        <v/>
      </c>
      <c r="R3341">
        <f>IF(AND(Inputs!$B$39&lt;&gt;"pvp",Inputs!$B$44&gt;0),IF(Inputs!$B$44&lt;=0,0,(INT(Inputs!$B$44/IF(Inputs!$B$39="pvp",15,MAX(0.1,Skills!D21-IF(Skills!E21=TRUE,2.0,0))))+1)),0)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Skills!Y19*(1+Inputs!$B$34/100))+MIN((Skills!Y19*(1+Inputs!$B$34/100)),MAX(0,Inputs!$B$44-((R3339-1)*Skills!D19))))/Inputs!$B$44),IF(Inputs!$B$39="pvp",MIN((Skills!Y19*(1+Inputs!$B$34/100)),15)/15,(Skills!Y19*(1+Inputs!$B$34/100))/Skills!D19)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Skills!Y19*(1+Inputs!$B$34/100))+MIN((Skills!Y19*(1+Inputs!$B$34/100)),MAX(0,Inputs!$B$44-((R3339-1)*Skills!D19))))/Inputs!$B$44),IF(Inputs!$B$39="pvp",MIN((Skills!Y19*(1+Inputs!$B$34/100)),15)/15,(Skills!Y19*(1+Inputs!$B$34/100))/Skills!D19)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f>
        <v/>
      </c>
    </row>
    <row r="3360">
      <c r="A3360" t="inlineStr">
        <is>
          <t>Global Crit Rate Bonus %</t>
        </is>
      </c>
      <c r="B3360">
        <f>IF(Inputs!$B$3&gt;=47,8,0)+((C3340=TRUE)*F3340*IF(AND(Inputs!$B$39&lt;&gt;"pvp",Inputs!$B$44&gt;0),(((R3340-1)*(Skills!Y20*(1+Inputs!$B$34/100))+MIN((Skills!Y20*(1+Inputs!$B$34/100)),MAX(0,Inputs!$B$44-((R3340-1)*Skills!D20))))/Inputs!$B$44),IF(Inputs!$B$39="pvp",MIN((Skills!Y20*(1+Inputs!$B$34/100)),15)/15,(Skills!Y20*(1+Inputs!$B$34/100))/Skills!D20)))</f>
        <v/>
      </c>
    </row>
    <row r="3361">
      <c r="A3361" t="inlineStr">
        <is>
          <t>Global Monster Damage-Taken Bonus %</t>
        </is>
      </c>
      <c r="B3361">
        <f>IF(Inputs!$B$3&gt;=82,15,0)+((C3336=TRUE)*F3336*IF(AND(Inputs!$B$39&lt;&gt;"pvp",Inputs!$B$44&gt;0),(((R3336-1)*(Skills!Y16*(1+Inputs!$B$34/100))+MIN((Skills!Y16*(1+Inputs!$B$34/100)),MAX(0,Inputs!$B$44-((R3336-1)*Skills!D16))))/Inputs!$B$44),IF(Inputs!$B$39="pvp",MIN((Skills!Y16*(1+Inputs!$B$34/100)),15)/15,(Skills!Y16*(1+Inputs!$B$34/100))/Skills!D16)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Skills!Y16*(1+Inputs!$B$34/100))+MIN((Skills!Y16*(1+Inputs!$B$34/100)),MAX(0,Inputs!$B$44-((R3336-1)*Skills!D16))))/Inputs!$B$44),IF(Inputs!$B$39="pvp",MIN((Skills!Y16*(1+Inputs!$B$34/100)),15)/15,(Skills!Y16*(1+Inputs!$B$34/100))/Skills!D16)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IFERROR(1/IF(Inputs!$B$39="pvp",15,MAX(0.1,Skills!D3-IF(Skills!E3=TRUE,2.5,0))),0)</f>
        <v/>
      </c>
      <c r="R3372">
        <f>IF(AND(Inputs!$B$39&lt;&gt;"pvp",Inputs!$B$44&gt;0),IF(MAX(0,Inputs!$B$44-B3414)&lt;=0,0,(INT(MAX(0,Inputs!$B$44-B3414)/IF(Inputs!$B$39="pvp",15,MAX(0.1,Skills!D3-IF(Skills!E3=TRUE,2.5,0))))+1)),0)</f>
        <v/>
      </c>
      <c r="S3372">
        <f>IFERROR(O3372/N3372,0)</f>
        <v/>
      </c>
      <c r="T3372">
        <f>IF(C3372,(H3372*N3372*IF(AND(Inputs!$B$39&lt;&gt;"pvp",Inputs!$B$44&gt;0),((Skills!G3*((R3372-1)*IF(Skills!H3&gt;0,Skills!I3/Skills!H3,1)+IF(Skills!H3&gt;0,MIN(Skills!I3,MAX(0,MAX(0,Inputs!$B$44-B3414)-((R3372-1)*IF(Inputs!$B$39="pvp",15,MAX(0.1,Skills!D3-IF(Skills!E3=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Skills!E3=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Inputs!$B$3&gt;=40</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IFERROR(1/IF(Inputs!$B$39="pvp",15,MAX(0.1,Skills!D4-IF(Skills!E4=TRUE,2.5,0))),0)</f>
        <v/>
      </c>
      <c r="R3373">
        <f>IF(AND(Inputs!$B$39&lt;&gt;"pvp",Inputs!$B$44&gt;0),IF(MAX(0,Inputs!$B$44-B3414)&lt;=0,0,(INT(MAX(0,Inputs!$B$44-B3414)/IF(Inputs!$B$39="pvp",15,MAX(0.1,Skills!D4-IF(Skills!E4=TRUE,2.5,0))))+1)),0)</f>
        <v/>
      </c>
      <c r="S3373">
        <f>IFERROR(O3373/N3373,0)</f>
        <v/>
      </c>
      <c r="T3373">
        <f>IF(C3373,(H3373*N3373*IF(AND(Inputs!$B$39&lt;&gt;"pvp",Inputs!$B$44&gt;0),((Skills!G4*((R3373-1)*IF(Skills!H4&gt;0,Skills!I4/Skills!H4,1)+IF(Skills!H4&gt;0,MIN(Skills!I4,MAX(0,MAX(0,Inputs!$B$44-B3414)-((R3373-1)*IF(Inputs!$B$39="pvp",15,MAX(0.1,Skills!D4-IF(Skills!E4=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Skills!E4=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IFERROR(1/IF(Inputs!$B$39="pvp",15,MAX(0.1,Skills!D5-IF(Skills!E5=TRUE,2.5,0))),0)</f>
        <v/>
      </c>
      <c r="R3374">
        <f>IF(AND(Inputs!$B$39&lt;&gt;"pvp",Inputs!$B$44&gt;0),IF(MAX(0,Inputs!$B$44-B3414)&lt;=0,0,(INT(MAX(0,Inputs!$B$44-B3414)/IF(Inputs!$B$39="pvp",15,MAX(0.1,Skills!D5-IF(Skills!E5=TRUE,2.5,0))))+1)),0)</f>
        <v/>
      </c>
      <c r="S3374">
        <f>IFERROR(O3374/N3374,0)</f>
        <v/>
      </c>
      <c r="T3374">
        <f>IF(C3374,(H3374*N3374*IF(AND(Inputs!$B$39&lt;&gt;"pvp",Inputs!$B$44&gt;0),((Skills!G5*((R3374-1)*IF(Skills!H5&gt;0,Skills!I5/Skills!H5,1)+IF(Skills!H5&gt;0,MIN(Skills!I5,MAX(0,MAX(0,Inputs!$B$44-B3414)-((R3374-1)*IF(Inputs!$B$39="pvp",15,MAX(0.1,Skills!D5-IF(Skills!E5=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Skills!E5=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IFERROR(1/IF(Inputs!$B$39="pvp",15,MAX(0.1,Skills!D8-IF(Skills!E8=TRUE,2.5,0))),0)</f>
        <v/>
      </c>
      <c r="R3377">
        <f>IF(AND(Inputs!$B$39&lt;&gt;"pvp",Inputs!$B$44&gt;0),IF(MAX(0,Inputs!$B$44-B3414)&lt;=0,0,(INT(MAX(0,Inputs!$B$44-B3414)/IF(Inputs!$B$39="pvp",15,MAX(0.1,Skills!D8-IF(Skills!E8=TRUE,2.5,0))))+1)),0)</f>
        <v/>
      </c>
      <c r="S3377">
        <f>IFERROR(O3377/N3377,0)</f>
        <v/>
      </c>
      <c r="T3377">
        <f>IF(C3377,(H3377*N3377*IF(AND(Inputs!$B$39&lt;&gt;"pvp",Inputs!$B$44&gt;0),((Skills!G8*((R3377-1)*IF(Skills!H8&gt;0,Skills!I8/Skills!H8,1)+IF(Skills!H8&gt;0,MIN(Skills!I8,MAX(0,MAX(0,Inputs!$B$44-B3414)-((R3377-1)*IF(Inputs!$B$39="pvp",15,MAX(0.1,Skills!D8-IF(Skills!E8=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Skills!E8=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Inputs!$B$3&gt;=72</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IFERROR(1/IF(Inputs!$B$39="pvp",15,MAX(0.1,Skills!D9-IF(Skills!E9=TRUE,2.5,0))),0)</f>
        <v/>
      </c>
      <c r="R3378">
        <f>IF(AND(Inputs!$B$39&lt;&gt;"pvp",Inputs!$B$44&gt;0),IF(MAX(0,Inputs!$B$44-B3414)&lt;=0,0,(INT(MAX(0,Inputs!$B$44-B3414)/IF(Inputs!$B$39="pvp",15,MAX(0.1,Skills!D9-IF(Skills!E9=TRUE,2.5,0))))+1)),0)</f>
        <v/>
      </c>
      <c r="S3378">
        <f>IFERROR(O3378/N3378,0)</f>
        <v/>
      </c>
      <c r="T3378">
        <f>IF(C3378,(H3378*N3378*IF(AND(Inputs!$B$39&lt;&gt;"pvp",Inputs!$B$44&gt;0),((Skills!G9*((R3378-1)*IF(Skills!H9&gt;0,Skills!I9/Skills!H9,1)+IF(Skills!H9&gt;0,MIN(Skills!I9,MAX(0,MAX(0,Inputs!$B$44-B3414)-((R3378-1)*IF(Inputs!$B$39="pvp",15,MAX(0.1,Skills!D9-IF(Skills!E9=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Skills!E9=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IFERROR(1/IF(Inputs!$B$39="pvp",15,MAX(0.1,Skills!D12-IF(Skills!E12=TRUE,2.5,0))),0)</f>
        <v/>
      </c>
      <c r="R3381">
        <f>IF(AND(Inputs!$B$39&lt;&gt;"pvp",Inputs!$B$44&gt;0),IF(MAX(0,Inputs!$B$44-B3414)&lt;=0,0,(INT(MAX(0,Inputs!$B$44-B3414)/IF(Inputs!$B$39="pvp",15,MAX(0.1,Skills!D12-IF(Skills!E12=TRUE,2.5,0))))+1)),0)</f>
        <v/>
      </c>
      <c r="S3381">
        <f>IFERROR(O3381/N3381,0)</f>
        <v/>
      </c>
      <c r="T3381">
        <f>IF(C3381,(H3381*N3381*IF(AND(Inputs!$B$39&lt;&gt;"pvp",Inputs!$B$44&gt;0),((Skills!G12*((R3381-1)*IF(Skills!H12&gt;0,Skills!I12/Skills!H12,1)+IF(Skills!H12&gt;0,MIN(Skills!I12,MAX(0,MAX(0,Inputs!$B$44-B3414)-((R3381-1)*IF(Inputs!$B$39="pvp",15,MAX(0.1,Skills!D12-IF(Skills!E12=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Skills!E12=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IFERROR(1/IF(Inputs!$B$39="pvp",15,MAX(0.1,Skills!D13-IF(Skills!E13=TRUE,2.5,0))),0)</f>
        <v/>
      </c>
      <c r="R3382">
        <f>IF(AND(Inputs!$B$39&lt;&gt;"pvp",Inputs!$B$44&gt;0),IF(MAX(0,Inputs!$B$44-B3414)&lt;=0,0,(INT(MAX(0,Inputs!$B$44-B3414)/IF(Inputs!$B$39="pvp",15,MAX(0.1,Skills!D13-IF(Skills!E13=TRUE,2.5,0))))+1)),0)</f>
        <v/>
      </c>
      <c r="S3382">
        <f>IFERROR(O3382/N3382,0)</f>
        <v/>
      </c>
      <c r="T3382">
        <f>IF(C3382,(H3382*N3382*IF(AND(Inputs!$B$39&lt;&gt;"pvp",Inputs!$B$44&gt;0),((Skills!G13*((R3382-1)*IF(Skills!H13&gt;0,Skills!I13/Skills!H13,1)+IF(Skills!H13&gt;0,MIN(Skills!I13,MAX(0,MAX(0,Inputs!$B$44-B3414)-((R3382-1)*IF(Inputs!$B$39="pvp",15,MAX(0.1,Skills!D13-IF(Skills!E13=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Skills!E13=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IFERROR(1/IF(Inputs!$B$39="pvp",15,MAX(0.1,Skills!D14-IF(Skills!E14=TRUE,2.5,0))),0)</f>
        <v/>
      </c>
      <c r="R3383">
        <f>IF(AND(Inputs!$B$39&lt;&gt;"pvp",Inputs!$B$44&gt;0),IF(MAX(0,Inputs!$B$44-B3414)&lt;=0,0,(INT(MAX(0,Inputs!$B$44-B3414)/IF(Inputs!$B$39="pvp",15,MAX(0.1,Skills!D14-IF(Skills!E14=TRUE,2.5,0))))+1)),0)</f>
        <v/>
      </c>
      <c r="S3383">
        <f>IFERROR(O3383/N3383,0)</f>
        <v/>
      </c>
      <c r="T3383">
        <f>IF(C3383,(H3383*N3383*IF(AND(Inputs!$B$39&lt;&gt;"pvp",Inputs!$B$44&gt;0),((Skills!G14*((R3383-1)*IF(Skills!H14&gt;0,Skills!I14/Skills!H14,1)+IF(Skills!H14&gt;0,MIN(Skills!I14,MAX(0,MAX(0,Inputs!$B$44-B3414)-((R3383-1)*IF(Inputs!$B$39="pvp",15,MAX(0.1,Skills!D14-IF(Skills!E14=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Skills!E14=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IFERROR(1/IF(Inputs!$B$39="pvp",15,MAX(0.1,Skills!D15-IF(Skills!E15=TRUE,2.5,0))),0)</f>
        <v/>
      </c>
      <c r="R3384">
        <f>IF(AND(Inputs!$B$39&lt;&gt;"pvp",Inputs!$B$44&gt;0),IF(Inputs!$B$44&lt;=0,0,(INT(Inputs!$B$44/IF(Inputs!$B$39="pvp",15,MAX(0.1,Skills!D15-IF(Skills!E15=TRUE,2.5,0))))+1)),0)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IFERROR(1/IF(Inputs!$B$39="pvp",15,MAX(0.1,Skills!D16-IF(Skills!E16=TRUE,2.5,0))),0)</f>
        <v/>
      </c>
      <c r="R3385">
        <f>IF(AND(Inputs!$B$39&lt;&gt;"pvp",Inputs!$B$44&gt;0),IF(Inputs!$B$44&lt;=0,0,(INT(Inputs!$B$44/IF(Inputs!$B$39="pvp",15,MAX(0.1,Skills!D16-IF(Skills!E16=TRUE,2.5,0))))+1)),0)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IFERROR(1/IF(Inputs!$B$39="pvp",15,MAX(0.1,Skills!D19-IF(Skills!E19=TRUE,2.5,0))),0)</f>
        <v/>
      </c>
      <c r="R3388">
        <f>IF(AND(Inputs!$B$39&lt;&gt;"pvp",Inputs!$B$44&gt;0),IF(Inputs!$B$44&lt;=0,0,(INT(Inputs!$B$44/IF(Inputs!$B$39="pvp",15,MAX(0.1,Skills!D19-IF(Skills!E19=TRUE,2.5,0))))+1)),0)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IFERROR(1/IF(Inputs!$B$39="pvp",15,MAX(0.1,Skills!D20-IF(Skills!E20=TRUE,2.5,0))),0)</f>
        <v/>
      </c>
      <c r="R3389">
        <f>IF(AND(Inputs!$B$39&lt;&gt;"pvp",Inputs!$B$44&gt;0),IF(Inputs!$B$44&lt;=0,0,(INT(Inputs!$B$44/IF(Inputs!$B$39="pvp",15,MAX(0.1,Skills!D20-IF(Skills!E20=TRUE,2.5,0))))+1)),0)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IFERROR(1/IF(Inputs!$B$39="pvp",15,MAX(0.1,Skills!D21-IF(Skills!E21=TRUE,2.5,0))),0)</f>
        <v/>
      </c>
      <c r="R3390">
        <f>IF(AND(Inputs!$B$39&lt;&gt;"pvp",Inputs!$B$44&gt;0),IF(Inputs!$B$44&lt;=0,0,(INT(Inputs!$B$44/IF(Inputs!$B$39="pvp",15,MAX(0.1,Skills!D21-IF(Skills!E21=TRUE,2.5,0))))+1)),0)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Skills!Y19*(1+Inputs!$B$34/100))+MIN((Skills!Y19*(1+Inputs!$B$34/100)),MAX(0,Inputs!$B$44-((R3388-1)*Skills!D19))))/Inputs!$B$44),IF(Inputs!$B$39="pvp",MIN((Skills!Y19*(1+Inputs!$B$34/100)),15)/15,(Skills!Y19*(1+Inputs!$B$34/100))/Skills!D19)))/150)))/100</f>
        <v/>
      </c>
    </row>
    <row r="3403">
      <c r="A3403" t="inlineStr">
        <is>
          <t>Alchemic Adrenaline Uptime</t>
        </is>
      </c>
      <c r="B3403">
        <f>(Skills!Y6*(1+Inputs!$B$34/100))/((Skills!Y6*(1+Inputs!$B$34/100))+(5/B3402))</f>
        <v/>
      </c>
    </row>
    <row r="3404">
      <c r="A3404" t="inlineStr">
        <is>
          <t>Attack Speed Buff Bonus %</t>
        </is>
      </c>
      <c r="B3404">
        <f>((C3388=TRUE)*F3388*IF(AND(Inputs!$B$39&lt;&gt;"pvp",Inputs!$B$44&gt;0),(((R3388-1)*(Skills!Y19*(1+Inputs!$B$34/100))+MIN((Skills!Y19*(1+Inputs!$B$34/100)),MAX(0,Inputs!$B$44-((R3388-1)*Skills!D19))))/Inputs!$B$44),IF(Inputs!$B$39="pvp",MIN((Skills!Y19*(1+Inputs!$B$34/100)),15)/15,(Skills!Y19*(1+Inputs!$B$34/100))/Skills!D19)))+((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f>
        <v/>
      </c>
    </row>
    <row r="3409">
      <c r="A3409" t="inlineStr">
        <is>
          <t>Global Crit Rate Bonus %</t>
        </is>
      </c>
      <c r="B3409">
        <f>IF(Inputs!$B$3&gt;=47,8,0)+((C3389=TRUE)*F3389*IF(AND(Inputs!$B$39&lt;&gt;"pvp",Inputs!$B$44&gt;0),(((R3389-1)*(Skills!Y20*(1+Inputs!$B$34/100))+MIN((Skills!Y20*(1+Inputs!$B$34/100)),MAX(0,Inputs!$B$44-((R3389-1)*Skills!D20))))/Inputs!$B$44),IF(Inputs!$B$39="pvp",MIN((Skills!Y20*(1+Inputs!$B$34/100)),15)/15,(Skills!Y20*(1+Inputs!$B$34/100))/Skills!D20)))</f>
        <v/>
      </c>
    </row>
    <row r="3410">
      <c r="A3410" t="inlineStr">
        <is>
          <t>Global Monster Damage-Taken Bonus %</t>
        </is>
      </c>
      <c r="B3410">
        <f>IF(Inputs!$B$3&gt;=82,15,0)+((C3385=TRUE)*F3385*IF(AND(Inputs!$B$39&lt;&gt;"pvp",Inputs!$B$44&gt;0),(((R3385-1)*(Skills!Y16*(1+Inputs!$B$34/100))+MIN((Skills!Y16*(1+Inputs!$B$34/100)),MAX(0,Inputs!$B$44-((R3385-1)*Skills!D16))))/Inputs!$B$44),IF(Inputs!$B$39="pvp",MIN((Skills!Y16*(1+Inputs!$B$34/100)),15)/15,(Skills!Y16*(1+Inputs!$B$34/100))/Skills!D16)))</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Skills!Y16*(1+Inputs!$B$34/100))+MIN((Skills!Y16*(1+Inputs!$B$34/100)),MAX(0,Inputs!$B$44-((R3385-1)*Skills!D16))))/Inputs!$B$44),IF(Inputs!$B$39="pvp",MIN((Skills!Y16*(1+Inputs!$B$34/100)),15)/15,(Skills!Y16*(1+Inputs!$B$34/100))/Skills!D16))</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IFERROR(1/IF(Inputs!$B$39="pvp",15,MAX(0.1,Skills!D3-IF(Skills!E3=TRUE,3.0,0))),0)</f>
        <v/>
      </c>
      <c r="R3421">
        <f>IF(AND(Inputs!$B$39&lt;&gt;"pvp",Inputs!$B$44&gt;0),IF(MAX(0,Inputs!$B$44-B3463)&lt;=0,0,(INT(MAX(0,Inputs!$B$44-B3463)/IF(Inputs!$B$39="pvp",15,MAX(0.1,Skills!D3-IF(Skills!E3=TRUE,3.0,0))))+1)),0)</f>
        <v/>
      </c>
      <c r="S3421">
        <f>IFERROR(O3421/N3421,0)</f>
        <v/>
      </c>
      <c r="T3421">
        <f>IF(C3421,(H3421*N3421*IF(AND(Inputs!$B$39&lt;&gt;"pvp",Inputs!$B$44&gt;0),((Skills!G3*((R3421-1)*IF(Skills!H3&gt;0,Skills!I3/Skills!H3,1)+IF(Skills!H3&gt;0,MIN(Skills!I3,MAX(0,MAX(0,Inputs!$B$44-B3463)-((R3421-1)*IF(Inputs!$B$39="pvp",15,MAX(0.1,Skills!D3-IF(Skills!E3=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Skills!E3=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Inputs!$B$3&gt;=40</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IFERROR(1/IF(Inputs!$B$39="pvp",15,MAX(0.1,Skills!D4-IF(Skills!E4=TRUE,3.0,0))),0)</f>
        <v/>
      </c>
      <c r="R3422">
        <f>IF(AND(Inputs!$B$39&lt;&gt;"pvp",Inputs!$B$44&gt;0),IF(MAX(0,Inputs!$B$44-B3463)&lt;=0,0,(INT(MAX(0,Inputs!$B$44-B3463)/IF(Inputs!$B$39="pvp",15,MAX(0.1,Skills!D4-IF(Skills!E4=TRUE,3.0,0))))+1)),0)</f>
        <v/>
      </c>
      <c r="S3422">
        <f>IFERROR(O3422/N3422,0)</f>
        <v/>
      </c>
      <c r="T3422">
        <f>IF(C3422,(H3422*N3422*IF(AND(Inputs!$B$39&lt;&gt;"pvp",Inputs!$B$44&gt;0),((Skills!G4*((R3422-1)*IF(Skills!H4&gt;0,Skills!I4/Skills!H4,1)+IF(Skills!H4&gt;0,MIN(Skills!I4,MAX(0,MAX(0,Inputs!$B$44-B3463)-((R3422-1)*IF(Inputs!$B$39="pvp",15,MAX(0.1,Skills!D4-IF(Skills!E4=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Skills!E4=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IFERROR(1/IF(Inputs!$B$39="pvp",15,MAX(0.1,Skills!D5-IF(Skills!E5=TRUE,3.0,0))),0)</f>
        <v/>
      </c>
      <c r="R3423">
        <f>IF(AND(Inputs!$B$39&lt;&gt;"pvp",Inputs!$B$44&gt;0),IF(MAX(0,Inputs!$B$44-B3463)&lt;=0,0,(INT(MAX(0,Inputs!$B$44-B3463)/IF(Inputs!$B$39="pvp",15,MAX(0.1,Skills!D5-IF(Skills!E5=TRUE,3.0,0))))+1)),0)</f>
        <v/>
      </c>
      <c r="S3423">
        <f>IFERROR(O3423/N3423,0)</f>
        <v/>
      </c>
      <c r="T3423">
        <f>IF(C3423,(H3423*N3423*IF(AND(Inputs!$B$39&lt;&gt;"pvp",Inputs!$B$44&gt;0),((Skills!G5*((R3423-1)*IF(Skills!H5&gt;0,Skills!I5/Skills!H5,1)+IF(Skills!H5&gt;0,MIN(Skills!I5,MAX(0,MAX(0,Inputs!$B$44-B3463)-((R3423-1)*IF(Inputs!$B$39="pvp",15,MAX(0.1,Skills!D5-IF(Skills!E5=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Skills!E5=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IFERROR(1/IF(Inputs!$B$39="pvp",15,MAX(0.1,Skills!D8-IF(Skills!E8=TRUE,3.0,0))),0)</f>
        <v/>
      </c>
      <c r="R3426">
        <f>IF(AND(Inputs!$B$39&lt;&gt;"pvp",Inputs!$B$44&gt;0),IF(MAX(0,Inputs!$B$44-B3463)&lt;=0,0,(INT(MAX(0,Inputs!$B$44-B3463)/IF(Inputs!$B$39="pvp",15,MAX(0.1,Skills!D8-IF(Skills!E8=TRUE,3.0,0))))+1)),0)</f>
        <v/>
      </c>
      <c r="S3426">
        <f>IFERROR(O3426/N3426,0)</f>
        <v/>
      </c>
      <c r="T3426">
        <f>IF(C3426,(H3426*N3426*IF(AND(Inputs!$B$39&lt;&gt;"pvp",Inputs!$B$44&gt;0),((Skills!G8*((R3426-1)*IF(Skills!H8&gt;0,Skills!I8/Skills!H8,1)+IF(Skills!H8&gt;0,MIN(Skills!I8,MAX(0,MAX(0,Inputs!$B$44-B3463)-((R3426-1)*IF(Inputs!$B$39="pvp",15,MAX(0.1,Skills!D8-IF(Skills!E8=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Skills!E8=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Inputs!$B$3&gt;=72</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IFERROR(1/IF(Inputs!$B$39="pvp",15,MAX(0.1,Skills!D9-IF(Skills!E9=TRUE,3.0,0))),0)</f>
        <v/>
      </c>
      <c r="R3427">
        <f>IF(AND(Inputs!$B$39&lt;&gt;"pvp",Inputs!$B$44&gt;0),IF(MAX(0,Inputs!$B$44-B3463)&lt;=0,0,(INT(MAX(0,Inputs!$B$44-B3463)/IF(Inputs!$B$39="pvp",15,MAX(0.1,Skills!D9-IF(Skills!E9=TRUE,3.0,0))))+1)),0)</f>
        <v/>
      </c>
      <c r="S3427">
        <f>IFERROR(O3427/N3427,0)</f>
        <v/>
      </c>
      <c r="T3427">
        <f>IF(C3427,(H3427*N3427*IF(AND(Inputs!$B$39&lt;&gt;"pvp",Inputs!$B$44&gt;0),((Skills!G9*((R3427-1)*IF(Skills!H9&gt;0,Skills!I9/Skills!H9,1)+IF(Skills!H9&gt;0,MIN(Skills!I9,MAX(0,MAX(0,Inputs!$B$44-B3463)-((R3427-1)*IF(Inputs!$B$39="pvp",15,MAX(0.1,Skills!D9-IF(Skills!E9=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Skills!E9=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IFERROR(1/IF(Inputs!$B$39="pvp",15,MAX(0.1,Skills!D12-IF(Skills!E12=TRUE,3.0,0))),0)</f>
        <v/>
      </c>
      <c r="R3430">
        <f>IF(AND(Inputs!$B$39&lt;&gt;"pvp",Inputs!$B$44&gt;0),IF(MAX(0,Inputs!$B$44-B3463)&lt;=0,0,(INT(MAX(0,Inputs!$B$44-B3463)/IF(Inputs!$B$39="pvp",15,MAX(0.1,Skills!D12-IF(Skills!E12=TRUE,3.0,0))))+1)),0)</f>
        <v/>
      </c>
      <c r="S3430">
        <f>IFERROR(O3430/N3430,0)</f>
        <v/>
      </c>
      <c r="T3430">
        <f>IF(C3430,(H3430*N3430*IF(AND(Inputs!$B$39&lt;&gt;"pvp",Inputs!$B$44&gt;0),((Skills!G12*((R3430-1)*IF(Skills!H12&gt;0,Skills!I12/Skills!H12,1)+IF(Skills!H12&gt;0,MIN(Skills!I12,MAX(0,MAX(0,Inputs!$B$44-B3463)-((R3430-1)*IF(Inputs!$B$39="pvp",15,MAX(0.1,Skills!D12-IF(Skills!E12=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Skills!E12=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IFERROR(1/IF(Inputs!$B$39="pvp",15,MAX(0.1,Skills!D13-IF(Skills!E13=TRUE,3.0,0))),0)</f>
        <v/>
      </c>
      <c r="R3431">
        <f>IF(AND(Inputs!$B$39&lt;&gt;"pvp",Inputs!$B$44&gt;0),IF(MAX(0,Inputs!$B$44-B3463)&lt;=0,0,(INT(MAX(0,Inputs!$B$44-B3463)/IF(Inputs!$B$39="pvp",15,MAX(0.1,Skills!D13-IF(Skills!E13=TRUE,3.0,0))))+1)),0)</f>
        <v/>
      </c>
      <c r="S3431">
        <f>IFERROR(O3431/N3431,0)</f>
        <v/>
      </c>
      <c r="T3431">
        <f>IF(C3431,(H3431*N3431*IF(AND(Inputs!$B$39&lt;&gt;"pvp",Inputs!$B$44&gt;0),((Skills!G13*((R3431-1)*IF(Skills!H13&gt;0,Skills!I13/Skills!H13,1)+IF(Skills!H13&gt;0,MIN(Skills!I13,MAX(0,MAX(0,Inputs!$B$44-B3463)-((R3431-1)*IF(Inputs!$B$39="pvp",15,MAX(0.1,Skills!D13-IF(Skills!E13=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Skills!E13=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IFERROR(1/IF(Inputs!$B$39="pvp",15,MAX(0.1,Skills!D14-IF(Skills!E14=TRUE,3.0,0))),0)</f>
        <v/>
      </c>
      <c r="R3432">
        <f>IF(AND(Inputs!$B$39&lt;&gt;"pvp",Inputs!$B$44&gt;0),IF(MAX(0,Inputs!$B$44-B3463)&lt;=0,0,(INT(MAX(0,Inputs!$B$44-B3463)/IF(Inputs!$B$39="pvp",15,MAX(0.1,Skills!D14-IF(Skills!E14=TRUE,3.0,0))))+1)),0)</f>
        <v/>
      </c>
      <c r="S3432">
        <f>IFERROR(O3432/N3432,0)</f>
        <v/>
      </c>
      <c r="T3432">
        <f>IF(C3432,(H3432*N3432*IF(AND(Inputs!$B$39&lt;&gt;"pvp",Inputs!$B$44&gt;0),((Skills!G14*((R3432-1)*IF(Skills!H14&gt;0,Skills!I14/Skills!H14,1)+IF(Skills!H14&gt;0,MIN(Skills!I14,MAX(0,MAX(0,Inputs!$B$44-B3463)-((R3432-1)*IF(Inputs!$B$39="pvp",15,MAX(0.1,Skills!D14-IF(Skills!E14=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Skills!E14=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IFERROR(1/IF(Inputs!$B$39="pvp",15,MAX(0.1,Skills!D15-IF(Skills!E15=TRUE,3.0,0))),0)</f>
        <v/>
      </c>
      <c r="R3433">
        <f>IF(AND(Inputs!$B$39&lt;&gt;"pvp",Inputs!$B$44&gt;0),IF(Inputs!$B$44&lt;=0,0,(INT(Inputs!$B$44/IF(Inputs!$B$39="pvp",15,MAX(0.1,Skills!D15-IF(Skills!E15=TRUE,3.0,0))))+1)),0)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IFERROR(1/IF(Inputs!$B$39="pvp",15,MAX(0.1,Skills!D16-IF(Skills!E16=TRUE,3.0,0))),0)</f>
        <v/>
      </c>
      <c r="R3434">
        <f>IF(AND(Inputs!$B$39&lt;&gt;"pvp",Inputs!$B$44&gt;0),IF(Inputs!$B$44&lt;=0,0,(INT(Inputs!$B$44/IF(Inputs!$B$39="pvp",15,MAX(0.1,Skills!D16-IF(Skills!E16=TRUE,3.0,0))))+1)),0)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IFERROR(1/IF(Inputs!$B$39="pvp",15,MAX(0.1,Skills!D19-IF(Skills!E19=TRUE,3.0,0))),0)</f>
        <v/>
      </c>
      <c r="R3437">
        <f>IF(AND(Inputs!$B$39&lt;&gt;"pvp",Inputs!$B$44&gt;0),IF(Inputs!$B$44&lt;=0,0,(INT(Inputs!$B$44/IF(Inputs!$B$39="pvp",15,MAX(0.1,Skills!D19-IF(Skills!E19=TRUE,3.0,0))))+1)),0)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IFERROR(1/IF(Inputs!$B$39="pvp",15,MAX(0.1,Skills!D20-IF(Skills!E20=TRUE,3.0,0))),0)</f>
        <v/>
      </c>
      <c r="R3438">
        <f>IF(AND(Inputs!$B$39&lt;&gt;"pvp",Inputs!$B$44&gt;0),IF(Inputs!$B$44&lt;=0,0,(INT(Inputs!$B$44/IF(Inputs!$B$39="pvp",15,MAX(0.1,Skills!D20-IF(Skills!E20=TRUE,3.0,0))))+1)),0)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IFERROR(1/IF(Inputs!$B$39="pvp",15,MAX(0.1,Skills!D21-IF(Skills!E21=TRUE,3.0,0))),0)</f>
        <v/>
      </c>
      <c r="R3439">
        <f>IF(AND(Inputs!$B$39&lt;&gt;"pvp",Inputs!$B$44&gt;0),IF(Inputs!$B$44&lt;=0,0,(INT(Inputs!$B$44/IF(Inputs!$B$39="pvp",15,MAX(0.1,Skills!D21-IF(Skills!E21=TRUE,3.0,0))))+1)),0)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Skills!Y19*(1+Inputs!$B$34/100))+MIN((Skills!Y19*(1+Inputs!$B$34/100)),MAX(0,Inputs!$B$44-((R3437-1)*Skills!D19))))/Inputs!$B$44),IF(Inputs!$B$39="pvp",MIN((Skills!Y19*(1+Inputs!$B$34/100)),15)/15,(Skills!Y19*(1+Inputs!$B$34/100))/Skills!D19)))/150)))/100</f>
        <v/>
      </c>
    </row>
    <row r="3452">
      <c r="A3452" t="inlineStr">
        <is>
          <t>Alchemic Adrenaline Uptime</t>
        </is>
      </c>
      <c r="B3452">
        <f>(Skills!Y6*(1+Inputs!$B$34/100))/((Skills!Y6*(1+Inputs!$B$34/100))+(5/B3451))</f>
        <v/>
      </c>
    </row>
    <row r="3453">
      <c r="A3453" t="inlineStr">
        <is>
          <t>Attack Speed Buff Bonus %</t>
        </is>
      </c>
      <c r="B3453">
        <f>((C3437=TRUE)*F3437*IF(AND(Inputs!$B$39&lt;&gt;"pvp",Inputs!$B$44&gt;0),(((R3437-1)*(Skills!Y19*(1+Inputs!$B$34/100))+MIN((Skills!Y19*(1+Inputs!$B$34/100)),MAX(0,Inputs!$B$44-((R3437-1)*Skills!D19))))/Inputs!$B$44),IF(Inputs!$B$39="pvp",MIN((Skills!Y19*(1+Inputs!$B$34/100)),15)/15,(Skills!Y19*(1+Inputs!$B$34/100))/Skills!D19)))+((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f>
        <v/>
      </c>
    </row>
    <row r="3458">
      <c r="A3458" t="inlineStr">
        <is>
          <t>Global Crit Rate Bonus %</t>
        </is>
      </c>
      <c r="B3458">
        <f>IF(Inputs!$B$3&gt;=47,8,0)+((C3438=TRUE)*F3438*IF(AND(Inputs!$B$39&lt;&gt;"pvp",Inputs!$B$44&gt;0),(((R3438-1)*(Skills!Y20*(1+Inputs!$B$34/100))+MIN((Skills!Y20*(1+Inputs!$B$34/100)),MAX(0,Inputs!$B$44-((R3438-1)*Skills!D20))))/Inputs!$B$44),IF(Inputs!$B$39="pvp",MIN((Skills!Y20*(1+Inputs!$B$34/100)),15)/15,(Skills!Y20*(1+Inputs!$B$34/100))/Skills!D20)))</f>
        <v/>
      </c>
    </row>
    <row r="3459">
      <c r="A3459" t="inlineStr">
        <is>
          <t>Global Monster Damage-Taken Bonus %</t>
        </is>
      </c>
      <c r="B3459">
        <f>IF(Inputs!$B$3&gt;=82,15,0)+((C3434=TRUE)*F3434*IF(AND(Inputs!$B$39&lt;&gt;"pvp",Inputs!$B$44&gt;0),(((R3434-1)*(Skills!Y16*(1+Inputs!$B$34/100))+MIN((Skills!Y16*(1+Inputs!$B$34/100)),MAX(0,Inputs!$B$44-((R3434-1)*Skills!D16))))/Inputs!$B$44),IF(Inputs!$B$39="pvp",MIN((Skills!Y16*(1+Inputs!$B$34/100)),15)/15,(Skills!Y16*(1+Inputs!$B$34/100))/Skills!D16)))</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Skills!Y16*(1+Inputs!$B$34/100))+MIN((Skills!Y16*(1+Inputs!$B$34/100)),MAX(0,Inputs!$B$44-((R3434-1)*Skills!D16))))/Inputs!$B$44),IF(Inputs!$B$39="pvp",MIN((Skills!Y16*(1+Inputs!$B$34/100)),15)/15,(Skills!Y16*(1+Inputs!$B$34/100))/Skills!D16))</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IFERROR(1/IF(Inputs!$B$39="pvp",15,MAX(0.1,Skills!D3-IF(Skills!E3=TRUE,3.5,0))),0)</f>
        <v/>
      </c>
      <c r="R3470">
        <f>IF(AND(Inputs!$B$39&lt;&gt;"pvp",Inputs!$B$44&gt;0),IF(MAX(0,Inputs!$B$44-B3512)&lt;=0,0,(INT(MAX(0,Inputs!$B$44-B3512)/IF(Inputs!$B$39="pvp",15,MAX(0.1,Skills!D3-IF(Skills!E3=TRUE,3.5,0))))+1)),0)</f>
        <v/>
      </c>
      <c r="S3470">
        <f>IFERROR(O3470/N3470,0)</f>
        <v/>
      </c>
      <c r="T3470">
        <f>IF(C3470,(H3470*N3470*IF(AND(Inputs!$B$39&lt;&gt;"pvp",Inputs!$B$44&gt;0),((Skills!G3*((R3470-1)*IF(Skills!H3&gt;0,Skills!I3/Skills!H3,1)+IF(Skills!H3&gt;0,MIN(Skills!I3,MAX(0,MAX(0,Inputs!$B$44-B3512)-((R3470-1)*IF(Inputs!$B$39="pvp",15,MAX(0.1,Skills!D3-IF(Skills!E3=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Skills!E3=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Inputs!$B$3&gt;=40</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IFERROR(1/IF(Inputs!$B$39="pvp",15,MAX(0.1,Skills!D4-IF(Skills!E4=TRUE,3.5,0))),0)</f>
        <v/>
      </c>
      <c r="R3471">
        <f>IF(AND(Inputs!$B$39&lt;&gt;"pvp",Inputs!$B$44&gt;0),IF(MAX(0,Inputs!$B$44-B3512)&lt;=0,0,(INT(MAX(0,Inputs!$B$44-B3512)/IF(Inputs!$B$39="pvp",15,MAX(0.1,Skills!D4-IF(Skills!E4=TRUE,3.5,0))))+1)),0)</f>
        <v/>
      </c>
      <c r="S3471">
        <f>IFERROR(O3471/N3471,0)</f>
        <v/>
      </c>
      <c r="T3471">
        <f>IF(C3471,(H3471*N3471*IF(AND(Inputs!$B$39&lt;&gt;"pvp",Inputs!$B$44&gt;0),((Skills!G4*((R3471-1)*IF(Skills!H4&gt;0,Skills!I4/Skills!H4,1)+IF(Skills!H4&gt;0,MIN(Skills!I4,MAX(0,MAX(0,Inputs!$B$44-B3512)-((R3471-1)*IF(Inputs!$B$39="pvp",15,MAX(0.1,Skills!D4-IF(Skills!E4=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Skills!E4=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IFERROR(1/IF(Inputs!$B$39="pvp",15,MAX(0.1,Skills!D5-IF(Skills!E5=TRUE,3.5,0))),0)</f>
        <v/>
      </c>
      <c r="R3472">
        <f>IF(AND(Inputs!$B$39&lt;&gt;"pvp",Inputs!$B$44&gt;0),IF(MAX(0,Inputs!$B$44-B3512)&lt;=0,0,(INT(MAX(0,Inputs!$B$44-B3512)/IF(Inputs!$B$39="pvp",15,MAX(0.1,Skills!D5-IF(Skills!E5=TRUE,3.5,0))))+1)),0)</f>
        <v/>
      </c>
      <c r="S3472">
        <f>IFERROR(O3472/N3472,0)</f>
        <v/>
      </c>
      <c r="T3472">
        <f>IF(C3472,(H3472*N3472*IF(AND(Inputs!$B$39&lt;&gt;"pvp",Inputs!$B$44&gt;0),((Skills!G5*((R3472-1)*IF(Skills!H5&gt;0,Skills!I5/Skills!H5,1)+IF(Skills!H5&gt;0,MIN(Skills!I5,MAX(0,MAX(0,Inputs!$B$44-B3512)-((R3472-1)*IF(Inputs!$B$39="pvp",15,MAX(0.1,Skills!D5-IF(Skills!E5=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Skills!E5=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IFERROR(1/IF(Inputs!$B$39="pvp",15,MAX(0.1,Skills!D8-IF(Skills!E8=TRUE,3.5,0))),0)</f>
        <v/>
      </c>
      <c r="R3475">
        <f>IF(AND(Inputs!$B$39&lt;&gt;"pvp",Inputs!$B$44&gt;0),IF(MAX(0,Inputs!$B$44-B3512)&lt;=0,0,(INT(MAX(0,Inputs!$B$44-B3512)/IF(Inputs!$B$39="pvp",15,MAX(0.1,Skills!D8-IF(Skills!E8=TRUE,3.5,0))))+1)),0)</f>
        <v/>
      </c>
      <c r="S3475">
        <f>IFERROR(O3475/N3475,0)</f>
        <v/>
      </c>
      <c r="T3475">
        <f>IF(C3475,(H3475*N3475*IF(AND(Inputs!$B$39&lt;&gt;"pvp",Inputs!$B$44&gt;0),((Skills!G8*((R3475-1)*IF(Skills!H8&gt;0,Skills!I8/Skills!H8,1)+IF(Skills!H8&gt;0,MIN(Skills!I8,MAX(0,MAX(0,Inputs!$B$44-B3512)-((R3475-1)*IF(Inputs!$B$39="pvp",15,MAX(0.1,Skills!D8-IF(Skills!E8=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Skills!E8=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Inputs!$B$3&gt;=72</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IFERROR(1/IF(Inputs!$B$39="pvp",15,MAX(0.1,Skills!D9-IF(Skills!E9=TRUE,3.5,0))),0)</f>
        <v/>
      </c>
      <c r="R3476">
        <f>IF(AND(Inputs!$B$39&lt;&gt;"pvp",Inputs!$B$44&gt;0),IF(MAX(0,Inputs!$B$44-B3512)&lt;=0,0,(INT(MAX(0,Inputs!$B$44-B3512)/IF(Inputs!$B$39="pvp",15,MAX(0.1,Skills!D9-IF(Skills!E9=TRUE,3.5,0))))+1)),0)</f>
        <v/>
      </c>
      <c r="S3476">
        <f>IFERROR(O3476/N3476,0)</f>
        <v/>
      </c>
      <c r="T3476">
        <f>IF(C3476,(H3476*N3476*IF(AND(Inputs!$B$39&lt;&gt;"pvp",Inputs!$B$44&gt;0),((Skills!G9*((R3476-1)*IF(Skills!H9&gt;0,Skills!I9/Skills!H9,1)+IF(Skills!H9&gt;0,MIN(Skills!I9,MAX(0,MAX(0,Inputs!$B$44-B3512)-((R3476-1)*IF(Inputs!$B$39="pvp",15,MAX(0.1,Skills!D9-IF(Skills!E9=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Skills!E9=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IFERROR(1/IF(Inputs!$B$39="pvp",15,MAX(0.1,Skills!D12-IF(Skills!E12=TRUE,3.5,0))),0)</f>
        <v/>
      </c>
      <c r="R3479">
        <f>IF(AND(Inputs!$B$39&lt;&gt;"pvp",Inputs!$B$44&gt;0),IF(MAX(0,Inputs!$B$44-B3512)&lt;=0,0,(INT(MAX(0,Inputs!$B$44-B3512)/IF(Inputs!$B$39="pvp",15,MAX(0.1,Skills!D12-IF(Skills!E12=TRUE,3.5,0))))+1)),0)</f>
        <v/>
      </c>
      <c r="S3479">
        <f>IFERROR(O3479/N3479,0)</f>
        <v/>
      </c>
      <c r="T3479">
        <f>IF(C3479,(H3479*N3479*IF(AND(Inputs!$B$39&lt;&gt;"pvp",Inputs!$B$44&gt;0),((Skills!G12*((R3479-1)*IF(Skills!H12&gt;0,Skills!I12/Skills!H12,1)+IF(Skills!H12&gt;0,MIN(Skills!I12,MAX(0,MAX(0,Inputs!$B$44-B3512)-((R3479-1)*IF(Inputs!$B$39="pvp",15,MAX(0.1,Skills!D12-IF(Skills!E12=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Skills!E12=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IFERROR(1/IF(Inputs!$B$39="pvp",15,MAX(0.1,Skills!D13-IF(Skills!E13=TRUE,3.5,0))),0)</f>
        <v/>
      </c>
      <c r="R3480">
        <f>IF(AND(Inputs!$B$39&lt;&gt;"pvp",Inputs!$B$44&gt;0),IF(MAX(0,Inputs!$B$44-B3512)&lt;=0,0,(INT(MAX(0,Inputs!$B$44-B3512)/IF(Inputs!$B$39="pvp",15,MAX(0.1,Skills!D13-IF(Skills!E13=TRUE,3.5,0))))+1)),0)</f>
        <v/>
      </c>
      <c r="S3480">
        <f>IFERROR(O3480/N3480,0)</f>
        <v/>
      </c>
      <c r="T3480">
        <f>IF(C3480,(H3480*N3480*IF(AND(Inputs!$B$39&lt;&gt;"pvp",Inputs!$B$44&gt;0),((Skills!G13*((R3480-1)*IF(Skills!H13&gt;0,Skills!I13/Skills!H13,1)+IF(Skills!H13&gt;0,MIN(Skills!I13,MAX(0,MAX(0,Inputs!$B$44-B3512)-((R3480-1)*IF(Inputs!$B$39="pvp",15,MAX(0.1,Skills!D13-IF(Skills!E13=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Skills!E13=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IFERROR(1/IF(Inputs!$B$39="pvp",15,MAX(0.1,Skills!D14-IF(Skills!E14=TRUE,3.5,0))),0)</f>
        <v/>
      </c>
      <c r="R3481">
        <f>IF(AND(Inputs!$B$39&lt;&gt;"pvp",Inputs!$B$44&gt;0),IF(MAX(0,Inputs!$B$44-B3512)&lt;=0,0,(INT(MAX(0,Inputs!$B$44-B3512)/IF(Inputs!$B$39="pvp",15,MAX(0.1,Skills!D14-IF(Skills!E14=TRUE,3.5,0))))+1)),0)</f>
        <v/>
      </c>
      <c r="S3481">
        <f>IFERROR(O3481/N3481,0)</f>
        <v/>
      </c>
      <c r="T3481">
        <f>IF(C3481,(H3481*N3481*IF(AND(Inputs!$B$39&lt;&gt;"pvp",Inputs!$B$44&gt;0),((Skills!G14*((R3481-1)*IF(Skills!H14&gt;0,Skills!I14/Skills!H14,1)+IF(Skills!H14&gt;0,MIN(Skills!I14,MAX(0,MAX(0,Inputs!$B$44-B3512)-((R3481-1)*IF(Inputs!$B$39="pvp",15,MAX(0.1,Skills!D14-IF(Skills!E14=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Skills!E14=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IFERROR(1/IF(Inputs!$B$39="pvp",15,MAX(0.1,Skills!D15-IF(Skills!E15=TRUE,3.5,0))),0)</f>
        <v/>
      </c>
      <c r="R3482">
        <f>IF(AND(Inputs!$B$39&lt;&gt;"pvp",Inputs!$B$44&gt;0),IF(Inputs!$B$44&lt;=0,0,(INT(Inputs!$B$44/IF(Inputs!$B$39="pvp",15,MAX(0.1,Skills!D15-IF(Skills!E15=TRUE,3.5,0))))+1)),0)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IFERROR(1/IF(Inputs!$B$39="pvp",15,MAX(0.1,Skills!D16-IF(Skills!E16=TRUE,3.5,0))),0)</f>
        <v/>
      </c>
      <c r="R3483">
        <f>IF(AND(Inputs!$B$39&lt;&gt;"pvp",Inputs!$B$44&gt;0),IF(Inputs!$B$44&lt;=0,0,(INT(Inputs!$B$44/IF(Inputs!$B$39="pvp",15,MAX(0.1,Skills!D16-IF(Skills!E16=TRUE,3.5,0))))+1)),0)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IFERROR(1/IF(Inputs!$B$39="pvp",15,MAX(0.1,Skills!D19-IF(Skills!E19=TRUE,3.5,0))),0)</f>
        <v/>
      </c>
      <c r="R3486">
        <f>IF(AND(Inputs!$B$39&lt;&gt;"pvp",Inputs!$B$44&gt;0),IF(Inputs!$B$44&lt;=0,0,(INT(Inputs!$B$44/IF(Inputs!$B$39="pvp",15,MAX(0.1,Skills!D19-IF(Skills!E19=TRUE,3.5,0))))+1)),0)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IFERROR(1/IF(Inputs!$B$39="pvp",15,MAX(0.1,Skills!D20-IF(Skills!E20=TRUE,3.5,0))),0)</f>
        <v/>
      </c>
      <c r="R3487">
        <f>IF(AND(Inputs!$B$39&lt;&gt;"pvp",Inputs!$B$44&gt;0),IF(Inputs!$B$44&lt;=0,0,(INT(Inputs!$B$44/IF(Inputs!$B$39="pvp",15,MAX(0.1,Skills!D20-IF(Skills!E20=TRUE,3.5,0))))+1)),0)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IFERROR(1/IF(Inputs!$B$39="pvp",15,MAX(0.1,Skills!D21-IF(Skills!E21=TRUE,3.5,0))),0)</f>
        <v/>
      </c>
      <c r="R3488">
        <f>IF(AND(Inputs!$B$39&lt;&gt;"pvp",Inputs!$B$44&gt;0),IF(Inputs!$B$44&lt;=0,0,(INT(Inputs!$B$44/IF(Inputs!$B$39="pvp",15,MAX(0.1,Skills!D21-IF(Skills!E21=TRUE,3.5,0))))+1)),0)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Skills!Y19*(1+Inputs!$B$34/100))+MIN((Skills!Y19*(1+Inputs!$B$34/100)),MAX(0,Inputs!$B$44-((R3486-1)*Skills!D19))))/Inputs!$B$44),IF(Inputs!$B$39="pvp",MIN((Skills!Y19*(1+Inputs!$B$34/100)),15)/15,(Skills!Y19*(1+Inputs!$B$34/100))/Skills!D19)))/150)))/100</f>
        <v/>
      </c>
    </row>
    <row r="3501">
      <c r="A3501" t="inlineStr">
        <is>
          <t>Alchemic Adrenaline Uptime</t>
        </is>
      </c>
      <c r="B3501">
        <f>(Skills!Y6*(1+Inputs!$B$34/100))/((Skills!Y6*(1+Inputs!$B$34/100))+(5/B3500))</f>
        <v/>
      </c>
    </row>
    <row r="3502">
      <c r="A3502" t="inlineStr">
        <is>
          <t>Attack Speed Buff Bonus %</t>
        </is>
      </c>
      <c r="B3502">
        <f>((C3486=TRUE)*F3486*IF(AND(Inputs!$B$39&lt;&gt;"pvp",Inputs!$B$44&gt;0),(((R3486-1)*(Skills!Y19*(1+Inputs!$B$34/100))+MIN((Skills!Y19*(1+Inputs!$B$34/100)),MAX(0,Inputs!$B$44-((R3486-1)*Skills!D19))))/Inputs!$B$44),IF(Inputs!$B$39="pvp",MIN((Skills!Y19*(1+Inputs!$B$34/100)),15)/15,(Skills!Y19*(1+Inputs!$B$34/100))/Skills!D19)))+((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f>
        <v/>
      </c>
    </row>
    <row r="3507">
      <c r="A3507" t="inlineStr">
        <is>
          <t>Global Crit Rate Bonus %</t>
        </is>
      </c>
      <c r="B3507">
        <f>IF(Inputs!$B$3&gt;=47,8,0)+((C3487=TRUE)*F3487*IF(AND(Inputs!$B$39&lt;&gt;"pvp",Inputs!$B$44&gt;0),(((R3487-1)*(Skills!Y20*(1+Inputs!$B$34/100))+MIN((Skills!Y20*(1+Inputs!$B$34/100)),MAX(0,Inputs!$B$44-((R3487-1)*Skills!D20))))/Inputs!$B$44),IF(Inputs!$B$39="pvp",MIN((Skills!Y20*(1+Inputs!$B$34/100)),15)/15,(Skills!Y20*(1+Inputs!$B$34/100))/Skills!D20)))</f>
        <v/>
      </c>
    </row>
    <row r="3508">
      <c r="A3508" t="inlineStr">
        <is>
          <t>Global Monster Damage-Taken Bonus %</t>
        </is>
      </c>
      <c r="B3508">
        <f>IF(Inputs!$B$3&gt;=82,15,0)+((C3483=TRUE)*F3483*IF(AND(Inputs!$B$39&lt;&gt;"pvp",Inputs!$B$44&gt;0),(((R3483-1)*(Skills!Y16*(1+Inputs!$B$34/100))+MIN((Skills!Y16*(1+Inputs!$B$34/100)),MAX(0,Inputs!$B$44-((R3483-1)*Skills!D16))))/Inputs!$B$44),IF(Inputs!$B$39="pvp",MIN((Skills!Y16*(1+Inputs!$B$34/100)),15)/15,(Skills!Y16*(1+Inputs!$B$34/100))/Skills!D16)))</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Skills!Y16*(1+Inputs!$B$34/100))+MIN((Skills!Y16*(1+Inputs!$B$34/100)),MAX(0,Inputs!$B$44-((R3483-1)*Skills!D16))))/Inputs!$B$44),IF(Inputs!$B$39="pvp",MIN((Skills!Y16*(1+Inputs!$B$34/100)),15)/15,(Skills!Y16*(1+Inputs!$B$34/100))/Skills!D16))</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IFERROR(1/IF(Inputs!$B$39="pvp",15,MAX(0.1,Skills!D3-IF(Skills!E3=TRUE,4.0,0))),0)</f>
        <v/>
      </c>
      <c r="R3519">
        <f>IF(AND(Inputs!$B$39&lt;&gt;"pvp",Inputs!$B$44&gt;0),IF(MAX(0,Inputs!$B$44-B3561)&lt;=0,0,(INT(MAX(0,Inputs!$B$44-B3561)/IF(Inputs!$B$39="pvp",15,MAX(0.1,Skills!D3-IF(Skills!E3=TRUE,4.0,0))))+1)),0)</f>
        <v/>
      </c>
      <c r="S3519">
        <f>IFERROR(O3519/N3519,0)</f>
        <v/>
      </c>
      <c r="T3519">
        <f>IF(C3519,(H3519*N3519*IF(AND(Inputs!$B$39&lt;&gt;"pvp",Inputs!$B$44&gt;0),((Skills!G3*((R3519-1)*IF(Skills!H3&gt;0,Skills!I3/Skills!H3,1)+IF(Skills!H3&gt;0,MIN(Skills!I3,MAX(0,MAX(0,Inputs!$B$44-B3561)-((R3519-1)*IF(Inputs!$B$39="pvp",15,MAX(0.1,Skills!D3-IF(Skills!E3=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Skills!E3=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Inputs!$B$3&gt;=40</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IFERROR(1/IF(Inputs!$B$39="pvp",15,MAX(0.1,Skills!D4-IF(Skills!E4=TRUE,4.0,0))),0)</f>
        <v/>
      </c>
      <c r="R3520">
        <f>IF(AND(Inputs!$B$39&lt;&gt;"pvp",Inputs!$B$44&gt;0),IF(MAX(0,Inputs!$B$44-B3561)&lt;=0,0,(INT(MAX(0,Inputs!$B$44-B3561)/IF(Inputs!$B$39="pvp",15,MAX(0.1,Skills!D4-IF(Skills!E4=TRUE,4.0,0))))+1)),0)</f>
        <v/>
      </c>
      <c r="S3520">
        <f>IFERROR(O3520/N3520,0)</f>
        <v/>
      </c>
      <c r="T3520">
        <f>IF(C3520,(H3520*N3520*IF(AND(Inputs!$B$39&lt;&gt;"pvp",Inputs!$B$44&gt;0),((Skills!G4*((R3520-1)*IF(Skills!H4&gt;0,Skills!I4/Skills!H4,1)+IF(Skills!H4&gt;0,MIN(Skills!I4,MAX(0,MAX(0,Inputs!$B$44-B3561)-((R3520-1)*IF(Inputs!$B$39="pvp",15,MAX(0.1,Skills!D4-IF(Skills!E4=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Skills!E4=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IFERROR(1/IF(Inputs!$B$39="pvp",15,MAX(0.1,Skills!D5-IF(Skills!E5=TRUE,4.0,0))),0)</f>
        <v/>
      </c>
      <c r="R3521">
        <f>IF(AND(Inputs!$B$39&lt;&gt;"pvp",Inputs!$B$44&gt;0),IF(MAX(0,Inputs!$B$44-B3561)&lt;=0,0,(INT(MAX(0,Inputs!$B$44-B3561)/IF(Inputs!$B$39="pvp",15,MAX(0.1,Skills!D5-IF(Skills!E5=TRUE,4.0,0))))+1)),0)</f>
        <v/>
      </c>
      <c r="S3521">
        <f>IFERROR(O3521/N3521,0)</f>
        <v/>
      </c>
      <c r="T3521">
        <f>IF(C3521,(H3521*N3521*IF(AND(Inputs!$B$39&lt;&gt;"pvp",Inputs!$B$44&gt;0),((Skills!G5*((R3521-1)*IF(Skills!H5&gt;0,Skills!I5/Skills!H5,1)+IF(Skills!H5&gt;0,MIN(Skills!I5,MAX(0,MAX(0,Inputs!$B$44-B3561)-((R3521-1)*IF(Inputs!$B$39="pvp",15,MAX(0.1,Skills!D5-IF(Skills!E5=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Skills!E5=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IFERROR(1/IF(Inputs!$B$39="pvp",15,MAX(0.1,Skills!D8-IF(Skills!E8=TRUE,4.0,0))),0)</f>
        <v/>
      </c>
      <c r="R3524">
        <f>IF(AND(Inputs!$B$39&lt;&gt;"pvp",Inputs!$B$44&gt;0),IF(MAX(0,Inputs!$B$44-B3561)&lt;=0,0,(INT(MAX(0,Inputs!$B$44-B3561)/IF(Inputs!$B$39="pvp",15,MAX(0.1,Skills!D8-IF(Skills!E8=TRUE,4.0,0))))+1)),0)</f>
        <v/>
      </c>
      <c r="S3524">
        <f>IFERROR(O3524/N3524,0)</f>
        <v/>
      </c>
      <c r="T3524">
        <f>IF(C3524,(H3524*N3524*IF(AND(Inputs!$B$39&lt;&gt;"pvp",Inputs!$B$44&gt;0),((Skills!G8*((R3524-1)*IF(Skills!H8&gt;0,Skills!I8/Skills!H8,1)+IF(Skills!H8&gt;0,MIN(Skills!I8,MAX(0,MAX(0,Inputs!$B$44-B3561)-((R3524-1)*IF(Inputs!$B$39="pvp",15,MAX(0.1,Skills!D8-IF(Skills!E8=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Skills!E8=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Inputs!$B$3&gt;=72</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IFERROR(1/IF(Inputs!$B$39="pvp",15,MAX(0.1,Skills!D9-IF(Skills!E9=TRUE,4.0,0))),0)</f>
        <v/>
      </c>
      <c r="R3525">
        <f>IF(AND(Inputs!$B$39&lt;&gt;"pvp",Inputs!$B$44&gt;0),IF(MAX(0,Inputs!$B$44-B3561)&lt;=0,0,(INT(MAX(0,Inputs!$B$44-B3561)/IF(Inputs!$B$39="pvp",15,MAX(0.1,Skills!D9-IF(Skills!E9=TRUE,4.0,0))))+1)),0)</f>
        <v/>
      </c>
      <c r="S3525">
        <f>IFERROR(O3525/N3525,0)</f>
        <v/>
      </c>
      <c r="T3525">
        <f>IF(C3525,(H3525*N3525*IF(AND(Inputs!$B$39&lt;&gt;"pvp",Inputs!$B$44&gt;0),((Skills!G9*((R3525-1)*IF(Skills!H9&gt;0,Skills!I9/Skills!H9,1)+IF(Skills!H9&gt;0,MIN(Skills!I9,MAX(0,MAX(0,Inputs!$B$44-B3561)-((R3525-1)*IF(Inputs!$B$39="pvp",15,MAX(0.1,Skills!D9-IF(Skills!E9=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Skills!E9=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IFERROR(1/IF(Inputs!$B$39="pvp",15,MAX(0.1,Skills!D12-IF(Skills!E12=TRUE,4.0,0))),0)</f>
        <v/>
      </c>
      <c r="R3528">
        <f>IF(AND(Inputs!$B$39&lt;&gt;"pvp",Inputs!$B$44&gt;0),IF(MAX(0,Inputs!$B$44-B3561)&lt;=0,0,(INT(MAX(0,Inputs!$B$44-B3561)/IF(Inputs!$B$39="pvp",15,MAX(0.1,Skills!D12-IF(Skills!E12=TRUE,4.0,0))))+1)),0)</f>
        <v/>
      </c>
      <c r="S3528">
        <f>IFERROR(O3528/N3528,0)</f>
        <v/>
      </c>
      <c r="T3528">
        <f>IF(C3528,(H3528*N3528*IF(AND(Inputs!$B$39&lt;&gt;"pvp",Inputs!$B$44&gt;0),((Skills!G12*((R3528-1)*IF(Skills!H12&gt;0,Skills!I12/Skills!H12,1)+IF(Skills!H12&gt;0,MIN(Skills!I12,MAX(0,MAX(0,Inputs!$B$44-B3561)-((R3528-1)*IF(Inputs!$B$39="pvp",15,MAX(0.1,Skills!D12-IF(Skills!E12=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Skills!E12=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IFERROR(1/IF(Inputs!$B$39="pvp",15,MAX(0.1,Skills!D13-IF(Skills!E13=TRUE,4.0,0))),0)</f>
        <v/>
      </c>
      <c r="R3529">
        <f>IF(AND(Inputs!$B$39&lt;&gt;"pvp",Inputs!$B$44&gt;0),IF(MAX(0,Inputs!$B$44-B3561)&lt;=0,0,(INT(MAX(0,Inputs!$B$44-B3561)/IF(Inputs!$B$39="pvp",15,MAX(0.1,Skills!D13-IF(Skills!E13=TRUE,4.0,0))))+1)),0)</f>
        <v/>
      </c>
      <c r="S3529">
        <f>IFERROR(O3529/N3529,0)</f>
        <v/>
      </c>
      <c r="T3529">
        <f>IF(C3529,(H3529*N3529*IF(AND(Inputs!$B$39&lt;&gt;"pvp",Inputs!$B$44&gt;0),((Skills!G13*((R3529-1)*IF(Skills!H13&gt;0,Skills!I13/Skills!H13,1)+IF(Skills!H13&gt;0,MIN(Skills!I13,MAX(0,MAX(0,Inputs!$B$44-B3561)-((R3529-1)*IF(Inputs!$B$39="pvp",15,MAX(0.1,Skills!D13-IF(Skills!E13=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Skills!E13=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IFERROR(1/IF(Inputs!$B$39="pvp",15,MAX(0.1,Skills!D14-IF(Skills!E14=TRUE,4.0,0))),0)</f>
        <v/>
      </c>
      <c r="R3530">
        <f>IF(AND(Inputs!$B$39&lt;&gt;"pvp",Inputs!$B$44&gt;0),IF(MAX(0,Inputs!$B$44-B3561)&lt;=0,0,(INT(MAX(0,Inputs!$B$44-B3561)/IF(Inputs!$B$39="pvp",15,MAX(0.1,Skills!D14-IF(Skills!E14=TRUE,4.0,0))))+1)),0)</f>
        <v/>
      </c>
      <c r="S3530">
        <f>IFERROR(O3530/N3530,0)</f>
        <v/>
      </c>
      <c r="T3530">
        <f>IF(C3530,(H3530*N3530*IF(AND(Inputs!$B$39&lt;&gt;"pvp",Inputs!$B$44&gt;0),((Skills!G14*((R3530-1)*IF(Skills!H14&gt;0,Skills!I14/Skills!H14,1)+IF(Skills!H14&gt;0,MIN(Skills!I14,MAX(0,MAX(0,Inputs!$B$44-B3561)-((R3530-1)*IF(Inputs!$B$39="pvp",15,MAX(0.1,Skills!D14-IF(Skills!E14=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Skills!E14=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IFERROR(1/IF(Inputs!$B$39="pvp",15,MAX(0.1,Skills!D15-IF(Skills!E15=TRUE,4.0,0))),0)</f>
        <v/>
      </c>
      <c r="R3531">
        <f>IF(AND(Inputs!$B$39&lt;&gt;"pvp",Inputs!$B$44&gt;0),IF(Inputs!$B$44&lt;=0,0,(INT(Inputs!$B$44/IF(Inputs!$B$39="pvp",15,MAX(0.1,Skills!D15-IF(Skills!E15=TRUE,4.0,0))))+1)),0)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IFERROR(1/IF(Inputs!$B$39="pvp",15,MAX(0.1,Skills!D16-IF(Skills!E16=TRUE,4.0,0))),0)</f>
        <v/>
      </c>
      <c r="R3532">
        <f>IF(AND(Inputs!$B$39&lt;&gt;"pvp",Inputs!$B$44&gt;0),IF(Inputs!$B$44&lt;=0,0,(INT(Inputs!$B$44/IF(Inputs!$B$39="pvp",15,MAX(0.1,Skills!D16-IF(Skills!E16=TRUE,4.0,0))))+1)),0)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IFERROR(1/IF(Inputs!$B$39="pvp",15,MAX(0.1,Skills!D19-IF(Skills!E19=TRUE,4.0,0))),0)</f>
        <v/>
      </c>
      <c r="R3535">
        <f>IF(AND(Inputs!$B$39&lt;&gt;"pvp",Inputs!$B$44&gt;0),IF(Inputs!$B$44&lt;=0,0,(INT(Inputs!$B$44/IF(Inputs!$B$39="pvp",15,MAX(0.1,Skills!D19-IF(Skills!E19=TRUE,4.0,0))))+1)),0)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IFERROR(1/IF(Inputs!$B$39="pvp",15,MAX(0.1,Skills!D20-IF(Skills!E20=TRUE,4.0,0))),0)</f>
        <v/>
      </c>
      <c r="R3536">
        <f>IF(AND(Inputs!$B$39&lt;&gt;"pvp",Inputs!$B$44&gt;0),IF(Inputs!$B$44&lt;=0,0,(INT(Inputs!$B$44/IF(Inputs!$B$39="pvp",15,MAX(0.1,Skills!D20-IF(Skills!E20=TRUE,4.0,0))))+1)),0)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IFERROR(1/IF(Inputs!$B$39="pvp",15,MAX(0.1,Skills!D21-IF(Skills!E21=TRUE,4.0,0))),0)</f>
        <v/>
      </c>
      <c r="R3537">
        <f>IF(AND(Inputs!$B$39&lt;&gt;"pvp",Inputs!$B$44&gt;0),IF(Inputs!$B$44&lt;=0,0,(INT(Inputs!$B$44/IF(Inputs!$B$39="pvp",15,MAX(0.1,Skills!D21-IF(Skills!E21=TRUE,4.0,0))))+1)),0)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Skills!Y19*(1+Inputs!$B$34/100))+MIN((Skills!Y19*(1+Inputs!$B$34/100)),MAX(0,Inputs!$B$44-((R3535-1)*Skills!D19))))/Inputs!$B$44),IF(Inputs!$B$39="pvp",MIN((Skills!Y19*(1+Inputs!$B$34/100)),15)/15,(Skills!Y19*(1+Inputs!$B$34/100))/Skills!D19)))/150)))/100</f>
        <v/>
      </c>
    </row>
    <row r="3550">
      <c r="A3550" t="inlineStr">
        <is>
          <t>Alchemic Adrenaline Uptime</t>
        </is>
      </c>
      <c r="B3550">
        <f>(Skills!Y6*(1+Inputs!$B$34/100))/((Skills!Y6*(1+Inputs!$B$34/100))+(5/B3549))</f>
        <v/>
      </c>
    </row>
    <row r="3551">
      <c r="A3551" t="inlineStr">
        <is>
          <t>Attack Speed Buff Bonus %</t>
        </is>
      </c>
      <c r="B3551">
        <f>((C3535=TRUE)*F3535*IF(AND(Inputs!$B$39&lt;&gt;"pvp",Inputs!$B$44&gt;0),(((R3535-1)*(Skills!Y19*(1+Inputs!$B$34/100))+MIN((Skills!Y19*(1+Inputs!$B$34/100)),MAX(0,Inputs!$B$44-((R3535-1)*Skills!D19))))/Inputs!$B$44),IF(Inputs!$B$39="pvp",MIN((Skills!Y19*(1+Inputs!$B$34/100)),15)/15,(Skills!Y19*(1+Inputs!$B$34/100))/Skills!D19)))+((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f>
        <v/>
      </c>
    </row>
    <row r="3556">
      <c r="A3556" t="inlineStr">
        <is>
          <t>Global Crit Rate Bonus %</t>
        </is>
      </c>
      <c r="B3556">
        <f>IF(Inputs!$B$3&gt;=47,8,0)+((C3536=TRUE)*F3536*IF(AND(Inputs!$B$39&lt;&gt;"pvp",Inputs!$B$44&gt;0),(((R3536-1)*(Skills!Y20*(1+Inputs!$B$34/100))+MIN((Skills!Y20*(1+Inputs!$B$34/100)),MAX(0,Inputs!$B$44-((R3536-1)*Skills!D20))))/Inputs!$B$44),IF(Inputs!$B$39="pvp",MIN((Skills!Y20*(1+Inputs!$B$34/100)),15)/15,(Skills!Y20*(1+Inputs!$B$34/100))/Skills!D20)))</f>
        <v/>
      </c>
    </row>
    <row r="3557">
      <c r="A3557" t="inlineStr">
        <is>
          <t>Global Monster Damage-Taken Bonus %</t>
        </is>
      </c>
      <c r="B3557">
        <f>IF(Inputs!$B$3&gt;=82,15,0)+((C3532=TRUE)*F3532*IF(AND(Inputs!$B$39&lt;&gt;"pvp",Inputs!$B$44&gt;0),(((R3532-1)*(Skills!Y16*(1+Inputs!$B$34/100))+MIN((Skills!Y16*(1+Inputs!$B$34/100)),MAX(0,Inputs!$B$44-((R3532-1)*Skills!D16))))/Inputs!$B$44),IF(Inputs!$B$39="pvp",MIN((Skills!Y16*(1+Inputs!$B$34/100)),15)/15,(Skills!Y16*(1+Inputs!$B$34/100))/Skills!D16)))</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Skills!Y16*(1+Inputs!$B$34/100))+MIN((Skills!Y16*(1+Inputs!$B$34/100)),MAX(0,Inputs!$B$44-((R3532-1)*Skills!D16))))/Inputs!$B$44),IF(Inputs!$B$39="pvp",MIN((Skills!Y16*(1+Inputs!$B$34/100)),15)/15,(Skills!Y16*(1+Inputs!$B$34/100))/Skills!D16))</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IFERROR(1/IF(Inputs!$B$39="pvp",15,MAX(0.1,Skills!D3-IF(Skills!E3=TRUE,4.5,0))),0)</f>
        <v/>
      </c>
      <c r="R3568">
        <f>IF(AND(Inputs!$B$39&lt;&gt;"pvp",Inputs!$B$44&gt;0),IF(MAX(0,Inputs!$B$44-B3610)&lt;=0,0,(INT(MAX(0,Inputs!$B$44-B3610)/IF(Inputs!$B$39="pvp",15,MAX(0.1,Skills!D3-IF(Skills!E3=TRUE,4.5,0))))+1)),0)</f>
        <v/>
      </c>
      <c r="S3568">
        <f>IFERROR(O3568/N3568,0)</f>
        <v/>
      </c>
      <c r="T3568">
        <f>IF(C3568,(H3568*N3568*IF(AND(Inputs!$B$39&lt;&gt;"pvp",Inputs!$B$44&gt;0),((Skills!G3*((R3568-1)*IF(Skills!H3&gt;0,Skills!I3/Skills!H3,1)+IF(Skills!H3&gt;0,MIN(Skills!I3,MAX(0,MAX(0,Inputs!$B$44-B3610)-((R3568-1)*IF(Inputs!$B$39="pvp",15,MAX(0.1,Skills!D3-IF(Skills!E3=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Skills!E3=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Inputs!$B$3&gt;=40</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IFERROR(1/IF(Inputs!$B$39="pvp",15,MAX(0.1,Skills!D4-IF(Skills!E4=TRUE,4.5,0))),0)</f>
        <v/>
      </c>
      <c r="R3569">
        <f>IF(AND(Inputs!$B$39&lt;&gt;"pvp",Inputs!$B$44&gt;0),IF(MAX(0,Inputs!$B$44-B3610)&lt;=0,0,(INT(MAX(0,Inputs!$B$44-B3610)/IF(Inputs!$B$39="pvp",15,MAX(0.1,Skills!D4-IF(Skills!E4=TRUE,4.5,0))))+1)),0)</f>
        <v/>
      </c>
      <c r="S3569">
        <f>IFERROR(O3569/N3569,0)</f>
        <v/>
      </c>
      <c r="T3569">
        <f>IF(C3569,(H3569*N3569*IF(AND(Inputs!$B$39&lt;&gt;"pvp",Inputs!$B$44&gt;0),((Skills!G4*((R3569-1)*IF(Skills!H4&gt;0,Skills!I4/Skills!H4,1)+IF(Skills!H4&gt;0,MIN(Skills!I4,MAX(0,MAX(0,Inputs!$B$44-B3610)-((R3569-1)*IF(Inputs!$B$39="pvp",15,MAX(0.1,Skills!D4-IF(Skills!E4=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Skills!E4=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IFERROR(1/IF(Inputs!$B$39="pvp",15,MAX(0.1,Skills!D5-IF(Skills!E5=TRUE,4.5,0))),0)</f>
        <v/>
      </c>
      <c r="R3570">
        <f>IF(AND(Inputs!$B$39&lt;&gt;"pvp",Inputs!$B$44&gt;0),IF(MAX(0,Inputs!$B$44-B3610)&lt;=0,0,(INT(MAX(0,Inputs!$B$44-B3610)/IF(Inputs!$B$39="pvp",15,MAX(0.1,Skills!D5-IF(Skills!E5=TRUE,4.5,0))))+1)),0)</f>
        <v/>
      </c>
      <c r="S3570">
        <f>IFERROR(O3570/N3570,0)</f>
        <v/>
      </c>
      <c r="T3570">
        <f>IF(C3570,(H3570*N3570*IF(AND(Inputs!$B$39&lt;&gt;"pvp",Inputs!$B$44&gt;0),((Skills!G5*((R3570-1)*IF(Skills!H5&gt;0,Skills!I5/Skills!H5,1)+IF(Skills!H5&gt;0,MIN(Skills!I5,MAX(0,MAX(0,Inputs!$B$44-B3610)-((R3570-1)*IF(Inputs!$B$39="pvp",15,MAX(0.1,Skills!D5-IF(Skills!E5=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Skills!E5=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IFERROR(1/IF(Inputs!$B$39="pvp",15,MAX(0.1,Skills!D8-IF(Skills!E8=TRUE,4.5,0))),0)</f>
        <v/>
      </c>
      <c r="R3573">
        <f>IF(AND(Inputs!$B$39&lt;&gt;"pvp",Inputs!$B$44&gt;0),IF(MAX(0,Inputs!$B$44-B3610)&lt;=0,0,(INT(MAX(0,Inputs!$B$44-B3610)/IF(Inputs!$B$39="pvp",15,MAX(0.1,Skills!D8-IF(Skills!E8=TRUE,4.5,0))))+1)),0)</f>
        <v/>
      </c>
      <c r="S3573">
        <f>IFERROR(O3573/N3573,0)</f>
        <v/>
      </c>
      <c r="T3573">
        <f>IF(C3573,(H3573*N3573*IF(AND(Inputs!$B$39&lt;&gt;"pvp",Inputs!$B$44&gt;0),((Skills!G8*((R3573-1)*IF(Skills!H8&gt;0,Skills!I8/Skills!H8,1)+IF(Skills!H8&gt;0,MIN(Skills!I8,MAX(0,MAX(0,Inputs!$B$44-B3610)-((R3573-1)*IF(Inputs!$B$39="pvp",15,MAX(0.1,Skills!D8-IF(Skills!E8=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Skills!E8=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Inputs!$B$3&gt;=72</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IFERROR(1/IF(Inputs!$B$39="pvp",15,MAX(0.1,Skills!D9-IF(Skills!E9=TRUE,4.5,0))),0)</f>
        <v/>
      </c>
      <c r="R3574">
        <f>IF(AND(Inputs!$B$39&lt;&gt;"pvp",Inputs!$B$44&gt;0),IF(MAX(0,Inputs!$B$44-B3610)&lt;=0,0,(INT(MAX(0,Inputs!$B$44-B3610)/IF(Inputs!$B$39="pvp",15,MAX(0.1,Skills!D9-IF(Skills!E9=TRUE,4.5,0))))+1)),0)</f>
        <v/>
      </c>
      <c r="S3574">
        <f>IFERROR(O3574/N3574,0)</f>
        <v/>
      </c>
      <c r="T3574">
        <f>IF(C3574,(H3574*N3574*IF(AND(Inputs!$B$39&lt;&gt;"pvp",Inputs!$B$44&gt;0),((Skills!G9*((R3574-1)*IF(Skills!H9&gt;0,Skills!I9/Skills!H9,1)+IF(Skills!H9&gt;0,MIN(Skills!I9,MAX(0,MAX(0,Inputs!$B$44-B3610)-((R3574-1)*IF(Inputs!$B$39="pvp",15,MAX(0.1,Skills!D9-IF(Skills!E9=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Skills!E9=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IFERROR(1/IF(Inputs!$B$39="pvp",15,MAX(0.1,Skills!D12-IF(Skills!E12=TRUE,4.5,0))),0)</f>
        <v/>
      </c>
      <c r="R3577">
        <f>IF(AND(Inputs!$B$39&lt;&gt;"pvp",Inputs!$B$44&gt;0),IF(MAX(0,Inputs!$B$44-B3610)&lt;=0,0,(INT(MAX(0,Inputs!$B$44-B3610)/IF(Inputs!$B$39="pvp",15,MAX(0.1,Skills!D12-IF(Skills!E12=TRUE,4.5,0))))+1)),0)</f>
        <v/>
      </c>
      <c r="S3577">
        <f>IFERROR(O3577/N3577,0)</f>
        <v/>
      </c>
      <c r="T3577">
        <f>IF(C3577,(H3577*N3577*IF(AND(Inputs!$B$39&lt;&gt;"pvp",Inputs!$B$44&gt;0),((Skills!G12*((R3577-1)*IF(Skills!H12&gt;0,Skills!I12/Skills!H12,1)+IF(Skills!H12&gt;0,MIN(Skills!I12,MAX(0,MAX(0,Inputs!$B$44-B3610)-((R3577-1)*IF(Inputs!$B$39="pvp",15,MAX(0.1,Skills!D12-IF(Skills!E12=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Skills!E12=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IFERROR(1/IF(Inputs!$B$39="pvp",15,MAX(0.1,Skills!D13-IF(Skills!E13=TRUE,4.5,0))),0)</f>
        <v/>
      </c>
      <c r="R3578">
        <f>IF(AND(Inputs!$B$39&lt;&gt;"pvp",Inputs!$B$44&gt;0),IF(MAX(0,Inputs!$B$44-B3610)&lt;=0,0,(INT(MAX(0,Inputs!$B$44-B3610)/IF(Inputs!$B$39="pvp",15,MAX(0.1,Skills!D13-IF(Skills!E13=TRUE,4.5,0))))+1)),0)</f>
        <v/>
      </c>
      <c r="S3578">
        <f>IFERROR(O3578/N3578,0)</f>
        <v/>
      </c>
      <c r="T3578">
        <f>IF(C3578,(H3578*N3578*IF(AND(Inputs!$B$39&lt;&gt;"pvp",Inputs!$B$44&gt;0),((Skills!G13*((R3578-1)*IF(Skills!H13&gt;0,Skills!I13/Skills!H13,1)+IF(Skills!H13&gt;0,MIN(Skills!I13,MAX(0,MAX(0,Inputs!$B$44-B3610)-((R3578-1)*IF(Inputs!$B$39="pvp",15,MAX(0.1,Skills!D13-IF(Skills!E13=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Skills!E13=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IFERROR(1/IF(Inputs!$B$39="pvp",15,MAX(0.1,Skills!D14-IF(Skills!E14=TRUE,4.5,0))),0)</f>
        <v/>
      </c>
      <c r="R3579">
        <f>IF(AND(Inputs!$B$39&lt;&gt;"pvp",Inputs!$B$44&gt;0),IF(MAX(0,Inputs!$B$44-B3610)&lt;=0,0,(INT(MAX(0,Inputs!$B$44-B3610)/IF(Inputs!$B$39="pvp",15,MAX(0.1,Skills!D14-IF(Skills!E14=TRUE,4.5,0))))+1)),0)</f>
        <v/>
      </c>
      <c r="S3579">
        <f>IFERROR(O3579/N3579,0)</f>
        <v/>
      </c>
      <c r="T3579">
        <f>IF(C3579,(H3579*N3579*IF(AND(Inputs!$B$39&lt;&gt;"pvp",Inputs!$B$44&gt;0),((Skills!G14*((R3579-1)*IF(Skills!H14&gt;0,Skills!I14/Skills!H14,1)+IF(Skills!H14&gt;0,MIN(Skills!I14,MAX(0,MAX(0,Inputs!$B$44-B3610)-((R3579-1)*IF(Inputs!$B$39="pvp",15,MAX(0.1,Skills!D14-IF(Skills!E14=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Skills!E14=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IFERROR(1/IF(Inputs!$B$39="pvp",15,MAX(0.1,Skills!D15-IF(Skills!E15=TRUE,4.5,0))),0)</f>
        <v/>
      </c>
      <c r="R3580">
        <f>IF(AND(Inputs!$B$39&lt;&gt;"pvp",Inputs!$B$44&gt;0),IF(Inputs!$B$44&lt;=0,0,(INT(Inputs!$B$44/IF(Inputs!$B$39="pvp",15,MAX(0.1,Skills!D15-IF(Skills!E15=TRUE,4.5,0))))+1)),0)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IFERROR(1/IF(Inputs!$B$39="pvp",15,MAX(0.1,Skills!D16-IF(Skills!E16=TRUE,4.5,0))),0)</f>
        <v/>
      </c>
      <c r="R3581">
        <f>IF(AND(Inputs!$B$39&lt;&gt;"pvp",Inputs!$B$44&gt;0),IF(Inputs!$B$44&lt;=0,0,(INT(Inputs!$B$44/IF(Inputs!$B$39="pvp",15,MAX(0.1,Skills!D16-IF(Skills!E16=TRUE,4.5,0))))+1)),0)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IFERROR(1/IF(Inputs!$B$39="pvp",15,MAX(0.1,Skills!D19-IF(Skills!E19=TRUE,4.5,0))),0)</f>
        <v/>
      </c>
      <c r="R3584">
        <f>IF(AND(Inputs!$B$39&lt;&gt;"pvp",Inputs!$B$44&gt;0),IF(Inputs!$B$44&lt;=0,0,(INT(Inputs!$B$44/IF(Inputs!$B$39="pvp",15,MAX(0.1,Skills!D19-IF(Skills!E19=TRUE,4.5,0))))+1)),0)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IFERROR(1/IF(Inputs!$B$39="pvp",15,MAX(0.1,Skills!D20-IF(Skills!E20=TRUE,4.5,0))),0)</f>
        <v/>
      </c>
      <c r="R3585">
        <f>IF(AND(Inputs!$B$39&lt;&gt;"pvp",Inputs!$B$44&gt;0),IF(Inputs!$B$44&lt;=0,0,(INT(Inputs!$B$44/IF(Inputs!$B$39="pvp",15,MAX(0.1,Skills!D20-IF(Skills!E20=TRUE,4.5,0))))+1)),0)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IFERROR(1/IF(Inputs!$B$39="pvp",15,MAX(0.1,Skills!D21-IF(Skills!E21=TRUE,4.5,0))),0)</f>
        <v/>
      </c>
      <c r="R3586">
        <f>IF(AND(Inputs!$B$39&lt;&gt;"pvp",Inputs!$B$44&gt;0),IF(Inputs!$B$44&lt;=0,0,(INT(Inputs!$B$44/IF(Inputs!$B$39="pvp",15,MAX(0.1,Skills!D21-IF(Skills!E21=TRUE,4.5,0))))+1)),0)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Skills!Y19*(1+Inputs!$B$34/100))+MIN((Skills!Y19*(1+Inputs!$B$34/100)),MAX(0,Inputs!$B$44-((R3584-1)*Skills!D19))))/Inputs!$B$44),IF(Inputs!$B$39="pvp",MIN((Skills!Y19*(1+Inputs!$B$34/100)),15)/15,(Skills!Y19*(1+Inputs!$B$34/100))/Skills!D19)))/150)))/100</f>
        <v/>
      </c>
    </row>
    <row r="3599">
      <c r="A3599" t="inlineStr">
        <is>
          <t>Alchemic Adrenaline Uptime</t>
        </is>
      </c>
      <c r="B3599">
        <f>(Skills!Y6*(1+Inputs!$B$34/100))/((Skills!Y6*(1+Inputs!$B$34/100))+(5/B3598))</f>
        <v/>
      </c>
    </row>
    <row r="3600">
      <c r="A3600" t="inlineStr">
        <is>
          <t>Attack Speed Buff Bonus %</t>
        </is>
      </c>
      <c r="B3600">
        <f>((C3584=TRUE)*F3584*IF(AND(Inputs!$B$39&lt;&gt;"pvp",Inputs!$B$44&gt;0),(((R3584-1)*(Skills!Y19*(1+Inputs!$B$34/100))+MIN((Skills!Y19*(1+Inputs!$B$34/100)),MAX(0,Inputs!$B$44-((R3584-1)*Skills!D19))))/Inputs!$B$44),IF(Inputs!$B$39="pvp",MIN((Skills!Y19*(1+Inputs!$B$34/100)),15)/15,(Skills!Y19*(1+Inputs!$B$34/100))/Skills!D19)))+((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f>
        <v/>
      </c>
    </row>
    <row r="3605">
      <c r="A3605" t="inlineStr">
        <is>
          <t>Global Crit Rate Bonus %</t>
        </is>
      </c>
      <c r="B3605">
        <f>IF(Inputs!$B$3&gt;=47,8,0)+((C3585=TRUE)*F3585*IF(AND(Inputs!$B$39&lt;&gt;"pvp",Inputs!$B$44&gt;0),(((R3585-1)*(Skills!Y20*(1+Inputs!$B$34/100))+MIN((Skills!Y20*(1+Inputs!$B$34/100)),MAX(0,Inputs!$B$44-((R3585-1)*Skills!D20))))/Inputs!$B$44),IF(Inputs!$B$39="pvp",MIN((Skills!Y20*(1+Inputs!$B$34/100)),15)/15,(Skills!Y20*(1+Inputs!$B$34/100))/Skills!D20)))</f>
        <v/>
      </c>
    </row>
    <row r="3606">
      <c r="A3606" t="inlineStr">
        <is>
          <t>Global Monster Damage-Taken Bonus %</t>
        </is>
      </c>
      <c r="B3606">
        <f>IF(Inputs!$B$3&gt;=82,15,0)+((C3581=TRUE)*F3581*IF(AND(Inputs!$B$39&lt;&gt;"pvp",Inputs!$B$44&gt;0),(((R3581-1)*(Skills!Y16*(1+Inputs!$B$34/100))+MIN((Skills!Y16*(1+Inputs!$B$34/100)),MAX(0,Inputs!$B$44-((R3581-1)*Skills!D16))))/Inputs!$B$44),IF(Inputs!$B$39="pvp",MIN((Skills!Y16*(1+Inputs!$B$34/100)),15)/15,(Skills!Y16*(1+Inputs!$B$34/100))/Skills!D16)))</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Skills!Y16*(1+Inputs!$B$34/100))+MIN((Skills!Y16*(1+Inputs!$B$34/100)),MAX(0,Inputs!$B$44-((R3581-1)*Skills!D16))))/Inputs!$B$44),IF(Inputs!$B$39="pvp",MIN((Skills!Y16*(1+Inputs!$B$34/100)),15)/15,(Skills!Y16*(1+Inputs!$B$34/100))/Skills!D16))</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IFERROR(1/IF(Inputs!$B$39="pvp",15,MAX(0.1,Skills!D3-IF(Skills!E3=TRUE,5.0,0))),0)</f>
        <v/>
      </c>
      <c r="R3617">
        <f>IF(AND(Inputs!$B$39&lt;&gt;"pvp",Inputs!$B$44&gt;0),IF(MAX(0,Inputs!$B$44-B3659)&lt;=0,0,(INT(MAX(0,Inputs!$B$44-B3659)/IF(Inputs!$B$39="pvp",15,MAX(0.1,Skills!D3-IF(Skills!E3=TRUE,5.0,0))))+1)),0)</f>
        <v/>
      </c>
      <c r="S3617">
        <f>IFERROR(O3617/N3617,0)</f>
        <v/>
      </c>
      <c r="T3617">
        <f>IF(C3617,(H3617*N3617*IF(AND(Inputs!$B$39&lt;&gt;"pvp",Inputs!$B$44&gt;0),((Skills!G3*((R3617-1)*IF(Skills!H3&gt;0,Skills!I3/Skills!H3,1)+IF(Skills!H3&gt;0,MIN(Skills!I3,MAX(0,MAX(0,Inputs!$B$44-B3659)-((R3617-1)*IF(Inputs!$B$39="pvp",15,MAX(0.1,Skills!D3-IF(Skills!E3=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Skills!E3=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Inputs!$B$3&gt;=40</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IFERROR(1/IF(Inputs!$B$39="pvp",15,MAX(0.1,Skills!D4-IF(Skills!E4=TRUE,5.0,0))),0)</f>
        <v/>
      </c>
      <c r="R3618">
        <f>IF(AND(Inputs!$B$39&lt;&gt;"pvp",Inputs!$B$44&gt;0),IF(MAX(0,Inputs!$B$44-B3659)&lt;=0,0,(INT(MAX(0,Inputs!$B$44-B3659)/IF(Inputs!$B$39="pvp",15,MAX(0.1,Skills!D4-IF(Skills!E4=TRUE,5.0,0))))+1)),0)</f>
        <v/>
      </c>
      <c r="S3618">
        <f>IFERROR(O3618/N3618,0)</f>
        <v/>
      </c>
      <c r="T3618">
        <f>IF(C3618,(H3618*N3618*IF(AND(Inputs!$B$39&lt;&gt;"pvp",Inputs!$B$44&gt;0),((Skills!G4*((R3618-1)*IF(Skills!H4&gt;0,Skills!I4/Skills!H4,1)+IF(Skills!H4&gt;0,MIN(Skills!I4,MAX(0,MAX(0,Inputs!$B$44-B3659)-((R3618-1)*IF(Inputs!$B$39="pvp",15,MAX(0.1,Skills!D4-IF(Skills!E4=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Skills!E4=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IFERROR(1/IF(Inputs!$B$39="pvp",15,MAX(0.1,Skills!D5-IF(Skills!E5=TRUE,5.0,0))),0)</f>
        <v/>
      </c>
      <c r="R3619">
        <f>IF(AND(Inputs!$B$39&lt;&gt;"pvp",Inputs!$B$44&gt;0),IF(MAX(0,Inputs!$B$44-B3659)&lt;=0,0,(INT(MAX(0,Inputs!$B$44-B3659)/IF(Inputs!$B$39="pvp",15,MAX(0.1,Skills!D5-IF(Skills!E5=TRUE,5.0,0))))+1)),0)</f>
        <v/>
      </c>
      <c r="S3619">
        <f>IFERROR(O3619/N3619,0)</f>
        <v/>
      </c>
      <c r="T3619">
        <f>IF(C3619,(H3619*N3619*IF(AND(Inputs!$B$39&lt;&gt;"pvp",Inputs!$B$44&gt;0),((Skills!G5*((R3619-1)*IF(Skills!H5&gt;0,Skills!I5/Skills!H5,1)+IF(Skills!H5&gt;0,MIN(Skills!I5,MAX(0,MAX(0,Inputs!$B$44-B3659)-((R3619-1)*IF(Inputs!$B$39="pvp",15,MAX(0.1,Skills!D5-IF(Skills!E5=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Skills!E5=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IFERROR(1/IF(Inputs!$B$39="pvp",15,MAX(0.1,Skills!D8-IF(Skills!E8=TRUE,5.0,0))),0)</f>
        <v/>
      </c>
      <c r="R3622">
        <f>IF(AND(Inputs!$B$39&lt;&gt;"pvp",Inputs!$B$44&gt;0),IF(MAX(0,Inputs!$B$44-B3659)&lt;=0,0,(INT(MAX(0,Inputs!$B$44-B3659)/IF(Inputs!$B$39="pvp",15,MAX(0.1,Skills!D8-IF(Skills!E8=TRUE,5.0,0))))+1)),0)</f>
        <v/>
      </c>
      <c r="S3622">
        <f>IFERROR(O3622/N3622,0)</f>
        <v/>
      </c>
      <c r="T3622">
        <f>IF(C3622,(H3622*N3622*IF(AND(Inputs!$B$39&lt;&gt;"pvp",Inputs!$B$44&gt;0),((Skills!G8*((R3622-1)*IF(Skills!H8&gt;0,Skills!I8/Skills!H8,1)+IF(Skills!H8&gt;0,MIN(Skills!I8,MAX(0,MAX(0,Inputs!$B$44-B3659)-((R3622-1)*IF(Inputs!$B$39="pvp",15,MAX(0.1,Skills!D8-IF(Skills!E8=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Skills!E8=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Inputs!$B$3&gt;=72</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IFERROR(1/IF(Inputs!$B$39="pvp",15,MAX(0.1,Skills!D9-IF(Skills!E9=TRUE,5.0,0))),0)</f>
        <v/>
      </c>
      <c r="R3623">
        <f>IF(AND(Inputs!$B$39&lt;&gt;"pvp",Inputs!$B$44&gt;0),IF(MAX(0,Inputs!$B$44-B3659)&lt;=0,0,(INT(MAX(0,Inputs!$B$44-B3659)/IF(Inputs!$B$39="pvp",15,MAX(0.1,Skills!D9-IF(Skills!E9=TRUE,5.0,0))))+1)),0)</f>
        <v/>
      </c>
      <c r="S3623">
        <f>IFERROR(O3623/N3623,0)</f>
        <v/>
      </c>
      <c r="T3623">
        <f>IF(C3623,(H3623*N3623*IF(AND(Inputs!$B$39&lt;&gt;"pvp",Inputs!$B$44&gt;0),((Skills!G9*((R3623-1)*IF(Skills!H9&gt;0,Skills!I9/Skills!H9,1)+IF(Skills!H9&gt;0,MIN(Skills!I9,MAX(0,MAX(0,Inputs!$B$44-B3659)-((R3623-1)*IF(Inputs!$B$39="pvp",15,MAX(0.1,Skills!D9-IF(Skills!E9=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Skills!E9=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IFERROR(1/IF(Inputs!$B$39="pvp",15,MAX(0.1,Skills!D12-IF(Skills!E12=TRUE,5.0,0))),0)</f>
        <v/>
      </c>
      <c r="R3626">
        <f>IF(AND(Inputs!$B$39&lt;&gt;"pvp",Inputs!$B$44&gt;0),IF(MAX(0,Inputs!$B$44-B3659)&lt;=0,0,(INT(MAX(0,Inputs!$B$44-B3659)/IF(Inputs!$B$39="pvp",15,MAX(0.1,Skills!D12-IF(Skills!E12=TRUE,5.0,0))))+1)),0)</f>
        <v/>
      </c>
      <c r="S3626">
        <f>IFERROR(O3626/N3626,0)</f>
        <v/>
      </c>
      <c r="T3626">
        <f>IF(C3626,(H3626*N3626*IF(AND(Inputs!$B$39&lt;&gt;"pvp",Inputs!$B$44&gt;0),((Skills!G12*((R3626-1)*IF(Skills!H12&gt;0,Skills!I12/Skills!H12,1)+IF(Skills!H12&gt;0,MIN(Skills!I12,MAX(0,MAX(0,Inputs!$B$44-B3659)-((R3626-1)*IF(Inputs!$B$39="pvp",15,MAX(0.1,Skills!D12-IF(Skills!E12=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Skills!E12=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IFERROR(1/IF(Inputs!$B$39="pvp",15,MAX(0.1,Skills!D13-IF(Skills!E13=TRUE,5.0,0))),0)</f>
        <v/>
      </c>
      <c r="R3627">
        <f>IF(AND(Inputs!$B$39&lt;&gt;"pvp",Inputs!$B$44&gt;0),IF(MAX(0,Inputs!$B$44-B3659)&lt;=0,0,(INT(MAX(0,Inputs!$B$44-B3659)/IF(Inputs!$B$39="pvp",15,MAX(0.1,Skills!D13-IF(Skills!E13=TRUE,5.0,0))))+1)),0)</f>
        <v/>
      </c>
      <c r="S3627">
        <f>IFERROR(O3627/N3627,0)</f>
        <v/>
      </c>
      <c r="T3627">
        <f>IF(C3627,(H3627*N3627*IF(AND(Inputs!$B$39&lt;&gt;"pvp",Inputs!$B$44&gt;0),((Skills!G13*((R3627-1)*IF(Skills!H13&gt;0,Skills!I13/Skills!H13,1)+IF(Skills!H13&gt;0,MIN(Skills!I13,MAX(0,MAX(0,Inputs!$B$44-B3659)-((R3627-1)*IF(Inputs!$B$39="pvp",15,MAX(0.1,Skills!D13-IF(Skills!E13=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Skills!E13=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IFERROR(1/IF(Inputs!$B$39="pvp",15,MAX(0.1,Skills!D14-IF(Skills!E14=TRUE,5.0,0))),0)</f>
        <v/>
      </c>
      <c r="R3628">
        <f>IF(AND(Inputs!$B$39&lt;&gt;"pvp",Inputs!$B$44&gt;0),IF(MAX(0,Inputs!$B$44-B3659)&lt;=0,0,(INT(MAX(0,Inputs!$B$44-B3659)/IF(Inputs!$B$39="pvp",15,MAX(0.1,Skills!D14-IF(Skills!E14=TRUE,5.0,0))))+1)),0)</f>
        <v/>
      </c>
      <c r="S3628">
        <f>IFERROR(O3628/N3628,0)</f>
        <v/>
      </c>
      <c r="T3628">
        <f>IF(C3628,(H3628*N3628*IF(AND(Inputs!$B$39&lt;&gt;"pvp",Inputs!$B$44&gt;0),((Skills!G14*((R3628-1)*IF(Skills!H14&gt;0,Skills!I14/Skills!H14,1)+IF(Skills!H14&gt;0,MIN(Skills!I14,MAX(0,MAX(0,Inputs!$B$44-B3659)-((R3628-1)*IF(Inputs!$B$39="pvp",15,MAX(0.1,Skills!D14-IF(Skills!E14=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Skills!E14=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IFERROR(1/IF(Inputs!$B$39="pvp",15,MAX(0.1,Skills!D15-IF(Skills!E15=TRUE,5.0,0))),0)</f>
        <v/>
      </c>
      <c r="R3629">
        <f>IF(AND(Inputs!$B$39&lt;&gt;"pvp",Inputs!$B$44&gt;0),IF(Inputs!$B$44&lt;=0,0,(INT(Inputs!$B$44/IF(Inputs!$B$39="pvp",15,MAX(0.1,Skills!D15-IF(Skills!E15=TRUE,5.0,0))))+1)),0)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IFERROR(1/IF(Inputs!$B$39="pvp",15,MAX(0.1,Skills!D16-IF(Skills!E16=TRUE,5.0,0))),0)</f>
        <v/>
      </c>
      <c r="R3630">
        <f>IF(AND(Inputs!$B$39&lt;&gt;"pvp",Inputs!$B$44&gt;0),IF(Inputs!$B$44&lt;=0,0,(INT(Inputs!$B$44/IF(Inputs!$B$39="pvp",15,MAX(0.1,Skills!D16-IF(Skills!E16=TRUE,5.0,0))))+1)),0)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IFERROR(1/IF(Inputs!$B$39="pvp",15,MAX(0.1,Skills!D19-IF(Skills!E19=TRUE,5.0,0))),0)</f>
        <v/>
      </c>
      <c r="R3633">
        <f>IF(AND(Inputs!$B$39&lt;&gt;"pvp",Inputs!$B$44&gt;0),IF(Inputs!$B$44&lt;=0,0,(INT(Inputs!$B$44/IF(Inputs!$B$39="pvp",15,MAX(0.1,Skills!D19-IF(Skills!E19=TRUE,5.0,0))))+1)),0)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IFERROR(1/IF(Inputs!$B$39="pvp",15,MAX(0.1,Skills!D20-IF(Skills!E20=TRUE,5.0,0))),0)</f>
        <v/>
      </c>
      <c r="R3634">
        <f>IF(AND(Inputs!$B$39&lt;&gt;"pvp",Inputs!$B$44&gt;0),IF(Inputs!$B$44&lt;=0,0,(INT(Inputs!$B$44/IF(Inputs!$B$39="pvp",15,MAX(0.1,Skills!D20-IF(Skills!E20=TRUE,5.0,0))))+1)),0)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IFERROR(1/IF(Inputs!$B$39="pvp",15,MAX(0.1,Skills!D21-IF(Skills!E21=TRUE,5.0,0))),0)</f>
        <v/>
      </c>
      <c r="R3635">
        <f>IF(AND(Inputs!$B$39&lt;&gt;"pvp",Inputs!$B$44&gt;0),IF(Inputs!$B$44&lt;=0,0,(INT(Inputs!$B$44/IF(Inputs!$B$39="pvp",15,MAX(0.1,Skills!D21-IF(Skills!E21=TRUE,5.0,0))))+1)),0)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Skills!Y19*(1+Inputs!$B$34/100))+MIN((Skills!Y19*(1+Inputs!$B$34/100)),MAX(0,Inputs!$B$44-((R3633-1)*Skills!D19))))/Inputs!$B$44),IF(Inputs!$B$39="pvp",MIN((Skills!Y19*(1+Inputs!$B$34/100)),15)/15,(Skills!Y19*(1+Inputs!$B$34/100))/Skills!D19)))/150)))/100</f>
        <v/>
      </c>
    </row>
    <row r="3648">
      <c r="A3648" t="inlineStr">
        <is>
          <t>Alchemic Adrenaline Uptime</t>
        </is>
      </c>
      <c r="B3648">
        <f>(Skills!Y6*(1+Inputs!$B$34/100))/((Skills!Y6*(1+Inputs!$B$34/100))+(5/B3647))</f>
        <v/>
      </c>
    </row>
    <row r="3649">
      <c r="A3649" t="inlineStr">
        <is>
          <t>Attack Speed Buff Bonus %</t>
        </is>
      </c>
      <c r="B3649">
        <f>((C3633=TRUE)*F3633*IF(AND(Inputs!$B$39&lt;&gt;"pvp",Inputs!$B$44&gt;0),(((R3633-1)*(Skills!Y19*(1+Inputs!$B$34/100))+MIN((Skills!Y19*(1+Inputs!$B$34/100)),MAX(0,Inputs!$B$44-((R3633-1)*Skills!D19))))/Inputs!$B$44),IF(Inputs!$B$39="pvp",MIN((Skills!Y19*(1+Inputs!$B$34/100)),15)/15,(Skills!Y19*(1+Inputs!$B$34/100))/Skills!D19)))+((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f>
        <v/>
      </c>
    </row>
    <row r="3654">
      <c r="A3654" t="inlineStr">
        <is>
          <t>Global Crit Rate Bonus %</t>
        </is>
      </c>
      <c r="B3654">
        <f>IF(Inputs!$B$3&gt;=47,8,0)+((C3634=TRUE)*F3634*IF(AND(Inputs!$B$39&lt;&gt;"pvp",Inputs!$B$44&gt;0),(((R3634-1)*(Skills!Y20*(1+Inputs!$B$34/100))+MIN((Skills!Y20*(1+Inputs!$B$34/100)),MAX(0,Inputs!$B$44-((R3634-1)*Skills!D20))))/Inputs!$B$44),IF(Inputs!$B$39="pvp",MIN((Skills!Y20*(1+Inputs!$B$34/100)),15)/15,(Skills!Y20*(1+Inputs!$B$34/100))/Skills!D20)))</f>
        <v/>
      </c>
    </row>
    <row r="3655">
      <c r="A3655" t="inlineStr">
        <is>
          <t>Global Monster Damage-Taken Bonus %</t>
        </is>
      </c>
      <c r="B3655">
        <f>IF(Inputs!$B$3&gt;=82,15,0)+((C3630=TRUE)*F3630*IF(AND(Inputs!$B$39&lt;&gt;"pvp",Inputs!$B$44&gt;0),(((R3630-1)*(Skills!Y16*(1+Inputs!$B$34/100))+MIN((Skills!Y16*(1+Inputs!$B$34/100)),MAX(0,Inputs!$B$44-((R3630-1)*Skills!D16))))/Inputs!$B$44),IF(Inputs!$B$39="pvp",MIN((Skills!Y16*(1+Inputs!$B$34/100)),15)/15,(Skills!Y16*(1+Inputs!$B$34/100))/Skills!D16)))</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Skills!Y16*(1+Inputs!$B$34/100))+MIN((Skills!Y16*(1+Inputs!$B$34/100)),MAX(0,Inputs!$B$44-((R3630-1)*Skills!D16))))/Inputs!$B$44),IF(Inputs!$B$39="pvp",MIN((Skills!Y16*(1+Inputs!$B$34/100)),15)/15,(Skills!Y16*(1+Inputs!$B$34/100))/Skills!D16))</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2026-10-13T21:34:17Z</dcterms:created>
  <dcterms:modified xsi:type="dcterms:W3CDTF">2026-10-13T21:34:17Z</dcterms:modified>
</cp:coreProperties>
</file>