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0" customWidth="1" min="1" max="1"/>
    <col width="16" customWidth="1" min="2" max="2"/>
  </cols>
  <sheetData>
    <row r="1">
      <c r="A1" s="4" t="inlineStr">
        <is>
          <t>Night Lord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Feet/Adrenalin)</t>
        </is>
      </c>
      <c r="B11" s="6" t="n">
        <v>0</v>
      </c>
    </row>
    <row r="12">
      <c r="A12" s="5" t="inlineStr">
        <is>
          <t>Flat LUK</t>
        </is>
      </c>
      <c r="B12" s="6" t="n">
        <v>0</v>
      </c>
    </row>
    <row r="13">
      <c r="A13" s="5" t="inlineStr">
        <is>
          <t>LUK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 the character actively casts)</t>
        </is>
      </c>
      <c r="B32" s="6" t="n">
        <v>0</v>
      </c>
    </row>
    <row r="33">
      <c r="A33" s="5" t="inlineStr">
        <is>
          <t>Basic Attack Target Increase (flat, adds to the 6-target Showdown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T1" t="inlineStr">
        <is>
          <t>BossOnlyDPS</t>
        </is>
      </c>
      <c r="U1" s="5" t="inlineStr">
        <is>
          <t>Maple Hero (NL) helper (jobStep4, factorIndex23)</t>
        </is>
      </c>
      <c r="V1" t="inlineStr">
        <is>
          <t>NormalOnlyDPS</t>
        </is>
      </c>
    </row>
    <row r="2">
      <c r="A2">
        <f>Skills!A2</f>
        <v/>
      </c>
      <c r="B2">
        <f>Skills!B2</f>
        <v/>
      </c>
      <c r="C2">
        <f>Inputs!$B$3&gt;=100</f>
        <v/>
      </c>
      <c r="D2" t="inlineStr"/>
      <c r="E2" t="inlineStr"/>
      <c r="F2">
        <f>Summary!$B$54+Skills!O2</f>
        <v/>
      </c>
      <c r="G2">
        <f>Skills!G2*IF(Skills!H2&gt;0,Skills!I2/Skills!H2,1)</f>
        <v/>
      </c>
      <c r="H2">
        <f>1-(1-Skills!J2/100)^Skills!K2</f>
        <v/>
      </c>
      <c r="I2">
        <f>IF(Skills!AA2&lt;&gt;"",1+(Skills!AA2/10)*($U$3/1000)/100,1)</f>
        <v/>
      </c>
      <c r="J2">
        <f>Summary!$B$50*(F2/100)</f>
        <v/>
      </c>
      <c r="K2">
        <f>J2*(1+Summary!$B$51/100)*(1+Inputs!$B$15/100)*(1+Inputs!$B$16/100)*(5000/(6000+Inputs!$B$43*(1-Inputs!$B$19/100)))*(1+Inputs!$B$24/100)*(1+Skills!R2/100)*(1+(IF(Skills!A2="SHOWDOWN",Inputs!$B$17,Inputs!$B$18))/100)*(Summary!$B$57*Summary!$B$60*I2)</f>
        <v/>
      </c>
      <c r="L2">
        <f>K2*(MIN(Inputs!$B$22,Inputs!$B$23)/100+Inputs!$B$23/100)/2</f>
        <v/>
      </c>
      <c r="M2">
        <f>L2*(1+(Inputs!$B$10+Summary!$B$68)/100)</f>
        <v/>
      </c>
      <c r="N2">
        <f>L2*(1-MIN((Inputs!$B$9+Summary!$B$58),100)/100)+M2*(MIN((Inputs!$B$9+Summary!$B$58),100)/100)</f>
        <v/>
      </c>
      <c r="O2">
        <f>(1-Summary!$B$55)*T2+Summary!$B$55*V2</f>
        <v/>
      </c>
      <c r="P2">
        <f>IF(Summary!$B$3=0,0,O2/Summary!$B$3)</f>
        <v/>
      </c>
      <c r="Q2" t="n">
        <v>0</v>
      </c>
      <c r="R2" t="n">
        <v>0</v>
      </c>
      <c r="S2">
        <f>IFERROR(O2/N2,0)</f>
        <v/>
      </c>
      <c r="T2">
        <f>IF(C2,(Skills!G2*N2*Summary!$B$66)*IF(Inputs!$B$39="pvp",1,1+(Inputs!$B$20+Skills!P2+Summary!$B$59)/100),0)</f>
        <v/>
      </c>
      <c r="U2">
        <f>MAX(0,(Inputs!$B$3-100)*3)+Inputs!$B$28+Inputs!$B$29</f>
        <v/>
      </c>
      <c r="V2">
        <f>IF(C2,(Skills!G2*N2*Summary!$B$66)*IF(Inputs!$B$39="pvp",1,(1+(Inputs!$B$21+Skills!Q2+Summary!$B$59)/100)*(MIN(Skills!W2,Inputs!$B$37))),0)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Summary!$B$50*(F3/100)</f>
        <v/>
      </c>
      <c r="K3">
        <f>J3*(1+Summary!$B$51/100)*(1+Inputs!$B$15/100)*(1+Inputs!$B$16/100)*(5000/(6000+Inputs!$B$43*(1-Inputs!$B$19/100)))*(1+Inputs!$B$24/100)*(1+Skills!R3/100)*(1+(IF(Skills!A3="SHOWDOWN",Inputs!$B$17,Inputs!$B$18))/100)*(Summary!$B$57*Summary!$B$60*I3)</f>
        <v/>
      </c>
      <c r="L3">
        <f>K3*(MIN(Inputs!$B$22,Inputs!$B$23)/100+Inputs!$B$23/100)/2</f>
        <v/>
      </c>
      <c r="M3">
        <f>L3*(1+(Inputs!$B$10+Summary!$B$68)/100)</f>
        <v/>
      </c>
      <c r="N3">
        <f>L3*(1-MIN((Inputs!$B$9+Summary!$B$58),100)/100)+M3*(MIN((Inputs!$B$9+Summary!$B$58),100)/100)</f>
        <v/>
      </c>
      <c r="O3">
        <f>(1-Summary!$B$55)*T3+Summary!$B$55*V3</f>
        <v/>
      </c>
      <c r="P3">
        <f>IF(Summary!$B$3=0,0,O3/Summary!$B$3)</f>
        <v/>
      </c>
      <c r="Q3">
        <f>IFERROR(1/IF(Inputs!$B$39="pvp",15,MAX(0.1,Skills!D3-IF(Skills!E3=TRUE,Inputs!$B$32,0))),0)</f>
        <v/>
      </c>
      <c r="R3">
        <f>IF(AND(Inputs!$B$39&lt;&gt;"pvp",Inputs!$B$44&gt;0),IF(MAX(0,Inputs!$B$44-Summary!$B$70)&lt;=0,0,(INT(MAX(0,Inputs!$B$44-Summary!$B$70)/IF(Inputs!$B$39="pvp",15,MAX(0.1,Skills!D3-IF(Skills!E3=TRUE,Inputs!$B$32,0))))+1)),0)</f>
        <v/>
      </c>
      <c r="S3">
        <f>IFERROR(O3/N3,0)</f>
        <v/>
      </c>
      <c r="T3">
        <f>IF(C3,(H3*N3*IF(AND(Inputs!$B$39&lt;&gt;"pvp",Inputs!$B$44&gt;0),((Skills!G3*((R3-1)*IF(Skills!H3&gt;0,Skills!I3/Skills!H3,1)+IF(Skills!H3&gt;0,MIN(Skills!I3,MAX(0,MAX(0,Inputs!$B$44-Summary!$B$70)-((R3-1)*IF(Inputs!$B$39="pvp",15,MAX(0.1,Skills!D3-IF(Skills!E3=TRUE,Inputs!$B$32,0))))))/Skills!H3,1)))/Inputs!$B$44),G3*Q3))*IF(Inputs!$B$39="pvp",1,1+(Inputs!$B$20+Skills!P3+Summary!$B$59)/100),0)</f>
        <v/>
      </c>
      <c r="U3">
        <f>INDEX(FactorTable!$B$2:$Y$301, MATCH(ROUND(MIN(300,MAX(1,U2)),0), FactorTable!$A$2:$A$301,0), 24)</f>
        <v/>
      </c>
      <c r="V3">
        <f>IF(C3,(H3*N3*IF(AND(Inputs!$B$39&lt;&gt;"pvp",Inputs!$B$44&gt;0),((Skills!G3*((R3-1)*IF(Skills!H3&gt;0,Skills!I3/Skills!H3,1)+IF(Skills!H3&gt;0,MIN(Skills!I3,MAX(0,MAX(0,Inputs!$B$44-Summary!$B$70)-((R3-1)*IF(Inputs!$B$39="pvp",15,MAX(0.1,Skills!D3-IF(Skills!E3=TRUE,Inputs!$B$32,0))))))/Skills!H3,1)))/Inputs!$B$44),G3*Q3))*IF(Inputs!$B$39="pvp",1,(1+(Inputs!$B$21+Skills!Q3+Summary!$B$59)/100)*(MIN(Skills!W3,Inputs!$B$37))),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Summary!$B$50*(F4/100)</f>
        <v/>
      </c>
      <c r="K4">
        <f>J4*(1+Summary!$B$51/100)*(1+Inputs!$B$15/100)*(1+Inputs!$B$16/100)*(5000/(6000+Inputs!$B$43*(1-Inputs!$B$19/100)))*(1+Inputs!$B$24/100)*(1+Skills!R4/100)*(1+(IF(Skills!A4="SHOWDOWN",Inputs!$B$17,Inputs!$B$18))/100)*(Summary!$B$57*Summary!$B$60*I4)</f>
        <v/>
      </c>
      <c r="L4">
        <f>K4*(MIN(Inputs!$B$22,Inputs!$B$23)/100+Inputs!$B$23/100)/2</f>
        <v/>
      </c>
      <c r="M4">
        <f>L4*(1+(Inputs!$B$10+Summary!$B$68)/100)</f>
        <v/>
      </c>
      <c r="N4">
        <f>L4*(1-MIN((Inputs!$B$9+Summary!$B$58),100)/100)+M4*(MIN((Inputs!$B$9+Summary!$B$58),100)/100)</f>
        <v/>
      </c>
      <c r="O4">
        <f>(1-Summary!$B$55)*T4+Summary!$B$55*V4</f>
        <v/>
      </c>
      <c r="P4">
        <f>IF(Summary!$B$3=0,0,O4/Summary!$B$3)</f>
        <v/>
      </c>
      <c r="Q4">
        <f>IFERROR(1/IF(Inputs!$B$39="pvp",15,MAX(0.1,Skills!D4-IF(Skills!E4=TRUE,Inputs!$B$32,0))),0)</f>
        <v/>
      </c>
      <c r="R4">
        <f>IF(AND(Inputs!$B$39&lt;&gt;"pvp",Inputs!$B$44&gt;0),IF(MAX(0,Inputs!$B$44-Summary!$B$70)&lt;=0,0,(INT(MAX(0,Inputs!$B$44-Summary!$B$70)/IF(Inputs!$B$39="pvp",15,MAX(0.1,Skills!D4-IF(Skills!E4=TRUE,Inputs!$B$32,0))))+1)),0)</f>
        <v/>
      </c>
      <c r="S4">
        <f>IFERROR(O4/N4,0)</f>
        <v/>
      </c>
      <c r="T4">
        <f>IF(C4,(H4*N4*IF(AND(Inputs!$B$39&lt;&gt;"pvp",Inputs!$B$44&gt;0),((Skills!G4*((R4-1)*IF(Skills!H4&gt;0,Skills!I4/Skills!H4,1)+IF(Skills!H4&gt;0,MIN(Skills!I4,MAX(0,MAX(0,Inputs!$B$44-Summary!$B$70)-((R4-1)*IF(Inputs!$B$39="pvp",15,MAX(0.1,Skills!D4-IF(Skills!E4=TRUE,Inputs!$B$32,0))))))/Skills!H4,1)))/Inputs!$B$44),G4*Q4))*IF(Inputs!$B$39="pvp",1,1+(Inputs!$B$20+Skills!P4+Summary!$B$59)/100),0)</f>
        <v/>
      </c>
      <c r="V4">
        <f>IF(C4,(H4*N4*IF(AND(Inputs!$B$39&lt;&gt;"pvp",Inputs!$B$44&gt;0),((Skills!G4*((R4-1)*IF(Skills!H4&gt;0,Skills!I4/Skills!H4,1)+IF(Skills!H4&gt;0,MIN(Skills!I4,MAX(0,MAX(0,Inputs!$B$44-Summary!$B$70)-((R4-1)*IF(Inputs!$B$39="pvp",15,MAX(0.1,Skills!D4-IF(Skills!E4=TRUE,Inputs!$B$32,0))))))/Skills!H4,1)))/Inputs!$B$44),G4*Q4))*IF(Inputs!$B$39="pvp",1,(1+(Inputs!$B$21+Skills!Q4+Summary!$B$59)/100)*(MIN(Skills!W4,Inputs!$B$37))),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Summary!$B$50*(F5/100)</f>
        <v/>
      </c>
      <c r="K5">
        <f>J5*(1+Summary!$B$51/100)*(1+Inputs!$B$15/100)*(1+Inputs!$B$16/100)*(5000/(6000+Inputs!$B$43*(1-Inputs!$B$19/100)))*(1+Inputs!$B$24/100)*(1+Skills!R5/100)*(1+(IF(Skills!A5="SHOWDOWN",Inputs!$B$17,Inputs!$B$18))/100)*(Summary!$B$57*Summary!$B$60*I5)</f>
        <v/>
      </c>
      <c r="L5">
        <f>K5*(MIN(Inputs!$B$22,Inputs!$B$23)/100+Inputs!$B$23/100)/2</f>
        <v/>
      </c>
      <c r="M5">
        <f>L5*(1+(Inputs!$B$10+Summary!$B$68)/100)</f>
        <v/>
      </c>
      <c r="N5">
        <f>L5*(1-MIN((Inputs!$B$9+Summary!$B$58),100)/100)+M5*(MIN((Inputs!$B$9+Summary!$B$58),100)/100)</f>
        <v/>
      </c>
      <c r="O5">
        <f>(1-Summary!$B$55)*T5+Summary!$B$55*V5</f>
        <v/>
      </c>
      <c r="P5">
        <f>IF(Summary!$B$3=0,0,O5/Summary!$B$3)</f>
        <v/>
      </c>
      <c r="Q5">
        <f>IFERROR(1/IF(Inputs!$B$39="pvp",15,MAX(0.1,Skills!D5-IF(Skills!E5=TRUE,Inputs!$B$32,0))),0)</f>
        <v/>
      </c>
      <c r="R5">
        <f>IF(AND(Inputs!$B$39&lt;&gt;"pvp",Inputs!$B$44&gt;0),IF(MAX(0,Inputs!$B$44-Summary!$B$70)&lt;=0,0,(INT(MAX(0,Inputs!$B$44-Summary!$B$70)/IF(Inputs!$B$39="pvp",15,MAX(0.1,Skills!D5-IF(Skills!E5=TRUE,Inputs!$B$32,0))))+1)),0)</f>
        <v/>
      </c>
      <c r="S5">
        <f>IFERROR(O5/N5,0)</f>
        <v/>
      </c>
      <c r="T5">
        <f>IF(C5,(H5*N5*IF(AND(Inputs!$B$39&lt;&gt;"pvp",Inputs!$B$44&gt;0),((Skills!G5*((R5-1)*IF(Skills!H5&gt;0,Skills!I5/Skills!H5,1)+IF(Skills!H5&gt;0,MIN(Skills!I5,MAX(0,MAX(0,Inputs!$B$44-Summary!$B$70)-((R5-1)*IF(Inputs!$B$39="pvp",15,MAX(0.1,Skills!D5-IF(Skills!E5=TRUE,Inputs!$B$32,0))))))/Skills!H5,1)))/Inputs!$B$44),G5*Q5))*IF(Inputs!$B$39="pvp",1,1+(Inputs!$B$20+Skills!P5+Summary!$B$59)/100),0)</f>
        <v/>
      </c>
      <c r="V5">
        <f>IF(C5,(H5*N5*IF(AND(Inputs!$B$39&lt;&gt;"pvp",Inputs!$B$44&gt;0),((Skills!G5*((R5-1)*IF(Skills!H5&gt;0,Skills!I5/Skills!H5,1)+IF(Skills!H5&gt;0,MIN(Skills!I5,MAX(0,MAX(0,Inputs!$B$44-Summary!$B$70)-((R5-1)*IF(Inputs!$B$39="pvp",15,MAX(0.1,Skills!D5-IF(Skills!E5=TRUE,Inputs!$B$32,0))))))/Skills!H5,1)))/Inputs!$B$44),G5*Q5))*IF(Inputs!$B$39="pvp",1,(1+(Inputs!$B$21+Skills!Q5+Summary!$B$59)/100)*(MIN(Skills!W5,Inputs!$B$37))),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f>(1-Summary!$B$55)*T6+Summary!$B$55*V6</f>
        <v/>
      </c>
      <c r="P6">
        <f>IF(Summary!$B$3=0,0,O6/Summary!$B$3)</f>
        <v/>
      </c>
      <c r="Q6" t="n">
        <v>0</v>
      </c>
      <c r="R6" t="n">
        <v>0</v>
      </c>
      <c r="S6">
        <f>IFERROR(O6/N6,0)</f>
        <v/>
      </c>
      <c r="T6" t="n">
        <v>0</v>
      </c>
      <c r="V6" t="n">
        <v>0</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f>(1-Summary!$B$55)*T7+Summary!$B$55*V7</f>
        <v/>
      </c>
      <c r="P7">
        <f>IF(Summary!$B$3=0,0,O7/Summary!$B$3)</f>
        <v/>
      </c>
      <c r="Q7" t="n">
        <v>0</v>
      </c>
      <c r="R7" t="n">
        <v>0</v>
      </c>
      <c r="S7">
        <f>IFERROR(O7/N7,0)</f>
        <v/>
      </c>
      <c r="T7" t="n">
        <v>0</v>
      </c>
      <c r="V7" t="n">
        <v>0</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Summary!$B$50*(F8/100)</f>
        <v/>
      </c>
      <c r="K8">
        <f>J8*(1+Summary!$B$51/100)*(1+Inputs!$B$15/100)*(1+Inputs!$B$16/100)*(5000/(6000+Inputs!$B$43*(1-Inputs!$B$19/100)))*(1+Inputs!$B$24/100)*(1+Skills!R8/100)*(1+(IF(Skills!A8="SHOWDOWN",Inputs!$B$17,Inputs!$B$18))/100)*(Summary!$B$57*Summary!$B$60*I8)</f>
        <v/>
      </c>
      <c r="L8">
        <f>K8*(MIN(Inputs!$B$22,Inputs!$B$23)/100+Inputs!$B$23/100)/2</f>
        <v/>
      </c>
      <c r="M8">
        <f>L8*(1+(Inputs!$B$10+Summary!$B$68)/100)</f>
        <v/>
      </c>
      <c r="N8">
        <f>L8*(1-MIN((Inputs!$B$9+Summary!$B$58),100)/100)+M8*(MIN((Inputs!$B$9+Summary!$B$58),100)/100)</f>
        <v/>
      </c>
      <c r="O8">
        <f>(1-Summary!$B$55)*T8+Summary!$B$55*V8</f>
        <v/>
      </c>
      <c r="P8">
        <f>IF(Summary!$B$3=0,0,O8/Summary!$B$3)</f>
        <v/>
      </c>
      <c r="Q8">
        <f>IFERROR(1/IF(Inputs!$B$39="pvp",15,MAX(0.1,Skills!D8-IF(Skills!E8=TRUE,Inputs!$B$32,0))),0)</f>
        <v/>
      </c>
      <c r="R8">
        <f>IF(AND(Inputs!$B$39&lt;&gt;"pvp",Inputs!$B$44&gt;0),IF(MAX(0,Inputs!$B$44-Summary!$B$70)&lt;=0,0,(INT(MAX(0,Inputs!$B$44-Summary!$B$70)/IF(Inputs!$B$39="pvp",15,MAX(0.1,Skills!D8-IF(Skills!E8=TRUE,Inputs!$B$32,0))))+1)),0)</f>
        <v/>
      </c>
      <c r="S8">
        <f>IFERROR(O8/N8,0)</f>
        <v/>
      </c>
      <c r="T8">
        <f>IF(C8,(H8*N8*IF(AND(Inputs!$B$39&lt;&gt;"pvp",Inputs!$B$44&gt;0),((Skills!G8*((R8-1)*IF(Skills!H8&gt;0,Skills!I8/Skills!H8,1)+IF(Skills!H8&gt;0,MIN(Skills!I8,MAX(0,MAX(0,Inputs!$B$44-Summary!$B$70)-((R8-1)*IF(Inputs!$B$39="pvp",15,MAX(0.1,Skills!D8-IF(Skills!E8=TRUE,Inputs!$B$32,0))))))/Skills!H8,1)))/Inputs!$B$44),G8*Q8))*IF(Inputs!$B$39="pvp",1,1+(Inputs!$B$20+Skills!P8+Summary!$B$59)/100),0)</f>
        <v/>
      </c>
      <c r="V8">
        <f>IF(C8,(H8*N8*IF(AND(Inputs!$B$39&lt;&gt;"pvp",Inputs!$B$44&gt;0),((Skills!G8*((R8-1)*IF(Skills!H8&gt;0,Skills!I8/Skills!H8,1)+IF(Skills!H8&gt;0,MIN(Skills!I8,MAX(0,MAX(0,Inputs!$B$44-Summary!$B$70)-((R8-1)*IF(Inputs!$B$39="pvp",15,MAX(0.1,Skills!D8-IF(Skills!E8=TRUE,Inputs!$B$32,0))))))/Skills!H8,1)))/Inputs!$B$44),G8*Q8))*IF(Inputs!$B$39="pvp",1,(1+(Inputs!$B$21+Skills!Q8+Summary!$B$59)/100)*(MIN(Skills!W8,Inputs!$B$37))),0)</f>
        <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Summary!$B$50*(F9/100)</f>
        <v/>
      </c>
      <c r="K9">
        <f>J9*(1+Summary!$B$51/100)*(1+Inputs!$B$15/100)*(1+Inputs!$B$16/100)*(5000/(6000+Inputs!$B$43*(1-Inputs!$B$19/100)))*(1+Inputs!$B$24/100)*(1+Skills!R9/100)*(1+(IF(Skills!A9="SHOWDOWN",Inputs!$B$17,Inputs!$B$18))/100)*(Summary!$B$57*Summary!$B$60*I9)</f>
        <v/>
      </c>
      <c r="L9">
        <f>K9*(MIN(Inputs!$B$22,Inputs!$B$23)/100+Inputs!$B$23/100)/2</f>
        <v/>
      </c>
      <c r="M9">
        <f>L9*(1+(Inputs!$B$10+Summary!$B$68)/100)</f>
        <v/>
      </c>
      <c r="N9">
        <f>L9*(1-MIN((Inputs!$B$9+Summary!$B$58),100)/100)+M9*(MIN((Inputs!$B$9+Summary!$B$58),100)/100)</f>
        <v/>
      </c>
      <c r="O9">
        <f>(1-Summary!$B$55)*T9+Summary!$B$55*V9</f>
        <v/>
      </c>
      <c r="P9">
        <f>IF(Summary!$B$3=0,0,O9/Summary!$B$3)</f>
        <v/>
      </c>
      <c r="Q9">
        <f>IFERROR(1/IF(Inputs!$B$39="pvp",15,MAX(0.1,Skills!D9-IF(Skills!E9=TRUE,Inputs!$B$32,0))),0)</f>
        <v/>
      </c>
      <c r="R9">
        <f>IF(AND(Inputs!$B$39&lt;&gt;"pvp",Inputs!$B$44&gt;0),IF(MAX(0,Inputs!$B$44-Summary!$B$70)&lt;=0,0,(INT(MAX(0,Inputs!$B$44-Summary!$B$70)/IF(Inputs!$B$39="pvp",15,MAX(0.1,Skills!D9-IF(Skills!E9=TRUE,Inputs!$B$32,0))))+1)),0)</f>
        <v/>
      </c>
      <c r="S9">
        <f>IFERROR(O9/N9,0)</f>
        <v/>
      </c>
      <c r="T9">
        <f>IF(C9,(H9*N9*IF(AND(Inputs!$B$39&lt;&gt;"pvp",Inputs!$B$44&gt;0),((Skills!G9*((R9-1)*IF(Skills!H9&gt;0,Skills!I9/Skills!H9,1)+IF(Skills!H9&gt;0,MIN(Skills!I9,MAX(0,MAX(0,Inputs!$B$44-Summary!$B$70)-((R9-1)*IF(Inputs!$B$39="pvp",15,MAX(0.1,Skills!D9-IF(Skills!E9=TRUE,Inputs!$B$32,0))))))/Skills!H9,1)))/Inputs!$B$44),G9*Q9))*IF(Inputs!$B$39="pvp",1,1+(Inputs!$B$20+Skills!P9+Summary!$B$59)/100),0)</f>
        <v/>
      </c>
      <c r="V9">
        <f>IF(C9,(H9*N9*IF(AND(Inputs!$B$39&lt;&gt;"pvp",Inputs!$B$44&gt;0),((Skills!G9*((R9-1)*IF(Skills!H9&gt;0,Skills!I9/Skills!H9,1)+IF(Skills!H9&gt;0,MIN(Skills!I9,MAX(0,MAX(0,Inputs!$B$44-Summary!$B$70)-((R9-1)*IF(Inputs!$B$39="pvp",15,MAX(0.1,Skills!D9-IF(Skills!E9=TRUE,Inputs!$B$32,0))))))/Skills!H9,1)))/Inputs!$B$44),G9*Q9))*IF(Inputs!$B$39="pvp",1,(1+(Inputs!$B$21+Skills!Q9+Summary!$B$59)/100)*(MIN(Skills!W9,Inputs!$B$37))),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Summary!$B$50*(F10/100)</f>
        <v/>
      </c>
      <c r="K10">
        <f>J10*(1+Summary!$B$51/100)*(1+Inputs!$B$15/100)*(1+Inputs!$B$16/100)*(5000/(6000+Inputs!$B$43*(1-Inputs!$B$19/100)))*(1+Inputs!$B$24/100)*(1+Skills!R10/100)*(1+(IF(Skills!A10="SHOWDOWN",Inputs!$B$17,Inputs!$B$18))/100)*(Summary!$B$57*Summary!$B$60*I10)</f>
        <v/>
      </c>
      <c r="L10">
        <f>K10*(MIN(Inputs!$B$22,Inputs!$B$23)/100+Inputs!$B$23/100)/2</f>
        <v/>
      </c>
      <c r="M10">
        <f>L10*(1+(Inputs!$B$10+Summary!$B$68)/100)</f>
        <v/>
      </c>
      <c r="N10">
        <f>L10*(1-MIN((Inputs!$B$9+Summary!$B$58),100)/100)+M10*(MIN((Inputs!$B$9+Summary!$B$58),100)/100)</f>
        <v/>
      </c>
      <c r="O10">
        <f>(1-Summary!$B$55)*T10+Summary!$B$55*V10</f>
        <v/>
      </c>
      <c r="P10">
        <f>IF(Summary!$B$3=0,0,O10/Summary!$B$3)</f>
        <v/>
      </c>
      <c r="Q10" t="n">
        <v>0</v>
      </c>
      <c r="R10" t="n">
        <v>0</v>
      </c>
      <c r="S10" t="n">
        <v>0</v>
      </c>
      <c r="T10">
        <f>IF(C10,(0.2*SUMPRODUCT((Skills!Z2:Z31=TRUE)*(C2:C31=TRUE)*S2:S31)*N10)*IF(Inputs!$B$39="pvp",1,1+(Inputs!$B$20+Skills!P10+Summary!$B$59)/100),0)</f>
        <v/>
      </c>
      <c r="V10">
        <f>IF(C10,(0.2*SUMPRODUCT((Skills!Z2:Z31=TRUE)*(C2:C31=TRUE)*S2:S31)*N10)*IF(Inputs!$B$39="pvp",1,(1+(Inputs!$B$21+Skills!Q10+Summary!$B$59)/100)*(MIN(Skills!W10,Inputs!$B$37))),0)</f>
        <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f>(1-Summary!$B$55)*T11+Summary!$B$55*V11</f>
        <v/>
      </c>
      <c r="P11">
        <f>IF(Summary!$B$3=0,0,O11/Summary!$B$3)</f>
        <v/>
      </c>
      <c r="Q11" t="n">
        <v>0</v>
      </c>
      <c r="R11" t="n">
        <v>0</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Summary!$B$50*(F12/100)</f>
        <v/>
      </c>
      <c r="K12">
        <f>J12*(1+Summary!$B$51/100)*(1+Inputs!$B$15/100)*(1+Inputs!$B$16/100)*(5000/(6000+Inputs!$B$43*(1-Inputs!$B$19/100)))*(1+Inputs!$B$24/100)*(1+Skills!R12/100)*(1+(IF(Skills!A12="SHOWDOWN",Inputs!$B$17,Inputs!$B$18))/100)*(Summary!$B$57*Summary!$B$60*I12)</f>
        <v/>
      </c>
      <c r="L12">
        <f>K12*(MIN(Inputs!$B$22,Inputs!$B$23)/100+Inputs!$B$23/100)/2</f>
        <v/>
      </c>
      <c r="M12">
        <f>L12*(1+(Inputs!$B$10+Summary!$B$68)/100)</f>
        <v/>
      </c>
      <c r="N12">
        <f>L12*(1-MIN((Inputs!$B$9+Summary!$B$58),100)/100)+M12*(MIN((Inputs!$B$9+Summary!$B$58),100)/100)</f>
        <v/>
      </c>
      <c r="O12">
        <f>(1-Summary!$B$55)*T12+Summary!$B$55*V12</f>
        <v/>
      </c>
      <c r="P12">
        <f>IF(Summary!$B$3=0,0,O12/Summary!$B$3)</f>
        <v/>
      </c>
      <c r="Q12">
        <f>IFERROR(1/IF(Inputs!$B$39="pvp",15,MAX(0.1,Skills!D12-IF(Skills!E12=TRUE,Inputs!$B$32,0))),0)</f>
        <v/>
      </c>
      <c r="R12">
        <f>IF(AND(Inputs!$B$39&lt;&gt;"pvp",Inputs!$B$44&gt;0),IF(MAX(0,Inputs!$B$44-Summary!$B$70)&lt;=0,0,(INT(MAX(0,Inputs!$B$44-Summary!$B$70)/IF(Inputs!$B$39="pvp",15,MAX(0.1,Skills!D12-IF(Skills!E12=TRUE,Inputs!$B$32,0))))+1)),0)</f>
        <v/>
      </c>
      <c r="S12">
        <f>IFERROR(O12/N12,0)</f>
        <v/>
      </c>
      <c r="T12">
        <f>IF(C12,(H12*N12*IF(AND(Inputs!$B$39&lt;&gt;"pvp",Inputs!$B$44&gt;0),((Skills!G12*((R12-1)*IF(Skills!H12&gt;0,Skills!I12/Skills!H12,1)+IF(Skills!H12&gt;0,MIN(Skills!I12,MAX(0,MAX(0,Inputs!$B$44-Summary!$B$70)-((R12-1)*IF(Inputs!$B$39="pvp",15,MAX(0.1,Skills!D12-IF(Skills!E12=TRUE,Inputs!$B$32,0))))))/Skills!H12,1)))/Inputs!$B$44),G12*Q12))*IF(Inputs!$B$39="pvp",1,1+(Inputs!$B$20+Skills!P12+Summary!$B$59)/100),0)</f>
        <v/>
      </c>
      <c r="V12">
        <f>IF(C12,(H12*N12*IF(AND(Inputs!$B$39&lt;&gt;"pvp",Inputs!$B$44&gt;0),((Skills!G12*((R12-1)*IF(Skills!H12&gt;0,Skills!I12/Skills!H12,1)+IF(Skills!H12&gt;0,MIN(Skills!I12,MAX(0,MAX(0,Inputs!$B$44-Summary!$B$70)-((R12-1)*IF(Inputs!$B$39="pvp",15,MAX(0.1,Skills!D12-IF(Skills!E12=TRUE,Inputs!$B$32,0))))))/Skills!H12,1)))/Inputs!$B$44),G12*Q12))*IF(Inputs!$B$39="pvp",1,(1+(Inputs!$B$21+Skills!Q12+Summary!$B$59)/100)*(MIN(Skills!W12,Inputs!$B$37))),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Summary!$B$50*(F13/100)</f>
        <v/>
      </c>
      <c r="K13">
        <f>J13*(1+Summary!$B$51/100)*(1+Inputs!$B$15/100)*(1+Inputs!$B$16/100)*(5000/(6000+Inputs!$B$43*(1-Inputs!$B$19/100)))*(1+Inputs!$B$24/100)*(1+Skills!R13/100)*(1+(IF(Skills!A13="SHOWDOWN",Inputs!$B$17,Inputs!$B$18))/100)*(Summary!$B$57*Summary!$B$60*I13)</f>
        <v/>
      </c>
      <c r="L13">
        <f>K13*(MIN(Inputs!$B$22,Inputs!$B$23)/100+Inputs!$B$23/100)/2</f>
        <v/>
      </c>
      <c r="M13">
        <f>L13*(1+(Inputs!$B$10+Summary!$B$68)/100)</f>
        <v/>
      </c>
      <c r="N13">
        <f>L13*(1-MIN((Inputs!$B$9+Summary!$B$58),100)/100)+M13*(MIN((Inputs!$B$9+Summary!$B$58),100)/100)</f>
        <v/>
      </c>
      <c r="O13">
        <f>(1-Summary!$B$55)*T13+Summary!$B$55*V13</f>
        <v/>
      </c>
      <c r="P13">
        <f>IF(Summary!$B$3=0,0,O13/Summary!$B$3)</f>
        <v/>
      </c>
      <c r="Q13">
        <f>IFERROR(1/IF(Inputs!$B$39="pvp",15,MAX(0.1,Skills!D13-IF(Skills!E13=TRUE,Inputs!$B$32,0))),0)</f>
        <v/>
      </c>
      <c r="R13">
        <f>IF(AND(Inputs!$B$39&lt;&gt;"pvp",Inputs!$B$44&gt;0),IF(MAX(0,Inputs!$B$44-Summary!$B$70)&lt;=0,0,(INT(MAX(0,Inputs!$B$44-Summary!$B$70)/IF(Inputs!$B$39="pvp",15,MAX(0.1,Skills!D13-IF(Skills!E13=TRUE,Inputs!$B$32,0))))+1)),0)</f>
        <v/>
      </c>
      <c r="S13">
        <f>IFERROR(O13/N13,0)</f>
        <v/>
      </c>
      <c r="T13">
        <f>IF(C13,(H13*N13*IF(AND(Inputs!$B$39&lt;&gt;"pvp",Inputs!$B$44&gt;0),((Skills!G13*((R13-1)*IF(Skills!H13&gt;0,Skills!I13/Skills!H13,1)+IF(Skills!H13&gt;0,MIN(Skills!I13,MAX(0,MAX(0,Inputs!$B$44-Summary!$B$70)-((R13-1)*IF(Inputs!$B$39="pvp",15,MAX(0.1,Skills!D13-IF(Skills!E13=TRUE,Inputs!$B$32,0))))))/Skills!H13,1)))/Inputs!$B$44),G13*Q13))*IF(Inputs!$B$39="pvp",1,1+(Inputs!$B$20+Skills!P13+Summary!$B$59)/100),0)</f>
        <v/>
      </c>
      <c r="V13">
        <f>IF(C13,(H13*N13*IF(AND(Inputs!$B$39&lt;&gt;"pvp",Inputs!$B$44&gt;0),((Skills!G13*((R13-1)*IF(Skills!H13&gt;0,Skills!I13/Skills!H13,1)+IF(Skills!H13&gt;0,MIN(Skills!I13,MAX(0,MAX(0,Inputs!$B$44-Summary!$B$70)-((R13-1)*IF(Inputs!$B$39="pvp",15,MAX(0.1,Skills!D13-IF(Skills!E13=TRUE,Inputs!$B$32,0))))))/Skills!H13,1)))/Inputs!$B$44),G13*Q13))*IF(Inputs!$B$39="pvp",1,(1+(Inputs!$B$21+Skills!Q13+Summary!$B$59)/100)*(MIN(Skills!W13,Inputs!$B$37))),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Summary!$B$50*(F14/100)</f>
        <v/>
      </c>
      <c r="K14">
        <f>J14*(1+Summary!$B$51/100)*(1+Inputs!$B$15/100)*(1+Inputs!$B$16/100)*(5000/(6000+Inputs!$B$43*(1-Inputs!$B$19/100)))*(1+Inputs!$B$24/100)*(1+Skills!R14/100)*(1+(IF(Skills!A14="SHOWDOWN",Inputs!$B$17,Inputs!$B$18))/100)*(Summary!$B$57*Summary!$B$60*I14)</f>
        <v/>
      </c>
      <c r="L14">
        <f>K14*(MIN(Inputs!$B$22,Inputs!$B$23)/100+Inputs!$B$23/100)/2</f>
        <v/>
      </c>
      <c r="M14">
        <f>L14*(1+(Inputs!$B$10+Summary!$B$68)/100)</f>
        <v/>
      </c>
      <c r="N14">
        <f>L14*(1-MIN((Inputs!$B$9+Summary!$B$58),100)/100)+M14*(MIN((Inputs!$B$9+Summary!$B$58),100)/100)</f>
        <v/>
      </c>
      <c r="O14">
        <f>(1-Summary!$B$55)*T14+Summary!$B$55*V14</f>
        <v/>
      </c>
      <c r="P14">
        <f>IF(Summary!$B$3=0,0,O14/Summary!$B$3)</f>
        <v/>
      </c>
      <c r="Q14">
        <f>IFERROR(1/IF(Inputs!$B$39="pvp",15,MAX(0.1,Skills!D14-IF(Skills!E14=TRUE,Inputs!$B$32,0))),0)</f>
        <v/>
      </c>
      <c r="R14">
        <f>IF(AND(Inputs!$B$39&lt;&gt;"pvp",Inputs!$B$44&gt;0),IF(MAX(0,Inputs!$B$44-Summary!$B$70)&lt;=0,0,(INT(MAX(0,Inputs!$B$44-Summary!$B$70)/IF(Inputs!$B$39="pvp",15,MAX(0.1,Skills!D14-IF(Skills!E14=TRUE,Inputs!$B$32,0))))+1)),0)</f>
        <v/>
      </c>
      <c r="S14">
        <f>IFERROR(O14/N14,0)</f>
        <v/>
      </c>
      <c r="T14">
        <f>IF(C14,(H14*N14*IF(AND(Inputs!$B$39&lt;&gt;"pvp",Inputs!$B$44&gt;0),((Skills!G14*((R14-1)*IF(Skills!H14&gt;0,Skills!I14/Skills!H14,1)+IF(Skills!H14&gt;0,MIN(Skills!I14,MAX(0,MAX(0,Inputs!$B$44-Summary!$B$70)-((R14-1)*IF(Inputs!$B$39="pvp",15,MAX(0.1,Skills!D14-IF(Skills!E14=TRUE,Inputs!$B$32,0))))))/Skills!H14,1)))/Inputs!$B$44),G14*Q14))*IF(Inputs!$B$39="pvp",1,1+(Inputs!$B$20+Skills!P14+Summary!$B$59)/100),0)</f>
        <v/>
      </c>
      <c r="V14">
        <f>IF(C14,(H14*N14*IF(AND(Inputs!$B$39&lt;&gt;"pvp",Inputs!$B$44&gt;0),((Skills!G14*((R14-1)*IF(Skills!H14&gt;0,Skills!I14/Skills!H14,1)+IF(Skills!H14&gt;0,MIN(Skills!I14,MAX(0,MAX(0,Inputs!$B$44-Summary!$B$70)-((R14-1)*IF(Inputs!$B$39="pvp",15,MAX(0.1,Skills!D14-IF(Skills!E14=TRUE,Inputs!$B$32,0))))))/Skills!H14,1)))/Inputs!$B$44),G14*Q14))*IF(Inputs!$B$39="pvp",1,(1+(Inputs!$B$21+Skills!Q14+Summary!$B$59)/100)*(MIN(Skills!W14,Inputs!$B$37))),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f>(1-Summary!$B$55)*T15+Summary!$B$55*V15</f>
        <v/>
      </c>
      <c r="P15">
        <f>IF(Summary!$B$3=0,0,O15/Summary!$B$3)</f>
        <v/>
      </c>
      <c r="Q15">
        <f>IFERROR(1/IF(Inputs!$B$39="pvp",15,MAX(0.1,Skills!D15-IF(Skills!E15=TRUE,Inputs!$B$32,0))),0)</f>
        <v/>
      </c>
      <c r="R15">
        <f>IF(AND(Inputs!$B$39&lt;&gt;"pvp",Inputs!$B$44&gt;0),IF(Inputs!$B$44&lt;=0,0,(INT(Inputs!$B$44/IF(Inputs!$B$39="pvp",15,MAX(0.1,Skills!D15-IF(Skills!E15=TRUE,Inputs!$B$32,0))))+1)),0)</f>
        <v/>
      </c>
      <c r="S15">
        <f>IFERROR(O15/N15,0)</f>
        <v/>
      </c>
      <c r="T15" t="n">
        <v>0</v>
      </c>
      <c r="V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f>(1-Summary!$B$55)*T16+Summary!$B$55*V16</f>
        <v/>
      </c>
      <c r="P16">
        <f>IF(Summary!$B$3=0,0,O16/Summary!$B$3)</f>
        <v/>
      </c>
      <c r="Q16">
        <f>IFERROR(1/IF(Inputs!$B$39="pvp",15,MAX(0.1,Skills!D16-IF(Skills!E16=TRUE,Inputs!$B$32,0))),0)</f>
        <v/>
      </c>
      <c r="R16">
        <f>IF(AND(Inputs!$B$39&lt;&gt;"pvp",Inputs!$B$44&gt;0),IF(Inputs!$B$44&lt;=0,0,(INT(Inputs!$B$44/IF(Inputs!$B$39="pvp",15,MAX(0.1,Skills!D16-IF(Skills!E16=TRUE,Inputs!$B$32,0))))+1)),0)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Summary!$B$50*(F17/100)</f>
        <v/>
      </c>
      <c r="K17">
        <f>J17*(1+Summary!$B$51/100)*(1+Inputs!$B$15/100)*(1+Inputs!$B$16/100)*(5000/(6000+Inputs!$B$43*(1-Inputs!$B$19/100)))*(1+Inputs!$B$24/100)*(1+Skills!R17/100)*(1+(IF(Skills!A17="SHOWDOWN",Inputs!$B$17,Inputs!$B$18))/100)*(Summary!$B$57*Summary!$B$60*I17)</f>
        <v/>
      </c>
      <c r="L17">
        <f>K17*(MIN(Inputs!$B$22,Inputs!$B$23)/100+Inputs!$B$23/100)/2</f>
        <v/>
      </c>
      <c r="M17">
        <f>L17*(1+(Inputs!$B$10+Summary!$B$68)/100)</f>
        <v/>
      </c>
      <c r="N17">
        <f>L17*(1-MIN((Inputs!$B$9+Summary!$B$58),100)/100)+M17*(MIN((Inputs!$B$9+Summary!$B$58),100)/100)</f>
        <v/>
      </c>
      <c r="O17">
        <f>(1-Summary!$B$55)*T17+Summary!$B$55*V17</f>
        <v/>
      </c>
      <c r="P17">
        <f>IF(Summary!$B$3=0,0,O17/Summary!$B$3)</f>
        <v/>
      </c>
      <c r="Q17" t="n">
        <v>0</v>
      </c>
      <c r="R17" t="n">
        <v>0</v>
      </c>
      <c r="S17">
        <f>IFERROR(O17/N17,0)</f>
        <v/>
      </c>
      <c r="T17">
        <f>IF(C17,(Inputs!$B$38*0.2*N17)*IF(Inputs!$B$39="pvp",1,1+(Inputs!$B$20+Skills!P17+Summary!$B$59)/100),0)</f>
        <v/>
      </c>
      <c r="V17">
        <f>IF(C17,(Inputs!$B$38*0.2*N17)*IF(Inputs!$B$39="pvp",1,(1+(Inputs!$B$21+Skills!Q17+Summary!$B$59)/100)*(MIN(Skills!W17,Inputs!$B$37))),0)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f>(1-Summary!$B$55)*T18+Summary!$B$55*V18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f>(1-Summary!$B$55)*T19+Summary!$B$55*V19</f>
        <v/>
      </c>
      <c r="P19">
        <f>IF(Summary!$B$3=0,0,O19/Summary!$B$3)</f>
        <v/>
      </c>
      <c r="Q19">
        <f>IFERROR(1/IF(Inputs!$B$39="pvp",15,MAX(0.1,Skills!D19-IF(Skills!E19=TRUE,Inputs!$B$32,0))),0)</f>
        <v/>
      </c>
      <c r="R19">
        <f>IF(AND(Inputs!$B$39&lt;&gt;"pvp",Inputs!$B$44&gt;0),IF(Inputs!$B$44&lt;=0,0,(INT(Inputs!$B$44/IF(Inputs!$B$39="pvp",15,MAX(0.1,Skills!D19-IF(Skills!E19=TRUE,Inputs!$B$32,0))))+1)),0)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f>(1-Summary!$B$55)*T20+Summary!$B$55*V20</f>
        <v/>
      </c>
      <c r="P20">
        <f>IF(Summary!$B$3=0,0,O20/Summary!$B$3)</f>
        <v/>
      </c>
      <c r="Q20">
        <f>IFERROR(1/IF(Inputs!$B$39="pvp",15,MAX(0.1,Skills!D20-IF(Skills!E20=TRUE,Inputs!$B$32,0))),0)</f>
        <v/>
      </c>
      <c r="R20">
        <f>IF(AND(Inputs!$B$39&lt;&gt;"pvp",Inputs!$B$44&gt;0),IF(Inputs!$B$44&lt;=0,0,(INT(Inputs!$B$44/IF(Inputs!$B$39="pvp",15,MAX(0.1,Skills!D20-IF(Skills!E20=TRUE,Inputs!$B$32,0))))+1)),0)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f>(1-Summary!$B$55)*T21+Summary!$B$55*V21</f>
        <v/>
      </c>
      <c r="P21">
        <f>IF(Summary!$B$3=0,0,O21/Summary!$B$3)</f>
        <v/>
      </c>
      <c r="Q21">
        <f>IFERROR(1/IF(Inputs!$B$39="pvp",15,MAX(0.1,Skills!D21-IF(Skills!E21=TRUE,Inputs!$B$32,0))),0)</f>
        <v/>
      </c>
      <c r="R21">
        <f>IF(AND(Inputs!$B$39&lt;&gt;"pvp",Inputs!$B$44&gt;0),IF(Inputs!$B$44&lt;=0,0,(INT(Inputs!$B$44/IF(Inputs!$B$39="pvp",15,MAX(0.1,Skills!D21-IF(Skills!E21=TRUE,Inputs!$B$32,0))))+1)),0)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f>(1-Summary!$B$55)*T22+Summary!$B$55*V22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f>(1-Summary!$B$55)*T23+Summary!$B$55*V23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f>(1-Summary!$B$55)*T24+Summary!$B$55*V24</f>
        <v/>
      </c>
      <c r="P24">
        <f>IF(Summary!$B$3=0,0,O24/Summary!$B$3)</f>
        <v/>
      </c>
      <c r="Q24" t="n">
        <v>0</v>
      </c>
      <c r="R24" t="n">
        <v>0</v>
      </c>
      <c r="S24">
        <f>IFERROR(O24/N24,0)</f>
        <v/>
      </c>
      <c r="T24" t="n">
        <v>0</v>
      </c>
      <c r="V24" t="n">
        <v>0</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f>(1-Summary!$B$55)*T25+Summary!$B$55*V25</f>
        <v/>
      </c>
      <c r="P25">
        <f>IF(Summary!$B$3=0,0,O25/Summary!$B$3)</f>
        <v/>
      </c>
      <c r="Q25" t="n">
        <v>0</v>
      </c>
      <c r="R25" t="n">
        <v>0</v>
      </c>
      <c r="S25">
        <f>IFERROR(O25/N25,0)</f>
        <v/>
      </c>
      <c r="T25" t="n">
        <v>0</v>
      </c>
      <c r="V25" t="n">
        <v>0</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f>(1-Summary!$B$55)*T26+Summary!$B$55*V26</f>
        <v/>
      </c>
      <c r="P26">
        <f>IF(Summary!$B$3=0,0,O26/Summary!$B$3)</f>
        <v/>
      </c>
      <c r="Q26" t="n">
        <v>0</v>
      </c>
      <c r="R26" t="n">
        <v>0</v>
      </c>
      <c r="S26">
        <f>IFERROR(O26/N26,0)</f>
        <v/>
      </c>
      <c r="T26" t="n">
        <v>0</v>
      </c>
      <c r="V26" t="n">
        <v>0</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f>(1-Summary!$B$55)*T27+Summary!$B$55*V27</f>
        <v/>
      </c>
      <c r="P27">
        <f>IF(Summary!$B$3=0,0,O27/Summary!$B$3)</f>
        <v/>
      </c>
      <c r="Q27" t="n">
        <v>0</v>
      </c>
      <c r="R27" t="n">
        <v>0</v>
      </c>
      <c r="S27">
        <f>IFERROR(O27/N27,0)</f>
        <v/>
      </c>
      <c r="T27" t="n">
        <v>0</v>
      </c>
      <c r="V27" t="n">
        <v>0</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f>(1-Summary!$B$55)*T28+Summary!$B$55*V28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f>(1-Summary!$B$55)*T29+Summary!$B$55*V29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f>(1-Summary!$B$55)*T30+Summary!$B$55*V30</f>
        <v/>
      </c>
      <c r="P30">
        <f>IF(Summary!$B$3=0,0,O30/Summary!$B$3)</f>
        <v/>
      </c>
      <c r="Q30" t="n">
        <v>0</v>
      </c>
      <c r="R30" t="n">
        <v>0</v>
      </c>
      <c r="S30">
        <f>IFERROR(O30/N30,0)</f>
        <v/>
      </c>
      <c r="T30" t="n">
        <v>0</v>
      </c>
      <c r="V30" t="n">
        <v>0</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f>(1-Summary!$B$55)*T31+Summary!$B$55*V31</f>
        <v/>
      </c>
      <c r="P31">
        <f>IF(Summary!$B$3=0,0,O31/Summary!$B$3)</f>
        <v/>
      </c>
      <c r="Q31" t="n">
        <v>0</v>
      </c>
      <c r="R31" t="n">
        <v>0</v>
      </c>
      <c r="S31">
        <f>IFERROR(O31/N31,0)</f>
        <v/>
      </c>
      <c r="T31" t="n">
        <v>0</v>
      </c>
      <c r="V31"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2"/>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Calc!B8</f>
        <v/>
      </c>
      <c r="B11">
        <f>Calc!O8</f>
        <v/>
      </c>
      <c r="C11">
        <f>Calc!P8*100</f>
        <v/>
      </c>
    </row>
    <row r="12">
      <c r="A12">
        <f>Calc!B9</f>
        <v/>
      </c>
      <c r="B12">
        <f>Calc!O9</f>
        <v/>
      </c>
      <c r="C12">
        <f>Calc!P9*100</f>
        <v/>
      </c>
    </row>
    <row r="13">
      <c r="A13">
        <f>Calc!B10</f>
        <v/>
      </c>
      <c r="B13">
        <f>Calc!O10</f>
        <v/>
      </c>
      <c r="C13">
        <f>Calc!P10*100</f>
        <v/>
      </c>
    </row>
    <row r="14">
      <c r="A14">
        <f>Calc!B12</f>
        <v/>
      </c>
      <c r="B14">
        <f>Calc!O12</f>
        <v/>
      </c>
      <c r="C14">
        <f>Calc!P12*100</f>
        <v/>
      </c>
    </row>
    <row r="15">
      <c r="A15">
        <f>Calc!B13</f>
        <v/>
      </c>
      <c r="B15">
        <f>Calc!O13</f>
        <v/>
      </c>
      <c r="C15">
        <f>Calc!P13*100</f>
        <v/>
      </c>
    </row>
    <row r="16">
      <c r="A16">
        <f>Calc!B14</f>
        <v/>
      </c>
      <c r="B16">
        <f>Calc!O14</f>
        <v/>
      </c>
      <c r="C16">
        <f>Calc!P14*100</f>
        <v/>
      </c>
    </row>
    <row r="17">
      <c r="A17">
        <f>Calc!B17</f>
        <v/>
      </c>
      <c r="B17">
        <f>Calc!O17</f>
        <v/>
      </c>
      <c r="C17">
        <f>Calc!P17*100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Inputs!$B$6*(1+Inputs!$B$7/100)</f>
        <v/>
      </c>
    </row>
    <row r="51">
      <c r="A51" t="inlineStr">
        <is>
          <t>STAT_DAMAGE % (= 1% of total LUK + 0.25% of DEX)</t>
        </is>
      </c>
      <c r="B51">
        <f>(Inputs!$B$12*(1+Inputs!$B$13/100))*0.01+Inputs!$B$14*0.0025</f>
        <v/>
      </c>
    </row>
    <row r="52">
      <c r="A52" t="inlineStr">
        <is>
          <t>Basic Attack (Showdown) Input Level (4th job formula)</t>
        </is>
      </c>
      <c r="B52">
        <f>MAX(0,(Inputs!$B$3-100)*3)+Inputs!$B$28+Inputs!$B$29</f>
        <v/>
      </c>
    </row>
    <row r="53">
      <c r="A53" t="inlineStr">
        <is>
          <t>Basic Attack Factor (factorIndex 21, from Showdown reverse-engineering)</t>
        </is>
      </c>
      <c r="B53">
        <f>INDEX(FactorTable!$B$2:$Y$301, MATCH(ROUND(MIN(300,MAX(1,Summary!$B$52)),0), FactorTable!$A$2:$A$301,0), 22)</f>
        <v/>
      </c>
    </row>
    <row r="54">
      <c r="A54" t="inlineStr">
        <is>
          <t>SKILL_COEFFICIENT — Showdown base coefficient % (before Skill Mastery)</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Average Buff Multiplier (Dark Sight Attack + Frailty Curse self-FD + Adrenalin FD)</t>
        </is>
      </c>
      <c r="B57">
        <f>(1+((Calc!C21=TRUE)*Calc!F21*IF(AND(Inputs!$B$39&lt;&gt;"pvp",Inputs!$B$44&gt;0),(((Calc!R21-1)*(Skills!Y21*(1+Inputs!$B$34/100))+MIN((Skills!Y21*(1+Inputs!$B$34/100)),MAX(0,Inputs!$B$44-((Calc!R21-1)*Skills!D21))))/Inputs!$B$44),IF(Inputs!$B$39="pvp",MIN((Skills!Y21*(1+Inputs!$B$34/100)),15)/15,(Skills!Y21*(1+Inputs!$B$34/100))/Skills!D21)))/100)*(1+((Calc!C15=TRUE)*Calc!F15*IF(AND(Inputs!$B$39&lt;&gt;"pvp",Inputs!$B$44&gt;0),(((Calc!R15-1)*(Skills!Y15*(1+Inputs!$B$34/100))+MIN((Skills!Y15*(1+Inputs!$B$34/100)),MAX(0,Inputs!$B$44-((Calc!R15-1)*Skills!D15))))/Inputs!$B$44),IF(Inputs!$B$39="pvp",MIN((Skills!Y15*(1+Inputs!$B$34/100)),15)/15,(Skills!Y15*(1+Inputs!$B$34/100))/Skills!D15)))/100)*(1+((Calc!C6=TRUE)*Calc!F6*B62)/100)</f>
        <v/>
      </c>
    </row>
    <row r="58">
      <c r="A58" t="inlineStr">
        <is>
          <t>Global Crit Rate Bonus % (Critical Throw Lv.47 mastery + Dark Sight Crit Rate, additive)</t>
        </is>
      </c>
      <c r="B58">
        <f>IF(Inputs!$B$3&gt;=47,8,0)+((Calc!C20=TRUE)*Calc!F20*IF(AND(Inputs!$B$39&lt;&gt;"pvp",Inputs!$B$44&gt;0),(((Calc!R20-1)*(Skills!Y20*(1+Inputs!$B$34/100))+MIN((Skills!Y20*(1+Inputs!$B$34/100)),MAX(0,Inputs!$B$44-((Calc!R20-1)*Skills!D20))))/Inputs!$B$44),IF(Inputs!$B$39="pvp",MIN((Skills!Y20*(1+Inputs!$B$34/100)),15)/15,(Skills!Y20*(1+Inputs!$B$34/100))/Skills!D20)))</f>
        <v/>
      </c>
    </row>
    <row r="59">
      <c r="A59" t="inlineStr">
        <is>
          <t>Global Monster Damage-Taken Bonus % (Venom Lv.82 Weaken + Frailty Curse enemy debuff, additive)</t>
        </is>
      </c>
      <c r="B59">
        <f>IF(Inputs!$B$3&gt;=82,15,0)+((Calc!C16=TRUE)*Calc!F16*IF(AND(Inputs!$B$39&lt;&gt;"pvp",Inputs!$B$44&gt;0),(((Calc!R16-1)*(Skills!Y16*(1+Inputs!$B$34/100))+MIN((Skills!Y16*(1+Inputs!$B$34/100)),MAX(0,Inputs!$B$44-((Calc!R16-1)*Skills!D16))))/Inputs!$B$44),IF(Inputs!$B$39="pvp",MIN((Skills!Y16*(1+Inputs!$B$34/100)),15)/15,(Skills!Y16*(1+Inputs!$B$34/100))/Skills!D16)))</f>
        <v/>
      </c>
    </row>
    <row r="60">
      <c r="A60" t="inlineStr">
        <is>
          <t>Shadow Partner Average Multiplier</t>
        </is>
      </c>
      <c r="B60">
        <f>1+((Calc!C11=TRUE)*Calc!F11*Calc!I11*Skills!J11/100)/100</f>
        <v/>
      </c>
    </row>
    <row r="61">
      <c r="A61" t="inlineStr">
        <is>
          <t>Actions Per Second (pre-Adrenalin, Nimble Feet only — breaks the Adrenalin uptime cycle)</t>
        </is>
      </c>
      <c r="B61">
        <f>1+MIN(150,150*(1-(1-Inputs!$B$11/150)*(1-((Calc!C19=TRUE)*Calc!F19*IF(AND(Inputs!$B$39&lt;&gt;"pvp",Inputs!$B$44&gt;0),(((Calc!R19-1)*(Skills!Y19*(1+Inputs!$B$34/100))+MIN((Skills!Y19*(1+Inputs!$B$34/100)),MAX(0,Inputs!$B$44-((Calc!R19-1)*Skills!D19))))/Inputs!$B$44),IF(Inputs!$B$39="pvp",MIN((Skills!Y19*(1+Inputs!$B$34/100)),15)/15,(Skills!Y19*(1+Inputs!$B$34/100))/Skills!D19)))/150)))/100</f>
        <v/>
      </c>
    </row>
    <row r="62">
      <c r="A62" t="inlineStr">
        <is>
          <t>Alchemic Adrenaline Uptime (action-rate-driven cycle: BuffDuration/(BuffDuration+ActivationsNeeded/ActionsPerSecond_preAdrenalin))</t>
        </is>
      </c>
      <c r="B62">
        <f>(Skills!Y6*(1+Inputs!$B$34/100))/((Skills!Y6*(1+Inputs!$B$34/100))+(5/B61))</f>
        <v/>
      </c>
    </row>
    <row r="63">
      <c r="A63" t="inlineStr">
        <is>
          <t>Attack Speed Buff Bonus % (Nimble Feet + Adrenalin, averaged)</t>
        </is>
      </c>
      <c r="B63">
        <f>((Calc!C19=TRUE)*Calc!F19*IF(AND(Inputs!$B$39&lt;&gt;"pvp",Inputs!$B$44&gt;0),(((Calc!R19-1)*(Skills!Y19*(1+Inputs!$B$34/100))+MIN((Skills!Y19*(1+Inputs!$B$34/100)),MAX(0,Inputs!$B$44-((Calc!R19-1)*Skills!D19))))/Inputs!$B$44),IF(Inputs!$B$39="pvp",MIN((Skills!Y19*(1+Inputs!$B$34/100)),15)/15,(Skills!Y19*(1+Inputs!$B$34/100))/Skills!D19)))+((Calc!C7=TRUE)*Calc!F7*B62)</f>
        <v/>
      </c>
    </row>
    <row r="64">
      <c r="A64" t="inlineStr">
        <is>
          <t>Actions Per Second (final, incl. Adrenalin's own AS bonus)</t>
        </is>
      </c>
      <c r="B64">
        <f>1+MIN(150,150*(1-(1-Inputs!$B$11/150)*(1-B63/150)))/100</f>
        <v/>
      </c>
    </row>
    <row r="65">
      <c r="A65" t="inlineStr">
        <is>
          <t>Skill + Buff Cast Rate (subtracted from Showdown, 1/s; weighted by ActionsPerCast)</t>
        </is>
      </c>
      <c r="B65">
        <f>IF(AND(Inputs!$B$39&lt;&gt;"pvp",Inputs!$B$44&gt;0),SUMPRODUCT((Skills!E2:E31=TRUE)*(Calc!C2:C31=TRUE)*Calc!R2:R31*Skills!F2:F31)/Inputs!$B$44,SUMPRODUCT((Skills!E2:E31=TRUE)*(Calc!C2:C31=TRUE)*Calc!Q2:Q31*Skills!F2:F31))</f>
        <v/>
      </c>
    </row>
    <row r="66">
      <c r="A66" t="inlineStr">
        <is>
          <t>Showdown (Basic Attack) Casts Per Second</t>
        </is>
      </c>
      <c r="B66">
        <f>MAX(0,B64-B65)</f>
        <v/>
      </c>
    </row>
    <row r="67">
      <c r="A67" t="inlineStr">
        <is>
          <t>Shadow Shifter Self-Attack Buff Uptime (informational — see Skills!Note; Sensitivity delta not scaled by this in this pass)</t>
        </is>
      </c>
      <c r="B67">
        <f>IF(Inputs!$B$3&gt;=116,1,1-MIN(1,(Inputs!$B$38*0.2)*3))</f>
        <v/>
      </c>
    </row>
    <row r="68">
      <c r="A68" t="inlineStr">
        <is>
          <t>Global Critical Damage Bonus % (Frailty Curse Mastery Lv.111, duty-cycle-averaged, additive)</t>
        </is>
      </c>
      <c r="B68">
        <f>IF(Inputs!$B$3&gt;=111,30,0)*IF(AND(Inputs!$B$39&lt;&gt;"pvp",Inputs!$B$44&gt;0),(((Calc!R16-1)*(Skills!Y16*(1+Inputs!$B$34/100))+MIN((Skills!Y16*(1+Inputs!$B$34/100)),MAX(0,Inputs!$B$44-((Calc!R16-1)*Skills!D16))))/Inputs!$B$44),IF(Inputs!$B$39="pvp",MIN((Skills!Y16*(1+Inputs!$B$34/100)),15)/15,(Skills!Y16*(1+Inputs!$B$34/100))/Skills!D16))</f>
        <v/>
      </c>
    </row>
    <row r="69">
      <c r="A69" t="inlineStr">
        <is>
          <t>Showdown (Basic Attack) DPS</t>
        </is>
      </c>
      <c r="B69">
        <f>Calc!O2</f>
        <v/>
      </c>
    </row>
    <row r="70">
      <c r="A70" t="inlineStr">
        <is>
          <t>Buff-Casting Startup Delay (s, before first damage-skill cast; fixed-duration only)</t>
        </is>
      </c>
      <c r="B70">
        <f>IF(AND(Inputs!$B$39&lt;&gt;"pvp",Inputs!$B$44&gt;0),SUMPRODUCT((Skills!Y2:Y31&gt;0)*(Skills!E2:E31=TRUE)*(Calc!C2:C31=TRUE))/B64,0)</f>
        <v/>
      </c>
    </row>
    <row r="71">
      <c r="A71" t="inlineStr">
        <is>
          <t>Boss-Only Total DPS (Sensitivity baseline)</t>
        </is>
      </c>
      <c r="B71">
        <f>SUM(Calc!T2:T31)</f>
        <v/>
      </c>
    </row>
    <row r="72">
      <c r="A72" t="inlineStr">
        <is>
          <t>Normal-Only Total DPS (Sensitivity baseline)</t>
        </is>
      </c>
      <c r="B72">
        <f>SUM(Calc!V2:V31)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85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Inputs!$B$12</f>
        <v/>
      </c>
      <c r="E5">
        <f>(Inputs!$B$12+1)</f>
        <v/>
      </c>
      <c r="F5">
        <f>Summary!$B$3</f>
        <v/>
      </c>
      <c r="G5">
        <f>B78</f>
        <v/>
      </c>
      <c r="H5">
        <f>Summary!$B$3*(((1-Summary!$B$55)*IFERROR(B80/Summary!$B$71,1)+Summary!$B$55*IFERROR(B81/Summary!$B$72,1))-1)</f>
        <v/>
      </c>
      <c r="I5">
        <f>((1-Summary!$B$55)*IFERROR(B80/Summary!$B$71,1)+Summary!$B$55*IFERROR(B81/Summary!$B$72,1))*100</f>
        <v/>
      </c>
    </row>
    <row r="6">
      <c r="A6" t="inlineStr">
        <is>
          <t>LUK %</t>
        </is>
      </c>
      <c r="B6">
        <f>IFERROR(1/(I6-100),"n/a")</f>
        <v/>
      </c>
      <c r="C6" t="inlineStr">
        <is>
          <t>pct</t>
        </is>
      </c>
      <c r="D6">
        <f>Inputs!$B$13</f>
        <v/>
      </c>
      <c r="E6">
        <f>(Inputs!$B$13+1)</f>
        <v/>
      </c>
      <c r="F6">
        <f>Summary!$B$3</f>
        <v/>
      </c>
      <c r="G6">
        <f>B127</f>
        <v/>
      </c>
      <c r="H6">
        <f>Summary!$B$3*(((1-Summary!$B$55)*IFERROR(B129/Summary!$B$71,1)+Summary!$B$55*IFERROR(B130/Summary!$B$72,1))-1)</f>
        <v/>
      </c>
      <c r="I6">
        <f>((1-Summary!$B$55)*IFERROR(B129/Summary!$B$71,1)+Summary!$B$55*IFERROR(B130/Summary!$B$72,1))*100</f>
        <v/>
      </c>
    </row>
    <row r="7">
      <c r="A7" t="inlineStr">
        <is>
          <t>DEX</t>
        </is>
      </c>
      <c r="B7">
        <f>IFERROR(1/(I7-100),"n/a")</f>
        <v/>
      </c>
      <c r="C7" t="inlineStr">
        <is>
          <t>flat</t>
        </is>
      </c>
      <c r="D7">
        <f>Inputs!$B$14</f>
        <v/>
      </c>
      <c r="E7">
        <f>(Inputs!$B$14+1)</f>
        <v/>
      </c>
      <c r="F7">
        <f>Summary!$B$3</f>
        <v/>
      </c>
      <c r="G7">
        <f>B176</f>
        <v/>
      </c>
      <c r="H7">
        <f>Summary!$B$3*(((1-Summary!$B$55)*IFERROR(B178/Summary!$B$71,1)+Summary!$B$55*IFERROR(B179/Summary!$B$72,1))-1)</f>
        <v/>
      </c>
      <c r="I7">
        <f>((1-Summary!$B$55)*IFERROR(B178/Summary!$B$71,1)+Summary!$B$55*IFERROR(B179/Summary!$B$72,1))*100</f>
        <v/>
      </c>
    </row>
    <row r="8">
      <c r="A8" t="inlineStr">
        <is>
          <t>DAMAGE %</t>
        </is>
      </c>
      <c r="B8">
        <f>IFERROR(1/(I8-100),"n/a")</f>
        <v/>
      </c>
      <c r="C8" t="inlineStr">
        <is>
          <t>pct</t>
        </is>
      </c>
      <c r="D8">
        <f>Inputs!$B$15</f>
        <v/>
      </c>
      <c r="E8">
        <f>(Inputs!$B$15+1)</f>
        <v/>
      </c>
      <c r="F8">
        <f>Summary!$B$3</f>
        <v/>
      </c>
      <c r="G8">
        <f>B225</f>
        <v/>
      </c>
      <c r="H8">
        <f>Summary!$B$3*(((1-Summary!$B$55)*IFERROR(B227/Summary!$B$71,1)+Summary!$B$55*IFERROR(B228/Summary!$B$72,1))-1)</f>
        <v/>
      </c>
      <c r="I8">
        <f>((1-Summary!$B$55)*IFERROR(B227/Summary!$B$71,1)+Summary!$B$55*IFERROR(B228/Summary!$B$72,1))*100</f>
        <v/>
      </c>
    </row>
    <row r="9">
      <c r="A9" t="inlineStr">
        <is>
          <t>DAMAGE_AMP %</t>
        </is>
      </c>
      <c r="B9">
        <f>IFERROR(1/(I9-100),"n/a")</f>
        <v/>
      </c>
      <c r="C9" t="inlineStr">
        <is>
          <t>pct</t>
        </is>
      </c>
      <c r="D9">
        <f>Inputs!$B$16</f>
        <v/>
      </c>
      <c r="E9">
        <f>(Inputs!$B$16+1)</f>
        <v/>
      </c>
      <c r="F9">
        <f>Summary!$B$3</f>
        <v/>
      </c>
      <c r="G9">
        <f>B274</f>
        <v/>
      </c>
      <c r="H9">
        <f>Summary!$B$3*(((1-Summary!$B$55)*IFERROR(B276/Summary!$B$71,1)+Summary!$B$55*IFERROR(B277/Summary!$B$72,1))-1)</f>
        <v/>
      </c>
      <c r="I9">
        <f>((1-Summary!$B$55)*IFERROR(B276/Summary!$B$71,1)+Summary!$B$55*IFERROR(B277/Summary!$B$72,1))*100</f>
        <v/>
      </c>
    </row>
    <row r="10">
      <c r="A10" t="inlineStr">
        <is>
          <t>BOSS_DAMAGE %</t>
        </is>
      </c>
      <c r="B10">
        <f>IFERROR(1/(I10-100),"n/a")</f>
        <v/>
      </c>
      <c r="C10" t="inlineStr">
        <is>
          <t>pct</t>
        </is>
      </c>
      <c r="D10">
        <f>Inputs!$B$20</f>
        <v/>
      </c>
      <c r="E10">
        <f>(Inputs!$B$20+1)</f>
        <v/>
      </c>
      <c r="F10">
        <f>Summary!$B$3</f>
        <v/>
      </c>
      <c r="G10">
        <f>B323</f>
        <v/>
      </c>
      <c r="H10">
        <f>Summary!$B$3*(((1-Summary!$B$55)*IFERROR(B325/Summary!$B$71,1)+Summary!$B$55*IFERROR(B326/Summary!$B$72,1))-1)</f>
        <v/>
      </c>
      <c r="I10">
        <f>((1-Summary!$B$55)*IFERROR(B325/Summary!$B$71,1)+Summary!$B$55*IFERROR(B326/Summary!$B$72,1))*100</f>
        <v/>
      </c>
    </row>
    <row r="11">
      <c r="A11" t="inlineStr">
        <is>
          <t>NORMAL_DAMAGE %</t>
        </is>
      </c>
      <c r="B11">
        <f>IFERROR(1/(I11-100),"n/a")</f>
        <v/>
      </c>
      <c r="C11" t="inlineStr">
        <is>
          <t>pct</t>
        </is>
      </c>
      <c r="D11">
        <f>Inputs!$B$21</f>
        <v/>
      </c>
      <c r="E11">
        <f>(Inputs!$B$21+1)</f>
        <v/>
      </c>
      <c r="F11">
        <f>Summary!$B$3</f>
        <v/>
      </c>
      <c r="G11">
        <f>B372</f>
        <v/>
      </c>
      <c r="H11">
        <f>Summary!$B$3*(((1-Summary!$B$55)*IFERROR(B374/Summary!$B$71,1)+Summary!$B$55*IFERROR(B375/Summary!$B$72,1))-1)</f>
        <v/>
      </c>
      <c r="I11">
        <f>((1-Summary!$B$55)*IFERROR(B374/Summary!$B$71,1)+Summary!$B$55*IFERROR(B375/Summary!$B$72,1))*100</f>
        <v/>
      </c>
    </row>
    <row r="12">
      <c r="A12" t="inlineStr">
        <is>
          <t>FINAL_DAMAGE % (multiplicative source)</t>
        </is>
      </c>
      <c r="B12">
        <f>IFERROR(1/(I12-100),"n/a")</f>
        <v/>
      </c>
      <c r="C12" t="inlineStr">
        <is>
          <t>mult</t>
        </is>
      </c>
      <c r="D12">
        <f>Inputs!$B$24</f>
        <v/>
      </c>
      <c r="E12">
        <f>((((1+Inputs!$B$24/100)*(1.01))-1)*100)</f>
        <v/>
      </c>
      <c r="F12">
        <f>Summary!$B$3</f>
        <v/>
      </c>
      <c r="G12">
        <f>B421</f>
        <v/>
      </c>
      <c r="H12">
        <f>Summary!$B$3*(((1-Summary!$B$55)*IFERROR(B423/Summary!$B$71,1)+Summary!$B$55*IFERROR(B424/Summary!$B$72,1))-1)</f>
        <v/>
      </c>
      <c r="I12">
        <f>((1-Summary!$B$55)*IFERROR(B423/Summary!$B$71,1)+Summary!$B$55*IFERROR(B424/Summary!$B$72,1))*100</f>
        <v/>
      </c>
    </row>
    <row r="13">
      <c r="A13" t="inlineStr">
        <is>
          <t>MIN_DAMAGE %</t>
        </is>
      </c>
      <c r="B13">
        <f>IFERROR(1/(I13-100),"n/a")</f>
        <v/>
      </c>
      <c r="C13" t="inlineStr">
        <is>
          <t>pct</t>
        </is>
      </c>
      <c r="D13">
        <f>Inputs!$B$22</f>
        <v/>
      </c>
      <c r="E13">
        <f>(Inputs!$B$22+1)</f>
        <v/>
      </c>
      <c r="F13">
        <f>Summary!$B$3</f>
        <v/>
      </c>
      <c r="G13">
        <f>B470</f>
        <v/>
      </c>
      <c r="H13">
        <f>Summary!$B$3*(((1-Summary!$B$55)*IFERROR(B472/Summary!$B$71,1)+Summary!$B$55*IFERROR(B473/Summary!$B$72,1))-1)</f>
        <v/>
      </c>
      <c r="I13">
        <f>((1-Summary!$B$55)*IFERROR(B472/Summary!$B$71,1)+Summary!$B$55*IFERROR(B473/Summary!$B$72,1))*100</f>
        <v/>
      </c>
    </row>
    <row r="14">
      <c r="A14" t="inlineStr">
        <is>
          <t>MAX_DAMAGE %</t>
        </is>
      </c>
      <c r="B14">
        <f>IFERROR(1/(I14-100),"n/a")</f>
        <v/>
      </c>
      <c r="C14" t="inlineStr">
        <is>
          <t>pct</t>
        </is>
      </c>
      <c r="D14">
        <f>Inputs!$B$23</f>
        <v/>
      </c>
      <c r="E14">
        <f>(Inputs!$B$23+1)</f>
        <v/>
      </c>
      <c r="F14">
        <f>Summary!$B$3</f>
        <v/>
      </c>
      <c r="G14">
        <f>B519</f>
        <v/>
      </c>
      <c r="H14">
        <f>Summary!$B$3*(((1-Summary!$B$55)*IFERROR(B521/Summary!$B$71,1)+Summary!$B$55*IFERROR(B522/Summary!$B$72,1))-1)</f>
        <v/>
      </c>
      <c r="I14">
        <f>((1-Summary!$B$55)*IFERROR(B521/Summary!$B$71,1)+Summary!$B$55*IFERROR(B522/Summary!$B$72,1))*100</f>
        <v/>
      </c>
    </row>
    <row r="15">
      <c r="A15" t="inlineStr">
        <is>
          <t>CRIT_RATE %</t>
        </is>
      </c>
      <c r="B15">
        <f>IFERROR(1/(I15-100),"n/a")</f>
        <v/>
      </c>
      <c r="C15" t="inlineStr">
        <is>
          <t>pct</t>
        </is>
      </c>
      <c r="D15">
        <f>Inputs!$B$9</f>
        <v/>
      </c>
      <c r="E15">
        <f>(Inputs!$B$9+1)</f>
        <v/>
      </c>
      <c r="F15">
        <f>Summary!$B$3</f>
        <v/>
      </c>
      <c r="G15">
        <f>B568</f>
        <v/>
      </c>
      <c r="H15">
        <f>Summary!$B$3*(((1-Summary!$B$55)*IFERROR(B570/Summary!$B$71,1)+Summary!$B$55*IFERROR(B571/Summary!$B$72,1))-1)</f>
        <v/>
      </c>
      <c r="I15">
        <f>((1-Summary!$B$55)*IFERROR(B570/Summary!$B$71,1)+Summary!$B$55*IFERROR(B571/Summary!$B$72,1))*100</f>
        <v/>
      </c>
    </row>
    <row r="16">
      <c r="A16" t="inlineStr">
        <is>
          <t>CRIT_DAMAGE %</t>
        </is>
      </c>
      <c r="B16">
        <f>IFERROR(1/(I16-100),"n/a")</f>
        <v/>
      </c>
      <c r="C16" t="inlineStr">
        <is>
          <t>pct</t>
        </is>
      </c>
      <c r="D16">
        <f>Inputs!$B$10</f>
        <v/>
      </c>
      <c r="E16">
        <f>(Inputs!$B$10+1)</f>
        <v/>
      </c>
      <c r="F16">
        <f>Summary!$B$3</f>
        <v/>
      </c>
      <c r="G16">
        <f>B617</f>
        <v/>
      </c>
      <c r="H16">
        <f>Summary!$B$3*(((1-Summary!$B$55)*IFERROR(B619/Summary!$B$71,1)+Summary!$B$55*IFERROR(B620/Summary!$B$72,1))-1)</f>
        <v/>
      </c>
      <c r="I16">
        <f>((1-Summary!$B$55)*IFERROR(B619/Summary!$B$71,1)+Summary!$B$55*IFERROR(B620/Summary!$B$72,1))*100</f>
        <v/>
      </c>
    </row>
    <row r="17">
      <c r="A17" t="inlineStr">
        <is>
          <t>ATTACK_SPEED % (diminishing returns, factor 150)</t>
        </is>
      </c>
      <c r="B17">
        <f>IFERROR(1/(I17-100),"n/a")</f>
        <v/>
      </c>
      <c r="C17" t="inlineStr">
        <is>
          <t>dr150</t>
        </is>
      </c>
      <c r="D17">
        <f>Inputs!$B$11</f>
        <v/>
      </c>
      <c r="E17">
        <f>((1-(1-Inputs!$B$11/150)*(1-1/150))*150)</f>
        <v/>
      </c>
      <c r="F17">
        <f>Summary!$B$3</f>
        <v/>
      </c>
      <c r="G17">
        <f>B666</f>
        <v/>
      </c>
      <c r="H17">
        <f>Summary!$B$3*(((1-Summary!$B$55)*IFERROR(B668/Summary!$B$71,1)+Summary!$B$55*IFERROR(B669/Summary!$B$72,1))-1)</f>
        <v/>
      </c>
      <c r="I17">
        <f>((1-Summary!$B$55)*IFERROR(B668/Summary!$B$71,1)+Summary!$B$55*IFERROR(B669/Summary!$B$72,1))*100</f>
        <v/>
      </c>
    </row>
    <row r="18">
      <c r="A18" t="inlineStr">
        <is>
          <t>DEF_PEN % (diminishing returns, factor 100)</t>
        </is>
      </c>
      <c r="B18">
        <f>IFERROR(1/(I18-100),"n/a")</f>
        <v/>
      </c>
      <c r="C18" t="inlineStr">
        <is>
          <t>dr100</t>
        </is>
      </c>
      <c r="D18">
        <f>Inputs!$B$19</f>
        <v/>
      </c>
      <c r="E18">
        <f>((1-(1-Inputs!$B$19/100)*(1-1/100))*100)</f>
        <v/>
      </c>
      <c r="F18">
        <f>Summary!$B$3</f>
        <v/>
      </c>
      <c r="G18">
        <f>B715</f>
        <v/>
      </c>
      <c r="H18">
        <f>Summary!$B$3*(((1-Summary!$B$55)*IFERROR(B717/Summary!$B$71,1)+Summary!$B$55*IFERROR(B718/Summary!$B$72,1))-1)</f>
        <v/>
      </c>
      <c r="I18">
        <f>((1-Summary!$B$55)*IFERROR(B717/Summary!$B$71,1)+Summary!$B$55*IFERROR(B718/Summary!$B$72,1))*100</f>
        <v/>
      </c>
    </row>
    <row r="19">
      <c r="A19" t="inlineStr">
        <is>
          <t>BASIC_ATTACK_DAMAGE %</t>
        </is>
      </c>
      <c r="B19">
        <f>IFERROR(1/(I19-100),"n/a")</f>
        <v/>
      </c>
      <c r="C19" t="inlineStr">
        <is>
          <t>pct</t>
        </is>
      </c>
      <c r="D19">
        <f>Inputs!$B$17</f>
        <v/>
      </c>
      <c r="E19">
        <f>(Inputs!$B$17+1)</f>
        <v/>
      </c>
      <c r="F19">
        <f>Summary!$B$3</f>
        <v/>
      </c>
      <c r="G19">
        <f>B764</f>
        <v/>
      </c>
      <c r="H19">
        <f>Summary!$B$3*(((1-Summary!$B$55)*IFERROR(B766/Summary!$B$71,1)+Summary!$B$55*IFERROR(B767/Summary!$B$72,1))-1)</f>
        <v/>
      </c>
      <c r="I19">
        <f>((1-Summary!$B$55)*IFERROR(B766/Summary!$B$71,1)+Summary!$B$55*IFERROR(B767/Summary!$B$72,1))*100</f>
        <v/>
      </c>
    </row>
    <row r="20">
      <c r="A20" t="inlineStr">
        <is>
          <t>SKILL_DAMAGE %</t>
        </is>
      </c>
      <c r="B20">
        <f>IFERROR(1/(I20-100),"n/a")</f>
        <v/>
      </c>
      <c r="C20" t="inlineStr">
        <is>
          <t>pct</t>
        </is>
      </c>
      <c r="D20">
        <f>Inputs!$B$18</f>
        <v/>
      </c>
      <c r="E20">
        <f>(Inputs!$B$18+1)</f>
        <v/>
      </c>
      <c r="F20">
        <f>Summary!$B$3</f>
        <v/>
      </c>
      <c r="G20">
        <f>B813</f>
        <v/>
      </c>
      <c r="H20">
        <f>Summary!$B$3*(((1-Summary!$B$55)*IFERROR(B815/Summary!$B$71,1)+Summary!$B$55*IFERROR(B816/Summary!$B$72,1))-1)</f>
        <v/>
      </c>
      <c r="I20">
        <f>((1-Summary!$B$55)*IFERROR(B815/Summary!$B$71,1)+Summary!$B$55*IFERROR(B816/Summary!$B$72,1))*100</f>
        <v/>
      </c>
    </row>
    <row r="21">
      <c r="A21" t="inlineStr">
        <is>
          <t>Skill Level Bonus — 1st Job</t>
        </is>
      </c>
      <c r="B21">
        <f>IFERROR(1/(I21-100),"n/a")</f>
        <v/>
      </c>
      <c r="C21" t="inlineStr">
        <is>
          <t>level</t>
        </is>
      </c>
      <c r="D21">
        <f>Inputs!$B$25</f>
        <v/>
      </c>
      <c r="E21">
        <f>(Inputs!$B$25+1)</f>
        <v/>
      </c>
      <c r="F21">
        <f>Summary!$B$3</f>
        <v/>
      </c>
      <c r="G21">
        <f>B862</f>
        <v/>
      </c>
      <c r="H21">
        <f>Summary!$B$3*(((1-Summary!$B$55)*IFERROR(B864/Summary!$B$71,1)+Summary!$B$55*IFERROR(B865/Summary!$B$72,1))-1)</f>
        <v/>
      </c>
      <c r="I21">
        <f>((1-Summary!$B$55)*IFERROR(B864/Summary!$B$71,1)+Summary!$B$55*IFERROR(B865/Summary!$B$72,1))*100</f>
        <v/>
      </c>
    </row>
    <row r="22">
      <c r="A22" t="inlineStr">
        <is>
          <t>Skill Level Bonus — 2nd Job</t>
        </is>
      </c>
      <c r="B22">
        <f>IFERROR(1/(I22-100),"n/a")</f>
        <v/>
      </c>
      <c r="C22" t="inlineStr">
        <is>
          <t>level</t>
        </is>
      </c>
      <c r="D22">
        <f>Inputs!$B$26</f>
        <v/>
      </c>
      <c r="E22">
        <f>(Inputs!$B$26+1)</f>
        <v/>
      </c>
      <c r="F22">
        <f>Summary!$B$3</f>
        <v/>
      </c>
      <c r="G22">
        <f>B911</f>
        <v/>
      </c>
      <c r="H22">
        <f>Summary!$B$3*(((1-Summary!$B$55)*IFERROR(B913/Summary!$B$71,1)+Summary!$B$55*IFERROR(B914/Summary!$B$72,1))-1)</f>
        <v/>
      </c>
      <c r="I22">
        <f>((1-Summary!$B$55)*IFERROR(B913/Summary!$B$71,1)+Summary!$B$55*IFERROR(B914/Summary!$B$72,1))*100</f>
        <v/>
      </c>
    </row>
    <row r="23">
      <c r="A23" t="inlineStr">
        <is>
          <t>Skill Level Bonus — 3rd Job</t>
        </is>
      </c>
      <c r="B23">
        <f>IFERROR(1/(I23-100),"n/a")</f>
        <v/>
      </c>
      <c r="C23" t="inlineStr">
        <is>
          <t>level</t>
        </is>
      </c>
      <c r="D23">
        <f>Inputs!$B$27</f>
        <v/>
      </c>
      <c r="E23">
        <f>(Inputs!$B$27+1)</f>
        <v/>
      </c>
      <c r="F23">
        <f>Summary!$B$3</f>
        <v/>
      </c>
      <c r="G23">
        <f>B960</f>
        <v/>
      </c>
      <c r="H23">
        <f>Summary!$B$3*(((1-Summary!$B$55)*IFERROR(B962/Summary!$B$71,1)+Summary!$B$55*IFERROR(B963/Summary!$B$72,1))-1)</f>
        <v/>
      </c>
      <c r="I23">
        <f>((1-Summary!$B$55)*IFERROR(B962/Summary!$B$71,1)+Summary!$B$55*IFERROR(B963/Summary!$B$72,1))*100</f>
        <v/>
      </c>
    </row>
    <row r="24">
      <c r="A24" t="inlineStr">
        <is>
          <t>Skill Level Bonus — 4th Job</t>
        </is>
      </c>
      <c r="B24">
        <f>IFERROR(1/(I24-100),"n/a")</f>
        <v/>
      </c>
      <c r="C24" t="inlineStr">
        <is>
          <t>level</t>
        </is>
      </c>
      <c r="D24">
        <f>Inputs!$B$28</f>
        <v/>
      </c>
      <c r="E24">
        <f>(Inputs!$B$28+1)</f>
        <v/>
      </c>
      <c r="F24">
        <f>Summary!$B$3</f>
        <v/>
      </c>
      <c r="G24">
        <f>B1009</f>
        <v/>
      </c>
      <c r="H24">
        <f>Summary!$B$3*(((1-Summary!$B$55)*IFERROR(B1011/Summary!$B$71,1)+Summary!$B$55*IFERROR(B1012/Summary!$B$72,1))-1)</f>
        <v/>
      </c>
      <c r="I24">
        <f>((1-Summary!$B$55)*IFERROR(B1011/Summary!$B$71,1)+Summary!$B$55*IFERROR(B1012/Summary!$B$72,1))*100</f>
        <v/>
      </c>
    </row>
    <row r="25">
      <c r="A25" t="inlineStr">
        <is>
          <t>Skill Level Bonus — All Skills</t>
        </is>
      </c>
      <c r="B25">
        <f>IFERROR(1/(I25-100),"n/a")</f>
        <v/>
      </c>
      <c r="C25" t="inlineStr">
        <is>
          <t>level</t>
        </is>
      </c>
      <c r="D25">
        <f>Inputs!$B$29</f>
        <v/>
      </c>
      <c r="E25">
        <f>(Inputs!$B$29+1)</f>
        <v/>
      </c>
      <c r="F25">
        <f>Summary!$B$3</f>
        <v/>
      </c>
      <c r="G25">
        <f>B1058</f>
        <v/>
      </c>
      <c r="H25">
        <f>Summary!$B$3*(((1-Summary!$B$55)*IFERROR(B1060/Summary!$B$71,1)+Summary!$B$55*IFERROR(B1061/Summary!$B$72,1))-1)</f>
        <v/>
      </c>
      <c r="I25">
        <f>((1-Summary!$B$55)*IFERROR(B1060/Summary!$B$71,1)+Summary!$B$55*IFERROR(B1061/Summary!$B$72,1))*100</f>
        <v/>
      </c>
    </row>
    <row r="26">
      <c r="A26" t="inlineStr">
        <is>
          <t>Flat ATTACK</t>
        </is>
      </c>
      <c r="B26">
        <f>IFERROR(1/(I26-100),"n/a")</f>
        <v/>
      </c>
      <c r="C26" t="inlineStr">
        <is>
          <t>flat</t>
        </is>
      </c>
      <c r="D26">
        <f>Inputs!$B$6</f>
        <v/>
      </c>
      <c r="E26">
        <f>(Inputs!$B$6+1)</f>
        <v/>
      </c>
      <c r="F26">
        <f>Summary!$B$3</f>
        <v/>
      </c>
      <c r="G26">
        <f>B1107</f>
        <v/>
      </c>
      <c r="H26">
        <f>Summary!$B$3*(((1-Summary!$B$55)*IFERROR(B1109/Summary!$B$71,1)+Summary!$B$55*IFERROR(B1110/Summary!$B$72,1))-1)</f>
        <v/>
      </c>
      <c r="I26">
        <f>((1-Summary!$B$55)*IFERROR(B1109/Summary!$B$71,1)+Summary!$B$55*IFERROR(B1110/Summary!$B$72,1))*100</f>
        <v/>
      </c>
    </row>
    <row r="27">
      <c r="A27" t="inlineStr">
        <is>
          <t>ATTACK %</t>
        </is>
      </c>
      <c r="B27">
        <f>IFERROR(1/(I27-100),"n/a")</f>
        <v/>
      </c>
      <c r="C27" t="inlineStr">
        <is>
          <t>pct</t>
        </is>
      </c>
      <c r="D27">
        <f>Inputs!$B$7</f>
        <v/>
      </c>
      <c r="E27">
        <f>(Inputs!$B$7+1)</f>
        <v/>
      </c>
      <c r="F27">
        <f>Summary!$B$3</f>
        <v/>
      </c>
      <c r="G27">
        <f>B1156</f>
        <v/>
      </c>
      <c r="H27">
        <f>Summary!$B$3*(((1-Summary!$B$55)*IFERROR(B1158/Summary!$B$71,1)+Summary!$B$55*IFERROR(B1159/Summary!$B$72,1))-1)</f>
        <v/>
      </c>
      <c r="I27">
        <f>((1-Summary!$B$55)*IFERROR(B1158/Summary!$B$71,1)+Summary!$B$55*IFERROR(B1159/Summary!$B$72,1))*100</f>
        <v/>
      </c>
    </row>
    <row r="28">
      <c r="A28" t="inlineStr">
        <is>
          <t>Skill Cooldown Decrease (seconds)</t>
        </is>
      </c>
      <c r="B28">
        <f>IFERROR(1/(I28-100),"n/a")</f>
        <v/>
      </c>
      <c r="C28" t="inlineStr">
        <is>
          <t>flat</t>
        </is>
      </c>
      <c r="D28">
        <f>Inputs!$B$32</f>
        <v/>
      </c>
      <c r="E28">
        <f>(Inputs!$B$32+1)</f>
        <v/>
      </c>
      <c r="F28">
        <f>Summary!$B$3</f>
        <v/>
      </c>
      <c r="G28">
        <f>B1205</f>
        <v/>
      </c>
      <c r="H28">
        <f>Summary!$B$3*(((1-Summary!$B$55)*IFERROR(B1207/Summary!$B$71,1)+Summary!$B$55*IFERROR(B1208/Summary!$B$72,1))-1)</f>
        <v/>
      </c>
      <c r="I28">
        <f>((1-Summary!$B$55)*IFERROR(B1207/Summary!$B$71,1)+Summary!$B$55*IFERROR(B1208/Summary!$B$72,1))*100</f>
        <v/>
      </c>
    </row>
    <row r="29">
      <c r="A29" t="inlineStr">
        <is>
          <t>Basic Attack Target Increase (flat)</t>
        </is>
      </c>
      <c r="B29">
        <f>IFERROR(1/(I29-100),"n/a")</f>
        <v/>
      </c>
      <c r="C29" t="inlineStr">
        <is>
          <t>flat</t>
        </is>
      </c>
      <c r="D29">
        <f>Inputs!$B$33</f>
        <v/>
      </c>
      <c r="E29">
        <f>(Inputs!$B$33+1)</f>
        <v/>
      </c>
      <c r="F29">
        <f>Summary!$B$3</f>
        <v/>
      </c>
      <c r="G29">
        <f>B1254</f>
        <v/>
      </c>
      <c r="H29">
        <f>Summary!$B$3*(((1-Summary!$B$55)*IFERROR(B1256/Summary!$B$71,1)+Summary!$B$55*IFERROR(B1257/Summary!$B$72,1))-1)</f>
        <v/>
      </c>
      <c r="I29">
        <f>((1-Summary!$B$55)*IFERROR(B1256/Summary!$B$71,1)+Summary!$B$55*IFERROR(B1257/Summary!$B$72,1))*100</f>
        <v/>
      </c>
    </row>
    <row r="30">
      <c r="A30" t="inlineStr">
        <is>
          <t>Buff Duration Increase %</t>
        </is>
      </c>
      <c r="B30">
        <f>IFERROR(1/(I30-100),"n/a")</f>
        <v/>
      </c>
      <c r="C30" t="inlineStr">
        <is>
          <t>pct</t>
        </is>
      </c>
      <c r="D30">
        <f>Inputs!$B$34</f>
        <v/>
      </c>
      <c r="E30">
        <f>(Inputs!$B$34+1)</f>
        <v/>
      </c>
      <c r="F30">
        <f>Summary!$B$3</f>
        <v/>
      </c>
      <c r="G30">
        <f>B1303</f>
        <v/>
      </c>
      <c r="H30">
        <f>Summary!$B$3*(((1-Summary!$B$55)*IFERROR(B1305/Summary!$B$71,1)+Summary!$B$55*IFERROR(B1306/Summary!$B$72,1))-1)</f>
        <v/>
      </c>
      <c r="I30">
        <f>((1-Summary!$B$55)*IFERROR(B1305/Summary!$B$71,1)+Summary!$B$55*IFERROR(B1306/Summary!$B$72,1))*100</f>
        <v/>
      </c>
    </row>
    <row r="31">
      <c r="A31" t="inlineStr">
        <is>
          <t>Incoming Hit Rate (hits/sec, Shadow Shifter only)</t>
        </is>
      </c>
      <c r="B31">
        <f>IFERROR(1/(I31-100),"n/a")</f>
        <v/>
      </c>
      <c r="C31" t="inlineStr">
        <is>
          <t>flat</t>
        </is>
      </c>
      <c r="D31">
        <f>Inputs!$B$38</f>
        <v/>
      </c>
      <c r="E31">
        <f>(Inputs!$B$38+1)</f>
        <v/>
      </c>
      <c r="F31">
        <f>Summary!$B$3</f>
        <v/>
      </c>
      <c r="G31">
        <f>B1352</f>
        <v/>
      </c>
      <c r="H31">
        <f>Summary!$B$3*(((1-Summary!$B$55)*IFERROR(B1354/Summary!$B$71,1)+Summary!$B$55*IFERROR(B1355/Summary!$B$72,1))-1)</f>
        <v/>
      </c>
      <c r="I31">
        <f>((1-Summary!$B$55)*IFERROR(B1354/Summary!$B$71,1)+Summary!$B$55*IFERROR(B1355/Summary!$B$72,1))*100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U40+Skills!O2</f>
        <v/>
      </c>
      <c r="G36">
        <f>Calc!G2</f>
        <v/>
      </c>
      <c r="H36">
        <f>Calc!H2</f>
        <v/>
      </c>
      <c r="I36">
        <f>IF(Skills!AA2&lt;&gt;"",1+(Skills!AA2/10)*(U37/1000)/100,1)</f>
        <v/>
      </c>
      <c r="J36">
        <f>((Inputs!$B$6*(1+Inputs!$B$7/100))+((((Inputs!$B$12+1)*(1+Inputs!$B$13/100))-(Inputs!$B$12*(1+Inputs!$B$13/100)))+0.25*(Inputs!$B$14-Inputs!$B$14))*(1+Inputs!$B$7/100))*(F36/100)</f>
        <v/>
      </c>
      <c r="K36">
        <f>J36*(1+(((Inputs!$B$12+1)*(1+Inputs!$B$13/100))*0.01+Inputs!$B$14*0.0025)/100)*(1+Inputs!$B$15/100)*(1+Inputs!$B$16/100)*(5000/(6000+Inputs!$B$43*(1-Inputs!$B$19/100)))*(1+(Inputs!$B$24+((C64=TRUE)*(F64-Calc!F30)))/100)*(1+Skills!R2/100)*(1+(IF(Skills!A2="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36)</f>
        <v/>
      </c>
      <c r="L36">
        <f>K36*(MIN(Inputs!$B$22+((C58=TRUE)*(F58-Calc!F24)),Inputs!$B$23)/100+Inputs!$B$23/100)/2</f>
        <v/>
      </c>
      <c r="M36">
        <f>L36*(1+(Inputs!$B$10+((C60=TRUE)*(F60-Calc!F26))+B77)/100)</f>
        <v/>
      </c>
      <c r="N36">
        <f>L36*(1-MIN((Inputs!$B$9+((C59=TRUE)*(F59-Calc!F25))+B74),100)/100)+M36*(MIN((Inputs!$B$9+((C59=TRUE)*(F59-Calc!F25))+B74),100)/100)</f>
        <v/>
      </c>
      <c r="O36">
        <f>(1-Summary!$B$55)*T36+Summary!$B$55*V36</f>
        <v/>
      </c>
      <c r="P36">
        <f>IF(B78=0,0,O36/B78)</f>
        <v/>
      </c>
      <c r="Q36" t="n">
        <v>0</v>
      </c>
      <c r="R36" t="n">
        <v>0</v>
      </c>
      <c r="S36">
        <f>IFERROR(O36/N36,0)</f>
        <v/>
      </c>
      <c r="T36">
        <f>IF(C36,(Skills!G2*N36*B72)*IF(Inputs!$B$39="pvp",1,1+(Inputs!$B$20+((C61=TRUE)*(F61-Calc!F27))+Skills!P2+B75)/100),0)</f>
        <v/>
      </c>
      <c r="U36">
        <f>MAX(0,(Inputs!$B$3-100)*3)+Inputs!$B$28+Inputs!$B$29</f>
        <v/>
      </c>
      <c r="V36">
        <f>IF(C36,(Skills!G2*N36*B72)*IF(Inputs!$B$39="pvp",1,(1+(Inputs!$B$21+Skills!Q2+B75)/100)*(MIN((6+Inputs!$B$33),Inputs!$B$37))),0)</f>
        <v/>
      </c>
    </row>
    <row r="37">
      <c r="A37">
        <f>Skills!A3</f>
        <v/>
      </c>
      <c r="B37">
        <f>Skills!B3</f>
        <v/>
      </c>
      <c r="C37">
        <f>Inputs!$B$3&gt;=35</f>
        <v/>
      </c>
      <c r="D37">
        <f>IF(Skills!C3=1,60+Inputs!$B$25+Inputs!$B$29,IF(Skills!C3=2,90+Inputs!$B$26+Inputs!$B$29,IF(Skills!C3=3,120+Inputs!$B$27+Inputs!$B$29,MAX(0,(Inputs!$B$3-100)*3)+Inputs!$B$28+Inputs!$B$29)))</f>
        <v/>
      </c>
      <c r="E37">
        <f>INDEX(FactorTable!$B$2:$Y$301, MATCH(ROUND(MIN(300,MAX(1,D37)),0), FactorTable!$A$2:$A$301,0), Skills!M3+1)</f>
        <v/>
      </c>
      <c r="F37">
        <f>IF(Skills!N3=TRUE,(Skills!L3/10)*(E37/1000),Skills!L3/10)+Skills!O3</f>
        <v/>
      </c>
      <c r="G37">
        <f>Calc!G3</f>
        <v/>
      </c>
      <c r="H37">
        <f>Calc!H3</f>
        <v/>
      </c>
      <c r="I37">
        <f>IF(Skills!AA3&lt;&gt;"",1+(Skills!AA3/10)*(U37/1000)/100,1)</f>
        <v/>
      </c>
      <c r="J37">
        <f>((Inputs!$B$6*(1+Inputs!$B$7/100))+((((Inputs!$B$12+1)*(1+Inputs!$B$13/100))-(Inputs!$B$12*(1+Inputs!$B$13/100)))+0.25*(Inputs!$B$14-Inputs!$B$14))*(1+Inputs!$B$7/100))*(F37/100)</f>
        <v/>
      </c>
      <c r="K37">
        <f>J37*(1+(((Inputs!$B$12+1)*(1+Inputs!$B$13/100))*0.01+Inputs!$B$14*0.0025)/100)*(1+Inputs!$B$15/100)*(1+Inputs!$B$16/100)*(5000/(6000+Inputs!$B$43*(1-Inputs!$B$19/100)))*(1+(Inputs!$B$24+((C64=TRUE)*(F64-Calc!F30)))/100)*(1+Skills!R3/100)*(1+(IF(Skills!A3="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37)</f>
        <v/>
      </c>
      <c r="L37">
        <f>K37*(MIN(Inputs!$B$22+((C58=TRUE)*(F58-Calc!F24)),Inputs!$B$23)/100+Inputs!$B$23/100)/2</f>
        <v/>
      </c>
      <c r="M37">
        <f>L37*(1+(Inputs!$B$10+((C60=TRUE)*(F60-Calc!F26))+B77)/100)</f>
        <v/>
      </c>
      <c r="N37">
        <f>L37*(1-MIN((Inputs!$B$9+((C59=TRUE)*(F59-Calc!F25))+B74),100)/100)+M37*(MIN((Inputs!$B$9+((C59=TRUE)*(F59-Calc!F25))+B74),100)/100)</f>
        <v/>
      </c>
      <c r="O37">
        <f>(1-Summary!$B$55)*T37+Summary!$B$55*V37</f>
        <v/>
      </c>
      <c r="P37">
        <f>IF(B78=0,0,O37/B78)</f>
        <v/>
      </c>
      <c r="Q37">
        <f>IFERROR(1/IF(Inputs!$B$39="pvp",15,MAX(0.1,Skills!D3-IF(Skills!E3=TRUE,Inputs!$B$32,0))),0)</f>
        <v/>
      </c>
      <c r="R37">
        <f>IF(AND(Inputs!$B$39&lt;&gt;"pvp",Inputs!$B$44&gt;0),IF(MAX(0,Inputs!$B$44-B79)&lt;=0,0,(INT(MAX(0,Inputs!$B$44-B79)/IF(Inputs!$B$39="pvp",15,MAX(0.1,Skills!D3-IF(Skills!E3=TRUE,Inputs!$B$32,0))))+1)),0)</f>
        <v/>
      </c>
      <c r="S37">
        <f>IFERROR(O37/N37,0)</f>
        <v/>
      </c>
      <c r="T37">
        <f>IF(C37,(H37*N37*IF(AND(Inputs!$B$39&lt;&gt;"pvp",Inputs!$B$44&gt;0),((Skills!G3*((R37-1)*IF(Skills!H3&gt;0,Skills!I3/Skills!H3,1)+IF(Skills!H3&gt;0,MIN(Skills!I3,MAX(0,MAX(0,Inputs!$B$44-B79)-((R37-1)*IF(Inputs!$B$39="pvp",15,MAX(0.1,Skills!D3-IF(Skills!E3=TRUE,Inputs!$B$32,0))))))/Skills!H3,1)))/Inputs!$B$44),G37*Q37))*IF(Inputs!$B$39="pvp",1,1+(Inputs!$B$20+((C61=TRUE)*(F61-Calc!F27))+Skills!P3+B75)/100),0)</f>
        <v/>
      </c>
      <c r="U37">
        <f>INDEX(FactorTable!$B$2:$Y$301, MATCH(ROUND(MIN(300,MAX(1,U36)),0), FactorTable!$A$2:$A$301,0), 24)</f>
        <v/>
      </c>
      <c r="V37">
        <f>IF(C37,(H37*N37*IF(AND(Inputs!$B$39&lt;&gt;"pvp",Inputs!$B$44&gt;0),((Skills!G3*((R37-1)*IF(Skills!H3&gt;0,Skills!I3/Skills!H3,1)+IF(Skills!H3&gt;0,MIN(Skills!I3,MAX(0,MAX(0,Inputs!$B$44-B79)-((R37-1)*IF(Inputs!$B$39="pvp",15,MAX(0.1,Skills!D3-IF(Skills!E3=TRUE,Inputs!$B$32,0))))))/Skills!H3,1)))/Inputs!$B$44),G37*Q37))*IF(Inputs!$B$39="pvp",1,(1+(Inputs!$B$21+Skills!Q3+B75)/100)*(MIN(Skills!W3,Inputs!$B$37))),0)</f>
        <v/>
      </c>
    </row>
    <row r="38">
      <c r="A38">
        <f>Skills!A4</f>
        <v/>
      </c>
      <c r="B38">
        <f>Skills!B4</f>
        <v/>
      </c>
      <c r="C38">
        <f>Inputs!$B$3&gt;=40</f>
        <v/>
      </c>
      <c r="D38">
        <f>IF(Skills!C4=1,60+Inputs!$B$25+Inputs!$B$29,IF(Skills!C4=2,90+Inputs!$B$26+Inputs!$B$29,IF(Skills!C4=3,120+Inputs!$B$27+Inputs!$B$29,MAX(0,(Inputs!$B$3-100)*3)+Inputs!$B$28+Inputs!$B$29)))</f>
        <v/>
      </c>
      <c r="E38">
        <f>INDEX(FactorTable!$B$2:$Y$301, MATCH(ROUND(MIN(300,MAX(1,D38)),0), FactorTable!$A$2:$A$301,0), Skills!M4+1)</f>
        <v/>
      </c>
      <c r="F38">
        <f>IF(Skills!N4=TRUE,(Skills!L4/10)*(E38/1000),Skills!L4/10)+Skills!O4</f>
        <v/>
      </c>
      <c r="G38">
        <f>Calc!G4</f>
        <v/>
      </c>
      <c r="H38">
        <f>Calc!H4</f>
        <v/>
      </c>
      <c r="I38">
        <f>IF(Skills!AA4&lt;&gt;"",1+(Skills!AA4/10)*(U37/1000)/100,1)</f>
        <v/>
      </c>
      <c r="J38">
        <f>((Inputs!$B$6*(1+Inputs!$B$7/100))+((((Inputs!$B$12+1)*(1+Inputs!$B$13/100))-(Inputs!$B$12*(1+Inputs!$B$13/100)))+0.25*(Inputs!$B$14-Inputs!$B$14))*(1+Inputs!$B$7/100))*(F38/100)</f>
        <v/>
      </c>
      <c r="K38">
        <f>J38*(1+(((Inputs!$B$12+1)*(1+Inputs!$B$13/100))*0.01+Inputs!$B$14*0.0025)/100)*(1+Inputs!$B$15/100)*(1+Inputs!$B$16/100)*(5000/(6000+Inputs!$B$43*(1-Inputs!$B$19/100)))*(1+(Inputs!$B$24+((C64=TRUE)*(F64-Calc!F30)))/100)*(1+Skills!R4/100)*(1+(IF(Skills!A4="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38)</f>
        <v/>
      </c>
      <c r="L38">
        <f>K38*(MIN(Inputs!$B$22+((C58=TRUE)*(F58-Calc!F24)),Inputs!$B$23)/100+Inputs!$B$23/100)/2</f>
        <v/>
      </c>
      <c r="M38">
        <f>L38*(1+(Inputs!$B$10+((C60=TRUE)*(F60-Calc!F26))+B77)/100)</f>
        <v/>
      </c>
      <c r="N38">
        <f>L38*(1-MIN((Inputs!$B$9+((C59=TRUE)*(F59-Calc!F25))+B74),100)/100)+M38*(MIN((Inputs!$B$9+((C59=TRUE)*(F59-Calc!F25))+B74),100)/100)</f>
        <v/>
      </c>
      <c r="O38">
        <f>(1-Summary!$B$55)*T38+Summary!$B$55*V38</f>
        <v/>
      </c>
      <c r="P38">
        <f>IF(B78=0,0,O38/B78)</f>
        <v/>
      </c>
      <c r="Q38">
        <f>IFERROR(1/IF(Inputs!$B$39="pvp",15,MAX(0.1,Skills!D4-IF(Skills!E4=TRUE,Inputs!$B$32,0))),0)</f>
        <v/>
      </c>
      <c r="R38">
        <f>IF(AND(Inputs!$B$39&lt;&gt;"pvp",Inputs!$B$44&gt;0),IF(MAX(0,Inputs!$B$44-B79)&lt;=0,0,(INT(MAX(0,Inputs!$B$44-B79)/IF(Inputs!$B$39="pvp",15,MAX(0.1,Skills!D4-IF(Skills!E4=TRUE,Inputs!$B$32,0))))+1)),0)</f>
        <v/>
      </c>
      <c r="S38">
        <f>IFERROR(O38/N38,0)</f>
        <v/>
      </c>
      <c r="T38">
        <f>IF(C38,(H38*N38*IF(AND(Inputs!$B$39&lt;&gt;"pvp",Inputs!$B$44&gt;0),((Skills!G4*((R38-1)*IF(Skills!H4&gt;0,Skills!I4/Skills!H4,1)+IF(Skills!H4&gt;0,MIN(Skills!I4,MAX(0,MAX(0,Inputs!$B$44-B79)-((R38-1)*IF(Inputs!$B$39="pvp",15,MAX(0.1,Skills!D4-IF(Skills!E4=TRUE,Inputs!$B$32,0))))))/Skills!H4,1)))/Inputs!$B$44),G38*Q38))*IF(Inputs!$B$39="pvp",1,1+(Inputs!$B$20+((C61=TRUE)*(F61-Calc!F27))+Skills!P4+B75)/100),0)</f>
        <v/>
      </c>
      <c r="U38">
        <f>MAX(0,(Inputs!$B$3-100)*3)+Inputs!$B$28+Inputs!$B$29</f>
        <v/>
      </c>
      <c r="V38">
        <f>IF(C38,(H38*N38*IF(AND(Inputs!$B$39&lt;&gt;"pvp",Inputs!$B$44&gt;0),((Skills!G4*((R38-1)*IF(Skills!H4&gt;0,Skills!I4/Skills!H4,1)+IF(Skills!H4&gt;0,MIN(Skills!I4,MAX(0,MAX(0,Inputs!$B$44-B79)-((R38-1)*IF(Inputs!$B$39="pvp",15,MAX(0.1,Skills!D4-IF(Skills!E4=TRUE,Inputs!$B$32,0))))))/Skills!H4,1)))/Inputs!$B$44),G38*Q38))*IF(Inputs!$B$39="pvp",1,(1+(Inputs!$B$21+Skills!Q4+B75)/100)*(MIN(Skills!W4,Inputs!$B$37))),0)</f>
        <v/>
      </c>
    </row>
    <row r="39">
      <c r="A39">
        <f>Skills!A5</f>
        <v/>
      </c>
      <c r="B39">
        <f>Skills!B5</f>
        <v/>
      </c>
      <c r="C39">
        <f>Inputs!$B$3&gt;=63</f>
        <v/>
      </c>
      <c r="D39">
        <f>IF(Skills!C5=1,60+Inputs!$B$25+Inputs!$B$29,IF(Skills!C5=2,90+Inputs!$B$26+Inputs!$B$29,IF(Skills!C5=3,120+Inputs!$B$27+Inputs!$B$29,MAX(0,(Inputs!$B$3-100)*3)+Inputs!$B$28+Inputs!$B$29)))</f>
        <v/>
      </c>
      <c r="E39">
        <f>INDEX(FactorTable!$B$2:$Y$301, MATCH(ROUND(MIN(300,MAX(1,D39)),0), FactorTable!$A$2:$A$301,0), Skills!M5+1)</f>
        <v/>
      </c>
      <c r="F39">
        <f>IF(Skills!N5=TRUE,(Skills!L5/10)*(E39/1000),Skills!L5/10)+Skills!O5</f>
        <v/>
      </c>
      <c r="G39">
        <f>Calc!G5</f>
        <v/>
      </c>
      <c r="H39">
        <f>Calc!H5</f>
        <v/>
      </c>
      <c r="I39">
        <f>IF(Skills!AA5&lt;&gt;"",1+(Skills!AA5/10)*(U37/1000)/100,1)</f>
        <v/>
      </c>
      <c r="J39">
        <f>((Inputs!$B$6*(1+Inputs!$B$7/100))+((((Inputs!$B$12+1)*(1+Inputs!$B$13/100))-(Inputs!$B$12*(1+Inputs!$B$13/100)))+0.25*(Inputs!$B$14-Inputs!$B$14))*(1+Inputs!$B$7/100))*(F39/100)</f>
        <v/>
      </c>
      <c r="K39">
        <f>J39*(1+(((Inputs!$B$12+1)*(1+Inputs!$B$13/100))*0.01+Inputs!$B$14*0.0025)/100)*(1+Inputs!$B$15/100)*(1+Inputs!$B$16/100)*(5000/(6000+Inputs!$B$43*(1-Inputs!$B$19/100)))*(1+(Inputs!$B$24+((C64=TRUE)*(F64-Calc!F30)))/100)*(1+Skills!R5/100)*(1+(IF(Skills!A5="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39)</f>
        <v/>
      </c>
      <c r="L39">
        <f>K39*(MIN(Inputs!$B$22+((C58=TRUE)*(F58-Calc!F24)),Inputs!$B$23)/100+Inputs!$B$23/100)/2</f>
        <v/>
      </c>
      <c r="M39">
        <f>L39*(1+(Inputs!$B$10+((C60=TRUE)*(F60-Calc!F26))+B77)/100)</f>
        <v/>
      </c>
      <c r="N39">
        <f>L39*(1-MIN((Inputs!$B$9+((C59=TRUE)*(F59-Calc!F25))+B74),100)/100)+M39*(MIN((Inputs!$B$9+((C59=TRUE)*(F59-Calc!F25))+B74),100)/100)</f>
        <v/>
      </c>
      <c r="O39">
        <f>(1-Summary!$B$55)*T39+Summary!$B$55*V39</f>
        <v/>
      </c>
      <c r="P39">
        <f>IF(B78=0,0,O39/B78)</f>
        <v/>
      </c>
      <c r="Q39">
        <f>IFERROR(1/IF(Inputs!$B$39="pvp",15,MAX(0.1,Skills!D5-IF(Skills!E5=TRUE,Inputs!$B$32,0))),0)</f>
        <v/>
      </c>
      <c r="R39">
        <f>IF(AND(Inputs!$B$39&lt;&gt;"pvp",Inputs!$B$44&gt;0),IF(MAX(0,Inputs!$B$44-B79)&lt;=0,0,(INT(MAX(0,Inputs!$B$44-B79)/IF(Inputs!$B$39="pvp",15,MAX(0.1,Skills!D5-IF(Skills!E5=TRUE,Inputs!$B$32,0))))+1)),0)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$39="pvp",15,MAX(0.1,Skills!D5-IF(Skills!E5=TRUE,Inputs!$B$32,0))))))/Skills!H5,1)))/Inputs!$B$44),G39*Q39))*IF(Inputs!$B$39="pvp",1,1+(Inputs!$B$20+((C61=TRUE)*(F61-Calc!F27))+Skills!P5+B75)/100),0)</f>
        <v/>
      </c>
      <c r="U39">
        <f>INDEX(FactorTable!$B$2:$Y$301, MATCH(ROUND(MIN(300,MAX(1,U38)),0), FactorTable!$A$2:$A$301,0), 22)</f>
        <v/>
      </c>
      <c r="V39">
        <f>IF(C39,(H39*N39*IF(AND(Inputs!$B$39&lt;&gt;"pvp",Inputs!$B$44&gt;0),((Skills!G5*((R39-1)*IF(Skills!H5&gt;0,Skills!I5/Skills!H5,1)+IF(Skills!H5&gt;0,MIN(Skills!I5,MAX(0,MAX(0,Inputs!$B$44-B79)-((R39-1)*IF(Inputs!$B$39="pvp",15,MAX(0.1,Skills!D5-IF(Skills!E5=TRUE,Inputs!$B$32,0))))))/Skills!H5,1)))/Inputs!$B$44),G39*Q39))*IF(Inputs!$B$39="pvp",1,(1+(Inputs!$B$21+Skills!Q5+B75)/100)*(MIN(Skills!W5,Inputs!$B$37))),0)</f>
        <v/>
      </c>
    </row>
    <row r="40">
      <c r="A40">
        <f>Skills!A6</f>
        <v/>
      </c>
      <c r="B40">
        <f>Skills!B6</f>
        <v/>
      </c>
      <c r="C40">
        <f>Inputs!$B$3&gt;=66</f>
        <v/>
      </c>
      <c r="D40">
        <f>IF(Skills!C6=1,60+Inputs!$B$25+Inputs!$B$29,IF(Skills!C6=2,90+Inputs!$B$26+Inputs!$B$29,IF(Skills!C6=3,120+Inputs!$B$27+Inputs!$B$29,MAX(0,(Inputs!$B$3-100)*3)+Inputs!$B$28+Inputs!$B$29)))</f>
        <v/>
      </c>
      <c r="E40">
        <f>INDEX(FactorTable!$B$2:$Y$301, MATCH(ROUND(MIN(300,MAX(1,D40)),0), FactorTable!$A$2:$A$301,0), Skills!M6+1)</f>
        <v/>
      </c>
      <c r="F40">
        <f>IF(Skills!N6=TRUE,(Skills!L6/10)*(E40/1000),Skills!L6/10)+Skills!O6</f>
        <v/>
      </c>
      <c r="G40">
        <f>Calc!G6</f>
        <v/>
      </c>
      <c r="H40">
        <f>Calc!H6</f>
        <v/>
      </c>
      <c r="I40">
        <f>IF(Skills!AA6&lt;&gt;"",1+(Skills!AA6/10)*(U37/1000)/100,1)</f>
        <v/>
      </c>
      <c r="J40" t="inlineStr"/>
      <c r="K40" t="inlineStr"/>
      <c r="L40" t="inlineStr"/>
      <c r="M40" t="inlineStr"/>
      <c r="N40" t="inlineStr"/>
      <c r="O40">
        <f>(1-Summary!$B$55)*T40+Summary!$B$55*V40</f>
        <v/>
      </c>
      <c r="P40">
        <f>IF(B78=0,0,O40/B78)</f>
        <v/>
      </c>
      <c r="Q40" t="n">
        <v>0</v>
      </c>
      <c r="R40" t="n">
        <v>0</v>
      </c>
      <c r="S40">
        <f>IFERROR(O40/N40,0)</f>
        <v/>
      </c>
      <c r="T40" t="n">
        <v>0</v>
      </c>
      <c r="U40">
        <f>290*U39/1000</f>
        <v/>
      </c>
      <c r="V40" t="n">
        <v>0</v>
      </c>
    </row>
    <row r="41">
      <c r="A41">
        <f>Skills!A7</f>
        <v/>
      </c>
      <c r="B41">
        <f>Skills!B7</f>
        <v/>
      </c>
      <c r="C41">
        <f>Inputs!$B$3&gt;=66</f>
        <v/>
      </c>
      <c r="D41">
        <f>IF(Skills!C7=1,60+Inputs!$B$25+Inputs!$B$29,IF(Skills!C7=2,90+Inputs!$B$26+Inputs!$B$29,IF(Skills!C7=3,120+Inputs!$B$27+Inputs!$B$29,MAX(0,(Inputs!$B$3-100)*3)+Inputs!$B$28+Inputs!$B$29)))</f>
        <v/>
      </c>
      <c r="E41">
        <f>INDEX(FactorTable!$B$2:$Y$301, MATCH(ROUND(MIN(300,MAX(1,D41)),0), FactorTable!$A$2:$A$301,0), Skills!M7+1)</f>
        <v/>
      </c>
      <c r="F41">
        <f>IF(Skills!N7=TRUE,(Skills!L7/10)*(E41/1000),Skills!L7/10)+Skills!O7</f>
        <v/>
      </c>
      <c r="G41">
        <f>Calc!G7</f>
        <v/>
      </c>
      <c r="H41">
        <f>Calc!H7</f>
        <v/>
      </c>
      <c r="I41">
        <f>IF(Skills!AA7&lt;&gt;"",1+(Skills!AA7/10)*(U37/1000)/100,1)</f>
        <v/>
      </c>
      <c r="J41" t="inlineStr"/>
      <c r="K41" t="inlineStr"/>
      <c r="L41" t="inlineStr"/>
      <c r="M41" t="inlineStr"/>
      <c r="N41" t="inlineStr"/>
      <c r="O41">
        <f>(1-Summary!$B$55)*T41+Summary!$B$55*V41</f>
        <v/>
      </c>
      <c r="P41">
        <f>IF(B78=0,0,O41/B78)</f>
        <v/>
      </c>
      <c r="Q41" t="n">
        <v>0</v>
      </c>
      <c r="R41" t="n">
        <v>0</v>
      </c>
      <c r="S41">
        <f>IFERROR(O41/N41,0)</f>
        <v/>
      </c>
      <c r="T41" t="n">
        <v>0</v>
      </c>
      <c r="V41" t="n">
        <v>0</v>
      </c>
    </row>
    <row r="42">
      <c r="A42">
        <f>Skills!A8</f>
        <v/>
      </c>
      <c r="B42">
        <f>Skills!B8</f>
        <v/>
      </c>
      <c r="C42">
        <f>Inputs!$B$3&gt;=69</f>
        <v/>
      </c>
      <c r="D42">
        <f>IF(Skills!C8=1,60+Inputs!$B$25+Inputs!$B$29,IF(Skills!C8=2,90+Inputs!$B$26+Inputs!$B$29,IF(Skills!C8=3,120+Inputs!$B$27+Inputs!$B$29,MAX(0,(Inputs!$B$3-100)*3)+Inputs!$B$28+Inputs!$B$29)))</f>
        <v/>
      </c>
      <c r="E42">
        <f>INDEX(FactorTable!$B$2:$Y$301, MATCH(ROUND(MIN(300,MAX(1,D42)),0), FactorTable!$A$2:$A$301,0), Skills!M8+1)</f>
        <v/>
      </c>
      <c r="F42">
        <f>IF(Skills!N8=TRUE,(Skills!L8/10)*(E42/1000),Skills!L8/10)+Skills!O8</f>
        <v/>
      </c>
      <c r="G42">
        <f>Calc!G8</f>
        <v/>
      </c>
      <c r="H42">
        <f>Calc!H8</f>
        <v/>
      </c>
      <c r="I42">
        <f>IF(Skills!AA8&lt;&gt;"",1+(Skills!AA8/10)*(U37/1000)/100,1)</f>
        <v/>
      </c>
      <c r="J42">
        <f>((Inputs!$B$6*(1+Inputs!$B$7/100))+((((Inputs!$B$12+1)*(1+Inputs!$B$13/100))-(Inputs!$B$12*(1+Inputs!$B$13/100)))+0.25*(Inputs!$B$14-Inputs!$B$14))*(1+Inputs!$B$7/100))*(F42/100)</f>
        <v/>
      </c>
      <c r="K42">
        <f>J42*(1+(((Inputs!$B$12+1)*(1+Inputs!$B$13/100))*0.01+Inputs!$B$14*0.0025)/100)*(1+Inputs!$B$15/100)*(1+Inputs!$B$16/100)*(5000/(6000+Inputs!$B$43*(1-Inputs!$B$19/100)))*(1+(Inputs!$B$24+((C64=TRUE)*(F64-Calc!F30)))/100)*(1+Skills!R8/100)*(1+(IF(Skills!A8="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42)</f>
        <v/>
      </c>
      <c r="L42">
        <f>K42*(MIN(Inputs!$B$22+((C58=TRUE)*(F58-Calc!F24)),Inputs!$B$23)/100+Inputs!$B$23/100)/2</f>
        <v/>
      </c>
      <c r="M42">
        <f>L42*(1+(Inputs!$B$10+((C60=TRUE)*(F60-Calc!F26))+B77)/100)</f>
        <v/>
      </c>
      <c r="N42">
        <f>L42*(1-MIN((Inputs!$B$9+((C59=TRUE)*(F59-Calc!F25))+B74),100)/100)+M42*(MIN((Inputs!$B$9+((C59=TRUE)*(F59-Calc!F25))+B74),100)/100)</f>
        <v/>
      </c>
      <c r="O42">
        <f>(1-Summary!$B$55)*T42+Summary!$B$55*V42</f>
        <v/>
      </c>
      <c r="P42">
        <f>IF(B78=0,0,O42/B78)</f>
        <v/>
      </c>
      <c r="Q42">
        <f>IFERROR(1/IF(Inputs!$B$39="pvp",15,MAX(0.1,Skills!D8-IF(Skills!E8=TRUE,Inputs!$B$32,0))),0)</f>
        <v/>
      </c>
      <c r="R42">
        <f>IF(AND(Inputs!$B$39&lt;&gt;"pvp",Inputs!$B$44&gt;0),IF(MAX(0,Inputs!$B$44-B79)&lt;=0,0,(INT(MAX(0,Inputs!$B$44-B79)/IF(Inputs!$B$39="pvp",15,MAX(0.1,Skills!D8-IF(Skills!E8=TRUE,Inputs!$B$32,0))))+1)),0)</f>
        <v/>
      </c>
      <c r="S42">
        <f>IFERROR(O42/N42,0)</f>
        <v/>
      </c>
      <c r="T42">
        <f>IF(C42,(H42*N42*IF(AND(Inputs!$B$39&lt;&gt;"pvp",Inputs!$B$44&gt;0),((Skills!G8*((R42-1)*IF(Skills!H8&gt;0,Skills!I8/Skills!H8,1)+IF(Skills!H8&gt;0,MIN(Skills!I8,MAX(0,MAX(0,Inputs!$B$44-B79)-((R42-1)*IF(Inputs!$B$39="pvp",15,MAX(0.1,Skills!D8-IF(Skills!E8=TRUE,Inputs!$B$32,0))))))/Skills!H8,1)))/Inputs!$B$44),G42*Q42))*IF(Inputs!$B$39="pvp",1,1+(Inputs!$B$20+((C61=TRUE)*(F61-Calc!F27))+Skills!P8+B75)/100),0)</f>
        <v/>
      </c>
      <c r="V42">
        <f>IF(C42,(H42*N42*IF(AND(Inputs!$B$39&lt;&gt;"pvp",Inputs!$B$44&gt;0),((Skills!G8*((R42-1)*IF(Skills!H8&gt;0,Skills!I8/Skills!H8,1)+IF(Skills!H8&gt;0,MIN(Skills!I8,MAX(0,MAX(0,Inputs!$B$44-B79)-((R42-1)*IF(Inputs!$B$39="pvp",15,MAX(0.1,Skills!D8-IF(Skills!E8=TRUE,Inputs!$B$32,0))))))/Skills!H8,1)))/Inputs!$B$44),G42*Q42))*IF(Inputs!$B$39="pvp",1,(1+(Inputs!$B$21+Skills!Q8+B75)/100)*(MIN(Skills!W8,Inputs!$B$37))),0)</f>
        <v/>
      </c>
    </row>
    <row r="43">
      <c r="A43">
        <f>Skills!A9</f>
        <v/>
      </c>
      <c r="B43">
        <f>Skills!B9</f>
        <v/>
      </c>
      <c r="C43">
        <f>Inputs!$B$3&gt;=72</f>
        <v/>
      </c>
      <c r="D43">
        <f>IF(Skills!C9=1,60+Inputs!$B$25+Inputs!$B$29,IF(Skills!C9=2,90+Inputs!$B$26+Inputs!$B$29,IF(Skills!C9=3,120+Inputs!$B$27+Inputs!$B$29,MAX(0,(Inputs!$B$3-100)*3)+Inputs!$B$28+Inputs!$B$29)))</f>
        <v/>
      </c>
      <c r="E43">
        <f>INDEX(FactorTable!$B$2:$Y$301, MATCH(ROUND(MIN(300,MAX(1,D43)),0), FactorTable!$A$2:$A$301,0), Skills!M9+1)</f>
        <v/>
      </c>
      <c r="F43">
        <f>IF(Skills!N9=TRUE,(Skills!L9/10)*(E43/1000),Skills!L9/10)+Skills!O9</f>
        <v/>
      </c>
      <c r="G43">
        <f>Calc!G9</f>
        <v/>
      </c>
      <c r="H43">
        <f>Calc!H9</f>
        <v/>
      </c>
      <c r="I43">
        <f>IF(Skills!AA9&lt;&gt;"",1+(Skills!AA9/10)*(U37/1000)/100,1)</f>
        <v/>
      </c>
      <c r="J43">
        <f>((Inputs!$B$6*(1+Inputs!$B$7/100))+((((Inputs!$B$12+1)*(1+Inputs!$B$13/100))-(Inputs!$B$12*(1+Inputs!$B$13/100)))+0.25*(Inputs!$B$14-Inputs!$B$14))*(1+Inputs!$B$7/100))*(F43/100)</f>
        <v/>
      </c>
      <c r="K43">
        <f>J43*(1+(((Inputs!$B$12+1)*(1+Inputs!$B$13/100))*0.01+Inputs!$B$14*0.0025)/100)*(1+Inputs!$B$15/100)*(1+Inputs!$B$16/100)*(5000/(6000+Inputs!$B$43*(1-Inputs!$B$19/100)))*(1+(Inputs!$B$24+((C64=TRUE)*(F64-Calc!F30)))/100)*(1+Skills!R9/100)*(1+(IF(Skills!A9="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43)</f>
        <v/>
      </c>
      <c r="L43">
        <f>K43*(MIN(Inputs!$B$22+((C58=TRUE)*(F58-Calc!F24)),Inputs!$B$23)/100+Inputs!$B$23/100)/2</f>
        <v/>
      </c>
      <c r="M43">
        <f>L43*(1+(Inputs!$B$10+((C60=TRUE)*(F60-Calc!F26))+B77)/100)</f>
        <v/>
      </c>
      <c r="N43">
        <f>L43*(1-MIN((Inputs!$B$9+((C59=TRUE)*(F59-Calc!F25))+B74),100)/100)+M43*(MIN((Inputs!$B$9+((C59=TRUE)*(F59-Calc!F25))+B74),100)/100)</f>
        <v/>
      </c>
      <c r="O43">
        <f>(1-Summary!$B$55)*T43+Summary!$B$55*V43</f>
        <v/>
      </c>
      <c r="P43">
        <f>IF(B78=0,0,O43/B78)</f>
        <v/>
      </c>
      <c r="Q43">
        <f>IFERROR(1/IF(Inputs!$B$39="pvp",15,MAX(0.1,Skills!D9-IF(Skills!E9=TRUE,Inputs!$B$32,0))),0)</f>
        <v/>
      </c>
      <c r="R43">
        <f>IF(AND(Inputs!$B$39&lt;&gt;"pvp",Inputs!$B$44&gt;0),IF(MAX(0,Inputs!$B$44-B79)&lt;=0,0,(INT(MAX(0,Inputs!$B$44-B79)/IF(Inputs!$B$39="pvp",15,MAX(0.1,Skills!D9-IF(Skills!E9=TRUE,Inputs!$B$32,0))))+1)),0)</f>
        <v/>
      </c>
      <c r="S43">
        <f>IFERROR(O43/N43,0)</f>
        <v/>
      </c>
      <c r="T43">
        <f>IF(C43,(H43*N43*IF(AND(Inputs!$B$39&lt;&gt;"pvp",Inputs!$B$44&gt;0),((Skills!G9*((R43-1)*IF(Skills!H9&gt;0,Skills!I9/Skills!H9,1)+IF(Skills!H9&gt;0,MIN(Skills!I9,MAX(0,MAX(0,Inputs!$B$44-B79)-((R43-1)*IF(Inputs!$B$39="pvp",15,MAX(0.1,Skills!D9-IF(Skills!E9=TRUE,Inputs!$B$32,0))))))/Skills!H9,1)))/Inputs!$B$44),G43*Q43))*IF(Inputs!$B$39="pvp",1,1+(Inputs!$B$20+((C61=TRUE)*(F61-Calc!F27))+Skills!P9+B75)/100),0)</f>
        <v/>
      </c>
      <c r="V43">
        <f>IF(C43,(H43*N43*IF(AND(Inputs!$B$39&lt;&gt;"pvp",Inputs!$B$44&gt;0),((Skills!G9*((R43-1)*IF(Skills!H9&gt;0,Skills!I9/Skills!H9,1)+IF(Skills!H9&gt;0,MIN(Skills!I9,MAX(0,MAX(0,Inputs!$B$44-B79)-((R43-1)*IF(Inputs!$B$39="pvp",15,MAX(0.1,Skills!D9-IF(Skills!E9=TRUE,Inputs!$B$32,0))))))/Skills!H9,1)))/Inputs!$B$44),G43*Q43))*IF(Inputs!$B$39="pvp",1,(1+(Inputs!$B$21+Skills!Q9+B75)/100)*(MIN(Skills!W9,Inputs!$B$37))),0)</f>
        <v/>
      </c>
    </row>
    <row r="44">
      <c r="A44">
        <f>Skills!A10</f>
        <v/>
      </c>
      <c r="B44">
        <f>Skills!B10</f>
        <v/>
      </c>
      <c r="C44">
        <f>Inputs!$B$3&gt;=117</f>
        <v/>
      </c>
      <c r="D44">
        <f>IF(Skills!C10=1,60+Inputs!$B$25+Inputs!$B$29,IF(Skills!C10=2,90+Inputs!$B$26+Inputs!$B$29,IF(Skills!C10=3,120+Inputs!$B$27+Inputs!$B$29,MAX(0,(Inputs!$B$3-100)*3)+Inputs!$B$28+Inputs!$B$29)))</f>
        <v/>
      </c>
      <c r="E44">
        <f>INDEX(FactorTable!$B$2:$Y$301, MATCH(ROUND(MIN(300,MAX(1,D44)),0), FactorTable!$A$2:$A$301,0), Skills!M10+1)</f>
        <v/>
      </c>
      <c r="F44">
        <f>IF(Skills!N10=TRUE,(Skills!L10/10)*(E44/1000),Skills!L10/10)+Skills!O10</f>
        <v/>
      </c>
      <c r="G44">
        <f>Calc!G10</f>
        <v/>
      </c>
      <c r="H44">
        <f>Calc!H10</f>
        <v/>
      </c>
      <c r="I44">
        <f>IF(Skills!AA10&lt;&gt;"",1+(Skills!AA10/10)*(U37/1000)/100,1)</f>
        <v/>
      </c>
      <c r="J44">
        <f>((Inputs!$B$6*(1+Inputs!$B$7/100))+((((Inputs!$B$12+1)*(1+Inputs!$B$13/100))-(Inputs!$B$12*(1+Inputs!$B$13/100)))+0.25*(Inputs!$B$14-Inputs!$B$14))*(1+Inputs!$B$7/100))*(F44/100)</f>
        <v/>
      </c>
      <c r="K44">
        <f>J44*(1+(((Inputs!$B$12+1)*(1+Inputs!$B$13/100))*0.01+Inputs!$B$14*0.0025)/100)*(1+Inputs!$B$15/100)*(1+Inputs!$B$16/100)*(5000/(6000+Inputs!$B$43*(1-Inputs!$B$19/100)))*(1+(Inputs!$B$24+((C64=TRUE)*(F64-Calc!F30)))/100)*(1+Skills!R10/100)*(1+(IF(Skills!A10="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44)</f>
        <v/>
      </c>
      <c r="L44">
        <f>K44*(MIN(Inputs!$B$22+((C58=TRUE)*(F58-Calc!F24)),Inputs!$B$23)/100+Inputs!$B$23/100)/2</f>
        <v/>
      </c>
      <c r="M44">
        <f>L44*(1+(Inputs!$B$10+((C60=TRUE)*(F60-Calc!F26))+B77)/100)</f>
        <v/>
      </c>
      <c r="N44">
        <f>L44*(1-MIN((Inputs!$B$9+((C59=TRUE)*(F59-Calc!F25))+B74),100)/100)+M44*(MIN((Inputs!$B$9+((C59=TRUE)*(F59-Calc!F25))+B74),100)/100)</f>
        <v/>
      </c>
      <c r="O44">
        <f>(1-Summary!$B$55)*T44+Summary!$B$55*V44</f>
        <v/>
      </c>
      <c r="P44">
        <f>IF(B78=0,0,O44/B78)</f>
        <v/>
      </c>
      <c r="Q44" t="n">
        <v>0</v>
      </c>
      <c r="R44" t="n">
        <v>0</v>
      </c>
      <c r="S44" t="n">
        <v>0</v>
      </c>
      <c r="T44">
        <f>IF(C44,(0.2*SUMPRODUCT((Skills!Z2:Z31=TRUE)*(C36:C65=TRUE)*S36:S65)*N44)*IF(Inputs!$B$39="pvp",1,1+(Inputs!$B$20+((C61=TRUE)*(F61-Calc!F27))+Skills!P10+B75)/100),0)</f>
        <v/>
      </c>
      <c r="V44">
        <f>IF(C44,(0.2*SUMPRODUCT((Skills!Z2:Z31=TRUE)*(C36:C65=TRUE)*S36:S65)*N44)*IF(Inputs!$B$39="pvp",1,(1+(Inputs!$B$21+Skills!Q10+B75)/100)*(MIN(Skills!W10,Inputs!$B$37))),0)</f>
        <v/>
      </c>
    </row>
    <row r="45">
      <c r="A45">
        <f>Skills!A11</f>
        <v/>
      </c>
      <c r="B45">
        <f>Skills!B11</f>
        <v/>
      </c>
      <c r="C45">
        <f>Inputs!$B$3&gt;=60</f>
        <v/>
      </c>
      <c r="D45">
        <f>IF(Skills!C11=1,60+Inputs!$B$25+Inputs!$B$29,IF(Skills!C11=2,90+Inputs!$B$26+Inputs!$B$29,IF(Skills!C11=3,120+Inputs!$B$27+Inputs!$B$29,MAX(0,(Inputs!$B$3-100)*3)+Inputs!$B$28+Inputs!$B$29)))</f>
        <v/>
      </c>
      <c r="E45">
        <f>INDEX(FactorTable!$B$2:$Y$301, MATCH(ROUND(MIN(300,MAX(1,D45)),0), FactorTable!$A$2:$A$301,0), Skills!M11+1)</f>
        <v/>
      </c>
      <c r="F45">
        <f>IF(Skills!N11=TRUE,(Skills!L11/10)*(E45/1000),Skills!L11/10)+Skills!O11</f>
        <v/>
      </c>
      <c r="G45">
        <f>Calc!G11</f>
        <v/>
      </c>
      <c r="H45">
        <f>Calc!H11</f>
        <v/>
      </c>
      <c r="I45">
        <f>IF(Skills!AA11&lt;&gt;"",1+(Skills!AA11/10)*(U37/1000)/100,1)</f>
        <v/>
      </c>
      <c r="J45" t="inlineStr"/>
      <c r="K45" t="inlineStr"/>
      <c r="L45" t="inlineStr"/>
      <c r="M45" t="inlineStr"/>
      <c r="N45" t="inlineStr"/>
      <c r="O45">
        <f>(1-Summary!$B$55)*T45+Summary!$B$55*V45</f>
        <v/>
      </c>
      <c r="P45">
        <f>IF(B78=0,0,O45/B78)</f>
        <v/>
      </c>
      <c r="Q45" t="n">
        <v>0</v>
      </c>
      <c r="R45" t="n">
        <v>0</v>
      </c>
      <c r="S45">
        <f>IFERROR(O45/N45,0)</f>
        <v/>
      </c>
      <c r="T45" t="n">
        <v>0</v>
      </c>
      <c r="V45" t="n">
        <v>0</v>
      </c>
    </row>
    <row r="46">
      <c r="A46">
        <f>Skills!A12</f>
        <v/>
      </c>
      <c r="B46">
        <f>Skills!B12</f>
        <v/>
      </c>
      <c r="C46">
        <f>Inputs!$B$3&gt;=103</f>
        <v/>
      </c>
      <c r="D46">
        <f>IF(Skills!C12=1,60+Inputs!$B$25+Inputs!$B$29,IF(Skills!C12=2,90+Inputs!$B$26+Inputs!$B$29,IF(Skills!C12=3,120+Inputs!$B$27+Inputs!$B$29,MAX(0,(Inputs!$B$3-100)*3)+Inputs!$B$28+Inputs!$B$29)))</f>
        <v/>
      </c>
      <c r="E46">
        <f>INDEX(FactorTable!$B$2:$Y$301, MATCH(ROUND(MIN(300,MAX(1,D46)),0), FactorTable!$A$2:$A$301,0), Skills!M12+1)</f>
        <v/>
      </c>
      <c r="F46">
        <f>IF(Skills!N12=TRUE,(Skills!L12/10)*(E46/1000),Skills!L12/10)+Skills!O12</f>
        <v/>
      </c>
      <c r="G46">
        <f>Calc!G12</f>
        <v/>
      </c>
      <c r="H46">
        <f>Calc!H12</f>
        <v/>
      </c>
      <c r="I46">
        <f>IF(Skills!AA12&lt;&gt;"",1+(Skills!AA12/10)*(U37/1000)/100,1)</f>
        <v/>
      </c>
      <c r="J46">
        <f>((Inputs!$B$6*(1+Inputs!$B$7/100))+((((Inputs!$B$12+1)*(1+Inputs!$B$13/100))-(Inputs!$B$12*(1+Inputs!$B$13/100)))+0.25*(Inputs!$B$14-Inputs!$B$14))*(1+Inputs!$B$7/100))*(F46/100)</f>
        <v/>
      </c>
      <c r="K46">
        <f>J46*(1+(((Inputs!$B$12+1)*(1+Inputs!$B$13/100))*0.01+Inputs!$B$14*0.0025)/100)*(1+Inputs!$B$15/100)*(1+Inputs!$B$16/100)*(5000/(6000+Inputs!$B$43*(1-Inputs!$B$19/100)))*(1+(Inputs!$B$24+((C64=TRUE)*(F64-Calc!F30)))/100)*(1+Skills!R12/100)*(1+(IF(Skills!A12="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46)</f>
        <v/>
      </c>
      <c r="L46">
        <f>K46*(MIN(Inputs!$B$22+((C58=TRUE)*(F58-Calc!F24)),Inputs!$B$23)/100+Inputs!$B$23/100)/2</f>
        <v/>
      </c>
      <c r="M46">
        <f>L46*(1+(Inputs!$B$10+((C60=TRUE)*(F60-Calc!F26))+B77)/100)</f>
        <v/>
      </c>
      <c r="N46">
        <f>L46*(1-MIN((Inputs!$B$9+((C59=TRUE)*(F59-Calc!F25))+B74),100)/100)+M46*(MIN((Inputs!$B$9+((C59=TRUE)*(F59-Calc!F25))+B74),100)/100)</f>
        <v/>
      </c>
      <c r="O46">
        <f>(1-Summary!$B$55)*T46+Summary!$B$55*V46</f>
        <v/>
      </c>
      <c r="P46">
        <f>IF(B78=0,0,O46/B78)</f>
        <v/>
      </c>
      <c r="Q46">
        <f>IFERROR(1/IF(Inputs!$B$39="pvp",15,MAX(0.1,Skills!D12-IF(Skills!E12=TRUE,Inputs!$B$32,0))),0)</f>
        <v/>
      </c>
      <c r="R46">
        <f>IF(AND(Inputs!$B$39&lt;&gt;"pvp",Inputs!$B$44&gt;0),IF(MAX(0,Inputs!$B$44-B79)&lt;=0,0,(INT(MAX(0,Inputs!$B$44-B79)/IF(Inputs!$B$39="pvp",15,MAX(0.1,Skills!D12-IF(Skills!E12=TRUE,Inputs!$B$32,0))))+1)),0)</f>
        <v/>
      </c>
      <c r="S46">
        <f>IFERROR(O46/N46,0)</f>
        <v/>
      </c>
      <c r="T46">
        <f>IF(C46,(H46*N46*IF(AND(Inputs!$B$39&lt;&gt;"pvp",Inputs!$B$44&gt;0),((Skills!G12*((R46-1)*IF(Skills!H12&gt;0,Skills!I12/Skills!H12,1)+IF(Skills!H12&gt;0,MIN(Skills!I12,MAX(0,MAX(0,Inputs!$B$44-B79)-((R46-1)*IF(Inputs!$B$39="pvp",15,MAX(0.1,Skills!D12-IF(Skills!E12=TRUE,Inputs!$B$32,0))))))/Skills!H12,1)))/Inputs!$B$44),G46*Q46))*IF(Inputs!$B$39="pvp",1,1+(Inputs!$B$20+((C61=TRUE)*(F61-Calc!F27))+Skills!P12+B75)/100),0)</f>
        <v/>
      </c>
      <c r="V46">
        <f>IF(C46,(H46*N46*IF(AND(Inputs!$B$39&lt;&gt;"pvp",Inputs!$B$44&gt;0),((Skills!G12*((R46-1)*IF(Skills!H12&gt;0,Skills!I12/Skills!H12,1)+IF(Skills!H12&gt;0,MIN(Skills!I12,MAX(0,MAX(0,Inputs!$B$44-B79)-((R46-1)*IF(Inputs!$B$39="pvp",15,MAX(0.1,Skills!D12-IF(Skills!E12=TRUE,Inputs!$B$32,0))))))/Skills!H12,1)))/Inputs!$B$44),G46*Q46))*IF(Inputs!$B$39="pvp",1,(1+(Inputs!$B$21+Skills!Q12+B75)/100)*(MIN(Skills!W12,Inputs!$B$37))),0)</f>
        <v/>
      </c>
    </row>
    <row r="47">
      <c r="A47">
        <f>Skills!A13</f>
        <v/>
      </c>
      <c r="B47">
        <f>Skills!B13</f>
        <v/>
      </c>
      <c r="C47">
        <f>Inputs!$B$3&gt;=105</f>
        <v/>
      </c>
      <c r="D47">
        <f>IF(Skills!C13=1,60+Inputs!$B$25+Inputs!$B$29,IF(Skills!C13=2,90+Inputs!$B$26+Inputs!$B$29,IF(Skills!C13=3,120+Inputs!$B$27+Inputs!$B$29,MAX(0,(Inputs!$B$3-100)*3)+Inputs!$B$28+Inputs!$B$29)))</f>
        <v/>
      </c>
      <c r="E47">
        <f>INDEX(FactorTable!$B$2:$Y$301, MATCH(ROUND(MIN(300,MAX(1,D47)),0), FactorTable!$A$2:$A$301,0), Skills!M13+1)</f>
        <v/>
      </c>
      <c r="F47">
        <f>IF(Skills!N13=TRUE,(Skills!L13/10)*(E47/1000),Skills!L13/10)+Skills!O13</f>
        <v/>
      </c>
      <c r="G47">
        <f>Calc!G13</f>
        <v/>
      </c>
      <c r="H47">
        <f>Calc!H13</f>
        <v/>
      </c>
      <c r="I47">
        <f>IF(Skills!AA13&lt;&gt;"",1+(Skills!AA13/10)*(U37/1000)/100,1)</f>
        <v/>
      </c>
      <c r="J47">
        <f>((Inputs!$B$6*(1+Inputs!$B$7/100))+((((Inputs!$B$12+1)*(1+Inputs!$B$13/100))-(Inputs!$B$12*(1+Inputs!$B$13/100)))+0.25*(Inputs!$B$14-Inputs!$B$14))*(1+Inputs!$B$7/100))*(F47/100)</f>
        <v/>
      </c>
      <c r="K47">
        <f>J47*(1+(((Inputs!$B$12+1)*(1+Inputs!$B$13/100))*0.01+Inputs!$B$14*0.0025)/100)*(1+Inputs!$B$15/100)*(1+Inputs!$B$16/100)*(5000/(6000+Inputs!$B$43*(1-Inputs!$B$19/100)))*(1+(Inputs!$B$24+((C64=TRUE)*(F64-Calc!F30)))/100)*(1+Skills!R13/100)*(1+(IF(Skills!A13="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47)</f>
        <v/>
      </c>
      <c r="L47">
        <f>K47*(MIN(Inputs!$B$22+((C58=TRUE)*(F58-Calc!F24)),Inputs!$B$23)/100+Inputs!$B$23/100)/2</f>
        <v/>
      </c>
      <c r="M47">
        <f>L47*(1+(Inputs!$B$10+((C60=TRUE)*(F60-Calc!F26))+B77)/100)</f>
        <v/>
      </c>
      <c r="N47">
        <f>L47*(1-MIN((Inputs!$B$9+((C59=TRUE)*(F59-Calc!F25))+B74),100)/100)+M47*(MIN((Inputs!$B$9+((C59=TRUE)*(F59-Calc!F25))+B74),100)/100)</f>
        <v/>
      </c>
      <c r="O47">
        <f>(1-Summary!$B$55)*T47+Summary!$B$55*V47</f>
        <v/>
      </c>
      <c r="P47">
        <f>IF(B78=0,0,O47/B78)</f>
        <v/>
      </c>
      <c r="Q47">
        <f>IFERROR(1/IF(Inputs!$B$39="pvp",15,MAX(0.1,Skills!D13-IF(Skills!E13=TRUE,Inputs!$B$32,0))),0)</f>
        <v/>
      </c>
      <c r="R47">
        <f>IF(AND(Inputs!$B$39&lt;&gt;"pvp",Inputs!$B$44&gt;0),IF(MAX(0,Inputs!$B$44-B79)&lt;=0,0,(INT(MAX(0,Inputs!$B$44-B79)/IF(Inputs!$B$39="pvp",15,MAX(0.1,Skills!D13-IF(Skills!E13=TRUE,Inputs!$B$32,0))))+1)),0)</f>
        <v/>
      </c>
      <c r="S47">
        <f>IFERROR(O47/N47,0)</f>
        <v/>
      </c>
      <c r="T47">
        <f>IF(C47,(H47*N47*IF(AND(Inputs!$B$39&lt;&gt;"pvp",Inputs!$B$44&gt;0),((Skills!G13*((R47-1)*IF(Skills!H13&gt;0,Skills!I13/Skills!H13,1)+IF(Skills!H13&gt;0,MIN(Skills!I13,MAX(0,MAX(0,Inputs!$B$44-B79)-((R47-1)*IF(Inputs!$B$39="pvp",15,MAX(0.1,Skills!D13-IF(Skills!E13=TRUE,Inputs!$B$32,0))))))/Skills!H13,1)))/Inputs!$B$44),G47*Q47))*IF(Inputs!$B$39="pvp",1,1+(Inputs!$B$20+((C61=TRUE)*(F61-Calc!F27))+Skills!P13+B75)/100),0)</f>
        <v/>
      </c>
      <c r="V47">
        <f>IF(C47,(H47*N47*IF(AND(Inputs!$B$39&lt;&gt;"pvp",Inputs!$B$44&gt;0),((Skills!G13*((R47-1)*IF(Skills!H13&gt;0,Skills!I13/Skills!H13,1)+IF(Skills!H13&gt;0,MIN(Skills!I13,MAX(0,MAX(0,Inputs!$B$44-B79)-((R47-1)*IF(Inputs!$B$39="pvp",15,MAX(0.1,Skills!D13-IF(Skills!E13=TRUE,Inputs!$B$32,0))))))/Skills!H13,1)))/Inputs!$B$44),G47*Q47))*IF(Inputs!$B$39="pvp",1,(1+(Inputs!$B$21+Skills!Q13+B75)/100)*(MIN(Skills!W13,Inputs!$B$37))),0)</f>
        <v/>
      </c>
    </row>
    <row r="48">
      <c r="A48">
        <f>Skills!A14</f>
        <v/>
      </c>
      <c r="B48">
        <f>Skills!B14</f>
        <v/>
      </c>
      <c r="C48">
        <f>Inputs!$B$3&gt;=105</f>
        <v/>
      </c>
      <c r="D48">
        <f>IF(Skills!C14=1,60+Inputs!$B$25+Inputs!$B$29,IF(Skills!C14=2,90+Inputs!$B$26+Inputs!$B$29,IF(Skills!C14=3,120+Inputs!$B$27+Inputs!$B$29,MAX(0,(Inputs!$B$3-100)*3)+Inputs!$B$28+Inputs!$B$29)))</f>
        <v/>
      </c>
      <c r="E48">
        <f>INDEX(FactorTable!$B$2:$Y$301, MATCH(ROUND(MIN(300,MAX(1,D48)),0), FactorTable!$A$2:$A$301,0), Skills!M14+1)</f>
        <v/>
      </c>
      <c r="F48">
        <f>IF(Skills!N14=TRUE,(Skills!L14/10)*(E48/1000),Skills!L14/10)+Skills!O14</f>
        <v/>
      </c>
      <c r="G48">
        <f>Calc!G14</f>
        <v/>
      </c>
      <c r="H48">
        <f>Calc!H14</f>
        <v/>
      </c>
      <c r="I48">
        <f>IF(Skills!AA14&lt;&gt;"",1+(Skills!AA14/10)*(U37/1000)/100,1)</f>
        <v/>
      </c>
      <c r="J48">
        <f>((Inputs!$B$6*(1+Inputs!$B$7/100))+((((Inputs!$B$12+1)*(1+Inputs!$B$13/100))-(Inputs!$B$12*(1+Inputs!$B$13/100)))+0.25*(Inputs!$B$14-Inputs!$B$14))*(1+Inputs!$B$7/100))*(F48/100)</f>
        <v/>
      </c>
      <c r="K48">
        <f>J48*(1+(((Inputs!$B$12+1)*(1+Inputs!$B$13/100))*0.01+Inputs!$B$14*0.0025)/100)*(1+Inputs!$B$15/100)*(1+Inputs!$B$16/100)*(5000/(6000+Inputs!$B$43*(1-Inputs!$B$19/100)))*(1+(Inputs!$B$24+((C64=TRUE)*(F64-Calc!F30)))/100)*(1+Skills!R14/100)*(1+(IF(Skills!A14="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48)</f>
        <v/>
      </c>
      <c r="L48">
        <f>K48*(MIN(Inputs!$B$22+((C58=TRUE)*(F58-Calc!F24)),Inputs!$B$23)/100+Inputs!$B$23/100)/2</f>
        <v/>
      </c>
      <c r="M48">
        <f>L48*(1+(Inputs!$B$10+((C60=TRUE)*(F60-Calc!F26))+B77)/100)</f>
        <v/>
      </c>
      <c r="N48">
        <f>L48*(1-MIN((Inputs!$B$9+((C59=TRUE)*(F59-Calc!F25))+B74),100)/100)+M48*(MIN((Inputs!$B$9+((C59=TRUE)*(F59-Calc!F25))+B74),100)/100)</f>
        <v/>
      </c>
      <c r="O48">
        <f>(1-Summary!$B$55)*T48+Summary!$B$55*V48</f>
        <v/>
      </c>
      <c r="P48">
        <f>IF(B78=0,0,O48/B78)</f>
        <v/>
      </c>
      <c r="Q48">
        <f>IFERROR(1/IF(Inputs!$B$39="pvp",15,MAX(0.1,Skills!D14-IF(Skills!E14=TRUE,Inputs!$B$32,0))),0)</f>
        <v/>
      </c>
      <c r="R48">
        <f>IF(AND(Inputs!$B$39&lt;&gt;"pvp",Inputs!$B$44&gt;0),IF(MAX(0,Inputs!$B$44-B79)&lt;=0,0,(INT(MAX(0,Inputs!$B$44-B79)/IF(Inputs!$B$39="pvp",15,MAX(0.1,Skills!D14-IF(Skills!E14=TRUE,Inputs!$B$32,0))))+1)),0)</f>
        <v/>
      </c>
      <c r="S48">
        <f>IFERROR(O48/N48,0)</f>
        <v/>
      </c>
      <c r="T48">
        <f>IF(C48,(H48*N48*IF(AND(Inputs!$B$39&lt;&gt;"pvp",Inputs!$B$44&gt;0),((Skills!G14*((R48-1)*IF(Skills!H14&gt;0,Skills!I14/Skills!H14,1)+IF(Skills!H14&gt;0,MIN(Skills!I14,MAX(0,MAX(0,Inputs!$B$44-B79)-((R48-1)*IF(Inputs!$B$39="pvp",15,MAX(0.1,Skills!D14-IF(Skills!E14=TRUE,Inputs!$B$32,0))))))/Skills!H14,1)))/Inputs!$B$44),G48*Q48))*IF(Inputs!$B$39="pvp",1,1+(Inputs!$B$20+((C61=TRUE)*(F61-Calc!F27))+Skills!P14+B75)/100),0)</f>
        <v/>
      </c>
      <c r="V48">
        <f>IF(C48,(H48*N48*IF(AND(Inputs!$B$39&lt;&gt;"pvp",Inputs!$B$44&gt;0),((Skills!G14*((R48-1)*IF(Skills!H14&gt;0,Skills!I14/Skills!H14,1)+IF(Skills!H14&gt;0,MIN(Skills!I14,MAX(0,MAX(0,Inputs!$B$44-B79)-((R48-1)*IF(Inputs!$B$39="pvp",15,MAX(0.1,Skills!D14-IF(Skills!E14=TRUE,Inputs!$B$32,0))))))/Skills!H14,1)))/Inputs!$B$44),G48*Q48))*IF(Inputs!$B$39="pvp",1,(1+(Inputs!$B$21+Skills!Q14+B75)/100)*(MIN(Skills!W14,Inputs!$B$37))),0)</f>
        <v/>
      </c>
    </row>
    <row r="49">
      <c r="A49">
        <f>Skills!A15</f>
        <v/>
      </c>
      <c r="B49">
        <f>Skills!B15</f>
        <v/>
      </c>
      <c r="C49">
        <f>Inputs!$B$3&gt;=110</f>
        <v/>
      </c>
      <c r="D49">
        <f>IF(Skills!C15=1,60+Inputs!$B$25+Inputs!$B$29,IF(Skills!C15=2,90+Inputs!$B$26+Inputs!$B$29,IF(Skills!C15=3,120+Inputs!$B$27+Inputs!$B$29,MAX(0,(Inputs!$B$3-100)*3)+Inputs!$B$28+Inputs!$B$29)))</f>
        <v/>
      </c>
      <c r="E49">
        <f>INDEX(FactorTable!$B$2:$Y$301, MATCH(ROUND(MIN(300,MAX(1,D49)),0), FactorTable!$A$2:$A$301,0), Skills!M15+1)</f>
        <v/>
      </c>
      <c r="F49">
        <f>IF(Skills!N15=TRUE,(Skills!L15/10)*(E49/1000),Skills!L15/10)+Skills!O15</f>
        <v/>
      </c>
      <c r="G49">
        <f>Calc!G15</f>
        <v/>
      </c>
      <c r="H49">
        <f>Calc!H15</f>
        <v/>
      </c>
      <c r="I49">
        <f>IF(Skills!AA15&lt;&gt;"",1+(Skills!AA15/10)*(U37/1000)/100,1)</f>
        <v/>
      </c>
      <c r="J49" t="inlineStr"/>
      <c r="K49" t="inlineStr"/>
      <c r="L49" t="inlineStr"/>
      <c r="M49" t="inlineStr"/>
      <c r="N49" t="inlineStr"/>
      <c r="O49">
        <f>(1-Summary!$B$55)*T49+Summary!$B$55*V49</f>
        <v/>
      </c>
      <c r="P49">
        <f>IF(B78=0,0,O49/B78)</f>
        <v/>
      </c>
      <c r="Q49">
        <f>IFERROR(1/IF(Inputs!$B$39="pvp",15,MAX(0.1,Skills!D15-IF(Skills!E15=TRUE,Inputs!$B$32,0))),0)</f>
        <v/>
      </c>
      <c r="R49">
        <f>IF(AND(Inputs!$B$39&lt;&gt;"pvp",Inputs!$B$44&gt;0),IF(Inputs!$B$44&lt;=0,0,(INT(Inputs!$B$44/IF(Inputs!$B$39="pvp",15,MAX(0.1,Skills!D15-IF(Skills!E15=TRUE,Inputs!$B$32,0))))+1)),0)</f>
        <v/>
      </c>
      <c r="S49">
        <f>IFERROR(O49/N49,0)</f>
        <v/>
      </c>
      <c r="T49" t="n">
        <v>0</v>
      </c>
      <c r="V49" t="n">
        <v>0</v>
      </c>
    </row>
    <row r="50">
      <c r="A50">
        <f>Skills!A16</f>
        <v/>
      </c>
      <c r="B50">
        <f>Skills!B16</f>
        <v/>
      </c>
      <c r="C50">
        <f>Inputs!$B$3&gt;=110</f>
        <v/>
      </c>
      <c r="D50">
        <f>IF(Skills!C16=1,60+Inputs!$B$25+Inputs!$B$29,IF(Skills!C16=2,90+Inputs!$B$26+Inputs!$B$29,IF(Skills!C16=3,120+Inputs!$B$27+Inputs!$B$29,MAX(0,(Inputs!$B$3-100)*3)+Inputs!$B$28+Inputs!$B$29)))</f>
        <v/>
      </c>
      <c r="E50">
        <f>INDEX(FactorTable!$B$2:$Y$301, MATCH(ROUND(MIN(300,MAX(1,D50)),0), FactorTable!$A$2:$A$301,0), Skills!M16+1)</f>
        <v/>
      </c>
      <c r="F50">
        <f>IF(Skills!N16=TRUE,(Skills!L16/10)*(E50/1000),Skills!L16/10)+Skills!O16</f>
        <v/>
      </c>
      <c r="G50">
        <f>Calc!G16</f>
        <v/>
      </c>
      <c r="H50">
        <f>Calc!H16</f>
        <v/>
      </c>
      <c r="I50">
        <f>IF(Skills!AA16&lt;&gt;"",1+(Skills!AA16/10)*(U37/1000)/100,1)</f>
        <v/>
      </c>
      <c r="J50" t="inlineStr"/>
      <c r="K50" t="inlineStr"/>
      <c r="L50" t="inlineStr"/>
      <c r="M50" t="inlineStr"/>
      <c r="N50" t="inlineStr"/>
      <c r="O50">
        <f>(1-Summary!$B$55)*T50+Summary!$B$55*V50</f>
        <v/>
      </c>
      <c r="P50">
        <f>IF(B78=0,0,O50/B78)</f>
        <v/>
      </c>
      <c r="Q50">
        <f>IFERROR(1/IF(Inputs!$B$39="pvp",15,MAX(0.1,Skills!D16-IF(Skills!E16=TRUE,Inputs!$B$32,0))),0)</f>
        <v/>
      </c>
      <c r="R50">
        <f>IF(AND(Inputs!$B$39&lt;&gt;"pvp",Inputs!$B$44&gt;0),IF(Inputs!$B$44&lt;=0,0,(INT(Inputs!$B$44/IF(Inputs!$B$39="pvp",15,MAX(0.1,Skills!D16-IF(Skills!E16=TRUE,Inputs!$B$32,0))))+1)),0)</f>
        <v/>
      </c>
      <c r="S50">
        <f>IFERROR(O50/N50,0)</f>
        <v/>
      </c>
      <c r="T50" t="n">
        <v>0</v>
      </c>
      <c r="V50" t="n">
        <v>0</v>
      </c>
    </row>
    <row r="51">
      <c r="A51">
        <f>Skills!A17</f>
        <v/>
      </c>
      <c r="B51">
        <f>Skills!B17</f>
        <v/>
      </c>
      <c r="C51">
        <f>Inputs!$B$3&gt;=115</f>
        <v/>
      </c>
      <c r="D51">
        <f>IF(Skills!C17=1,60+Inputs!$B$25+Inputs!$B$29,IF(Skills!C17=2,90+Inputs!$B$26+Inputs!$B$29,IF(Skills!C17=3,120+Inputs!$B$27+Inputs!$B$29,MAX(0,(Inputs!$B$3-100)*3)+Inputs!$B$28+Inputs!$B$29)))</f>
        <v/>
      </c>
      <c r="E51">
        <f>INDEX(FactorTable!$B$2:$Y$301, MATCH(ROUND(MIN(300,MAX(1,D51)),0), FactorTable!$A$2:$A$301,0), Skills!M17+1)</f>
        <v/>
      </c>
      <c r="F51">
        <f>IF(Skills!N17=TRUE,(Skills!L17/10)*(E51/1000),Skills!L17/10)+Skills!O17</f>
        <v/>
      </c>
      <c r="G51">
        <f>Calc!G17</f>
        <v/>
      </c>
      <c r="H51">
        <f>Calc!H17</f>
        <v/>
      </c>
      <c r="I51">
        <f>IF(Skills!AA17&lt;&gt;"",1+(Skills!AA17/10)*(U37/1000)/100,1)</f>
        <v/>
      </c>
      <c r="J51">
        <f>((Inputs!$B$6*(1+Inputs!$B$7/100))+((((Inputs!$B$12+1)*(1+Inputs!$B$13/100))-(Inputs!$B$12*(1+Inputs!$B$13/100)))+0.25*(Inputs!$B$14-Inputs!$B$14))*(1+Inputs!$B$7/100))*(F51/100)</f>
        <v/>
      </c>
      <c r="K51">
        <f>J51*(1+(((Inputs!$B$12+1)*(1+Inputs!$B$13/100))*0.01+Inputs!$B$14*0.0025)/100)*(1+Inputs!$B$15/100)*(1+Inputs!$B$16/100)*(5000/(6000+Inputs!$B$43*(1-Inputs!$B$19/100)))*(1+(Inputs!$B$24+((C64=TRUE)*(F64-Calc!F30)))/100)*(1+Skills!R17/100)*(1+(IF(Skills!A17="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51)</f>
        <v/>
      </c>
      <c r="L51">
        <f>K51*(MIN(Inputs!$B$22+((C58=TRUE)*(F58-Calc!F24)),Inputs!$B$23)/100+Inputs!$B$23/100)/2</f>
        <v/>
      </c>
      <c r="M51">
        <f>L51*(1+(Inputs!$B$10+((C60=TRUE)*(F60-Calc!F26))+B77)/100)</f>
        <v/>
      </c>
      <c r="N51">
        <f>L51*(1-MIN((Inputs!$B$9+((C59=TRUE)*(F59-Calc!F25))+B74),100)/100)+M51*(MIN((Inputs!$B$9+((C59=TRUE)*(F59-Calc!F25))+B74),100)/100)</f>
        <v/>
      </c>
      <c r="O51">
        <f>(1-Summary!$B$55)*T51+Summary!$B$55*V51</f>
        <v/>
      </c>
      <c r="P51">
        <f>IF(B78=0,0,O51/B78)</f>
        <v/>
      </c>
      <c r="Q51" t="n">
        <v>0</v>
      </c>
      <c r="R51" t="n">
        <v>0</v>
      </c>
      <c r="S51">
        <f>IFERROR(O51/N51,0)</f>
        <v/>
      </c>
      <c r="T51">
        <f>IF(C51,(Inputs!$B$38*0.2*N51)*IF(Inputs!$B$39="pvp",1,1+(Inputs!$B$20+((C61=TRUE)*(F61-Calc!F27))+Skills!P17+B75)/100),0)</f>
        <v/>
      </c>
      <c r="V51">
        <f>IF(C51,(Inputs!$B$38*0.2*N51)*IF(Inputs!$B$39="pvp",1,(1+(Inputs!$B$21+Skills!Q17+B75)/100)*(MIN(Skills!W17,Inputs!$B$37))),0)</f>
        <v/>
      </c>
    </row>
    <row r="52">
      <c r="A52">
        <f>Skills!A18</f>
        <v/>
      </c>
      <c r="B52">
        <f>Skills!B18</f>
        <v/>
      </c>
      <c r="C52">
        <f>Inputs!$B$3&gt;=115</f>
        <v/>
      </c>
      <c r="D52">
        <f>IF(Skills!C18=1,60+Inputs!$B$25+Inputs!$B$29,IF(Skills!C18=2,90+Inputs!$B$26+Inputs!$B$29,IF(Skills!C18=3,120+Inputs!$B$27+Inputs!$B$29,MAX(0,(Inputs!$B$3-100)*3)+Inputs!$B$28+Inputs!$B$29)))</f>
        <v/>
      </c>
      <c r="E52">
        <f>INDEX(FactorTable!$B$2:$Y$301, MATCH(ROUND(MIN(300,MAX(1,D52)),0), FactorTable!$A$2:$A$301,0), Skills!M18+1)</f>
        <v/>
      </c>
      <c r="F52">
        <f>IF(Skills!N18=TRUE,(Skills!L18/10)*(E52/1000),Skills!L18/10)+Skills!O18</f>
        <v/>
      </c>
      <c r="G52">
        <f>Calc!G18</f>
        <v/>
      </c>
      <c r="H52">
        <f>Calc!H18</f>
        <v/>
      </c>
      <c r="I52">
        <f>IF(Skills!AA18&lt;&gt;"",1+(Skills!AA18/10)*(U37/1000)/100,1)</f>
        <v/>
      </c>
      <c r="J52" t="inlineStr"/>
      <c r="K52" t="inlineStr"/>
      <c r="L52" t="inlineStr"/>
      <c r="M52" t="inlineStr"/>
      <c r="N52" t="inlineStr"/>
      <c r="O52">
        <f>(1-Summary!$B$55)*T52+Summary!$B$55*V52</f>
        <v/>
      </c>
      <c r="P52">
        <f>IF(B78=0,0,O52/B78)</f>
        <v/>
      </c>
      <c r="Q52" t="n">
        <v>0</v>
      </c>
      <c r="R52" t="n">
        <v>0</v>
      </c>
      <c r="S52">
        <f>IFERROR(O52/N52,0)</f>
        <v/>
      </c>
      <c r="T52" t="n">
        <v>0</v>
      </c>
      <c r="V52" t="n">
        <v>0</v>
      </c>
    </row>
    <row r="53">
      <c r="A53">
        <f>Skills!A19</f>
        <v/>
      </c>
      <c r="B53">
        <f>Skills!B19</f>
        <v/>
      </c>
      <c r="C53">
        <f>TRUE</f>
        <v/>
      </c>
      <c r="D53">
        <f>IF(Skills!C19=1,60+Inputs!$B$25+Inputs!$B$29,IF(Skills!C19=2,90+Inputs!$B$26+Inputs!$B$29,IF(Skills!C19=3,120+Inputs!$B$27+Inputs!$B$29,MAX(0,(Inputs!$B$3-100)*3)+Inputs!$B$28+Inputs!$B$29)))</f>
        <v/>
      </c>
      <c r="E53">
        <f>INDEX(FactorTable!$B$2:$Y$301, MATCH(ROUND(MIN(300,MAX(1,D53)),0), FactorTable!$A$2:$A$301,0), Skills!M19+1)</f>
        <v/>
      </c>
      <c r="F53">
        <f>IF(Skills!N19=TRUE,(Skills!L19/10)*(E53/1000),Skills!L19/10)+Skills!O19</f>
        <v/>
      </c>
      <c r="G53">
        <f>Calc!G19</f>
        <v/>
      </c>
      <c r="H53">
        <f>Calc!H19</f>
        <v/>
      </c>
      <c r="I53">
        <f>IF(Skills!AA19&lt;&gt;"",1+(Skills!AA19/10)*(U37/1000)/100,1)</f>
        <v/>
      </c>
      <c r="J53" t="inlineStr"/>
      <c r="K53" t="inlineStr"/>
      <c r="L53" t="inlineStr"/>
      <c r="M53" t="inlineStr"/>
      <c r="N53" t="inlineStr"/>
      <c r="O53">
        <f>(1-Summary!$B$55)*T53+Summary!$B$55*V53</f>
        <v/>
      </c>
      <c r="P53">
        <f>IF(B78=0,0,O53/B78)</f>
        <v/>
      </c>
      <c r="Q53">
        <f>IFERROR(1/IF(Inputs!$B$39="pvp",15,MAX(0.1,Skills!D19-IF(Skills!E19=TRUE,Inputs!$B$32,0))),0)</f>
        <v/>
      </c>
      <c r="R53">
        <f>IF(AND(Inputs!$B$39&lt;&gt;"pvp",Inputs!$B$44&gt;0),IF(Inputs!$B$44&lt;=0,0,(INT(Inputs!$B$44/IF(Inputs!$B$39="pvp",15,MAX(0.1,Skills!D19-IF(Skills!E19=TRUE,Inputs!$B$32,0))))+1)),0)</f>
        <v/>
      </c>
      <c r="S53">
        <f>IFERROR(O53/N53,0)</f>
        <v/>
      </c>
      <c r="T53" t="n">
        <v>0</v>
      </c>
      <c r="V53" t="n">
        <v>0</v>
      </c>
    </row>
    <row r="54">
      <c r="A54">
        <f>Skills!A20</f>
        <v/>
      </c>
      <c r="B54">
        <f>Skills!B20</f>
        <v/>
      </c>
      <c r="C54">
        <f>Inputs!$B$3&gt;=15</f>
        <v/>
      </c>
      <c r="D54">
        <f>IF(Skills!C20=1,60+Inputs!$B$25+Inputs!$B$29,IF(Skills!C20=2,90+Inputs!$B$26+Inputs!$B$29,IF(Skills!C20=3,120+Inputs!$B$27+Inputs!$B$29,MAX(0,(Inputs!$B$3-100)*3)+Inputs!$B$28+Inputs!$B$29)))</f>
        <v/>
      </c>
      <c r="E54">
        <f>INDEX(FactorTable!$B$2:$Y$301, MATCH(ROUND(MIN(300,MAX(1,D54)),0), FactorTable!$A$2:$A$301,0), Skills!M20+1)</f>
        <v/>
      </c>
      <c r="F54">
        <f>IF(Skills!N20=TRUE,(Skills!L20/10)*(E54/1000),Skills!L20/10)+Skills!O20</f>
        <v/>
      </c>
      <c r="G54">
        <f>Calc!G20</f>
        <v/>
      </c>
      <c r="H54">
        <f>Calc!H20</f>
        <v/>
      </c>
      <c r="I54">
        <f>IF(Skills!AA20&lt;&gt;"",1+(Skills!AA20/10)*(U37/1000)/100,1)</f>
        <v/>
      </c>
      <c r="J54" t="inlineStr"/>
      <c r="K54" t="inlineStr"/>
      <c r="L54" t="inlineStr"/>
      <c r="M54" t="inlineStr"/>
      <c r="N54" t="inlineStr"/>
      <c r="O54">
        <f>(1-Summary!$B$55)*T54+Summary!$B$55*V54</f>
        <v/>
      </c>
      <c r="P54">
        <f>IF(B78=0,0,O54/B78)</f>
        <v/>
      </c>
      <c r="Q54">
        <f>IFERROR(1/IF(Inputs!$B$39="pvp",15,MAX(0.1,Skills!D20-IF(Skills!E20=TRUE,Inputs!$B$32,0))),0)</f>
        <v/>
      </c>
      <c r="R54">
        <f>IF(AND(Inputs!$B$39&lt;&gt;"pvp",Inputs!$B$44&gt;0),IF(Inputs!$B$44&lt;=0,0,(INT(Inputs!$B$44/IF(Inputs!$B$39="pvp",15,MAX(0.1,Skills!D20-IF(Skills!E20=TRUE,Inputs!$B$32,0))))+1)),0)</f>
        <v/>
      </c>
      <c r="S54">
        <f>IFERROR(O54/N54,0)</f>
        <v/>
      </c>
      <c r="T54" t="n">
        <v>0</v>
      </c>
      <c r="V54" t="n">
        <v>0</v>
      </c>
    </row>
    <row r="55">
      <c r="A55">
        <f>Skills!A21</f>
        <v/>
      </c>
      <c r="B55">
        <f>Skills!B21</f>
        <v/>
      </c>
      <c r="C55">
        <f>Inputs!$B$3&gt;=15</f>
        <v/>
      </c>
      <c r="D55">
        <f>IF(Skills!C21=1,60+Inputs!$B$25+Inputs!$B$29,IF(Skills!C21=2,90+Inputs!$B$26+Inputs!$B$29,IF(Skills!C21=3,120+Inputs!$B$27+Inputs!$B$29,MAX(0,(Inputs!$B$3-100)*3)+Inputs!$B$28+Inputs!$B$29)))</f>
        <v/>
      </c>
      <c r="E55">
        <f>INDEX(FactorTable!$B$2:$Y$301, MATCH(ROUND(MIN(300,MAX(1,D55)),0), FactorTable!$A$2:$A$301,0), Skills!M21+1)</f>
        <v/>
      </c>
      <c r="F55">
        <f>IF(Skills!N21=TRUE,(Skills!L21/10)*(E55/1000),Skills!L21/10)+Skills!O21</f>
        <v/>
      </c>
      <c r="G55">
        <f>Calc!G21</f>
        <v/>
      </c>
      <c r="H55">
        <f>Calc!H21</f>
        <v/>
      </c>
      <c r="I55">
        <f>IF(Skills!AA21&lt;&gt;"",1+(Skills!AA21/10)*(U37/1000)/100,1)</f>
        <v/>
      </c>
      <c r="J55" t="inlineStr"/>
      <c r="K55" t="inlineStr"/>
      <c r="L55" t="inlineStr"/>
      <c r="M55" t="inlineStr"/>
      <c r="N55" t="inlineStr"/>
      <c r="O55">
        <f>(1-Summary!$B$55)*T55+Summary!$B$55*V55</f>
        <v/>
      </c>
      <c r="P55">
        <f>IF(B78=0,0,O55/B78)</f>
        <v/>
      </c>
      <c r="Q55">
        <f>IFERROR(1/IF(Inputs!$B$39="pvp",15,MAX(0.1,Skills!D21-IF(Skills!E21=TRUE,Inputs!$B$32,0))),0)</f>
        <v/>
      </c>
      <c r="R55">
        <f>IF(AND(Inputs!$B$39&lt;&gt;"pvp",Inputs!$B$44&gt;0),IF(Inputs!$B$44&lt;=0,0,(INT(Inputs!$B$44/IF(Inputs!$B$39="pvp",15,MAX(0.1,Skills!D21-IF(Skills!E21=TRUE,Inputs!$B$32,0))))+1)),0)</f>
        <v/>
      </c>
      <c r="S55">
        <f>IFERROR(O55/N55,0)</f>
        <v/>
      </c>
      <c r="T55" t="n">
        <v>0</v>
      </c>
      <c r="V55" t="n">
        <v>0</v>
      </c>
    </row>
    <row r="56">
      <c r="A56">
        <f>Skills!A22</f>
        <v/>
      </c>
      <c r="B56">
        <f>Skills!B22</f>
        <v/>
      </c>
      <c r="C56">
        <f>Inputs!$B$3&gt;=33</f>
        <v/>
      </c>
      <c r="D56">
        <f>IF(Skills!C22=1,60+Inputs!$B$25+Inputs!$B$29,IF(Skills!C22=2,90+Inputs!$B$26+Inputs!$B$29,IF(Skills!C22=3,120+Inputs!$B$27+Inputs!$B$29,MAX(0,(Inputs!$B$3-100)*3)+Inputs!$B$28+Inputs!$B$29)))</f>
        <v/>
      </c>
      <c r="E56">
        <f>INDEX(FactorTable!$B$2:$Y$301, MATCH(ROUND(MIN(300,MAX(1,D56)),0), FactorTable!$A$2:$A$301,0), Skills!M22+1)</f>
        <v/>
      </c>
      <c r="F56">
        <f>IF(Skills!N22=TRUE,(Skills!L22/10)*(E56/1000),Skills!L22/10)+Skills!O22</f>
        <v/>
      </c>
      <c r="G56">
        <f>Calc!G22</f>
        <v/>
      </c>
      <c r="H56">
        <f>Calc!H22</f>
        <v/>
      </c>
      <c r="I56">
        <f>IF(Skills!AA22&lt;&gt;"",1+(Skills!AA22/10)*(U37/1000)/100,1)</f>
        <v/>
      </c>
      <c r="J56" t="inlineStr"/>
      <c r="K56" t="inlineStr"/>
      <c r="L56" t="inlineStr"/>
      <c r="M56" t="inlineStr"/>
      <c r="N56" t="inlineStr"/>
      <c r="O56">
        <f>(1-Summary!$B$55)*T56+Summary!$B$55*V56</f>
        <v/>
      </c>
      <c r="P56">
        <f>IF(B78=0,0,O56/B78)</f>
        <v/>
      </c>
      <c r="Q56" t="n">
        <v>0</v>
      </c>
      <c r="R56" t="n">
        <v>0</v>
      </c>
      <c r="S56">
        <f>IFERROR(O56/N56,0)</f>
        <v/>
      </c>
      <c r="T56" t="n">
        <v>0</v>
      </c>
      <c r="V56" t="n">
        <v>0</v>
      </c>
    </row>
    <row r="57">
      <c r="A57">
        <f>Skills!A23</f>
        <v/>
      </c>
      <c r="B57">
        <f>Skills!B23</f>
        <v/>
      </c>
      <c r="C57">
        <f>Inputs!$B$3&gt;=38</f>
        <v/>
      </c>
      <c r="D57">
        <f>IF(Skills!C23=1,60+Inputs!$B$25+Inputs!$B$29,IF(Skills!C23=2,90+Inputs!$B$26+Inputs!$B$29,IF(Skills!C23=3,120+Inputs!$B$27+Inputs!$B$29,MAX(0,(Inputs!$B$3-100)*3)+Inputs!$B$28+Inputs!$B$29)))</f>
        <v/>
      </c>
      <c r="E57">
        <f>INDEX(FactorTable!$B$2:$Y$301, MATCH(ROUND(MIN(300,MAX(1,D57)),0), FactorTable!$A$2:$A$301,0), Skills!M23+1)</f>
        <v/>
      </c>
      <c r="F57">
        <f>IF(Skills!N23=TRUE,(Skills!L23/10)*(E57/1000),Skills!L23/10)+Skills!O23</f>
        <v/>
      </c>
      <c r="G57">
        <f>Calc!G23</f>
        <v/>
      </c>
      <c r="H57">
        <f>Calc!H23</f>
        <v/>
      </c>
      <c r="I57">
        <f>IF(Skills!AA23&lt;&gt;"",1+(Skills!AA23/10)*(U37/1000)/100,1)</f>
        <v/>
      </c>
      <c r="J57" t="inlineStr"/>
      <c r="K57" t="inlineStr"/>
      <c r="L57" t="inlineStr"/>
      <c r="M57" t="inlineStr"/>
      <c r="N57" t="inlineStr"/>
      <c r="O57">
        <f>(1-Summary!$B$55)*T57+Summary!$B$55*V57</f>
        <v/>
      </c>
      <c r="P57">
        <f>IF(B78=0,0,O57/B78)</f>
        <v/>
      </c>
      <c r="Q57" t="n">
        <v>0</v>
      </c>
      <c r="R57" t="n">
        <v>0</v>
      </c>
      <c r="S57">
        <f>IFERROR(O57/N57,0)</f>
        <v/>
      </c>
      <c r="T57" t="n">
        <v>0</v>
      </c>
      <c r="V57" t="n">
        <v>0</v>
      </c>
    </row>
    <row r="58">
      <c r="A58">
        <f>Skills!A24</f>
        <v/>
      </c>
      <c r="B58">
        <f>Skills!B24</f>
        <v/>
      </c>
      <c r="C58">
        <f>Inputs!$B$3&gt;=40</f>
        <v/>
      </c>
      <c r="D58">
        <f>IF(Skills!C24=1,60+Inputs!$B$25+Inputs!$B$29,IF(Skills!C24=2,90+Inputs!$B$26+Inputs!$B$29,IF(Skills!C24=3,120+Inputs!$B$27+Inputs!$B$29,MAX(0,(Inputs!$B$3-100)*3)+Inputs!$B$28+Inputs!$B$29)))</f>
        <v/>
      </c>
      <c r="E58">
        <f>INDEX(FactorTable!$B$2:$Y$301, MATCH(ROUND(MIN(300,MAX(1,D58)),0), FactorTable!$A$2:$A$301,0), Skills!M24+1)</f>
        <v/>
      </c>
      <c r="F58">
        <f>IF(Skills!N24=TRUE,(Skills!L24/10)*(E58/1000),Skills!L24/10)+Skills!O24</f>
        <v/>
      </c>
      <c r="G58">
        <f>Calc!G24</f>
        <v/>
      </c>
      <c r="H58">
        <f>Calc!H24</f>
        <v/>
      </c>
      <c r="I58">
        <f>IF(Skills!AA24&lt;&gt;"",1+(Skills!AA24/10)*(U37/1000)/100,1)</f>
        <v/>
      </c>
      <c r="J58" t="inlineStr"/>
      <c r="K58" t="inlineStr"/>
      <c r="L58" t="inlineStr"/>
      <c r="M58" t="inlineStr"/>
      <c r="N58" t="inlineStr"/>
      <c r="O58">
        <f>(1-Summary!$B$55)*T58+Summary!$B$55*V58</f>
        <v/>
      </c>
      <c r="P58">
        <f>IF(B78=0,0,O58/B78)</f>
        <v/>
      </c>
      <c r="Q58" t="n">
        <v>0</v>
      </c>
      <c r="R58" t="n">
        <v>0</v>
      </c>
      <c r="S58">
        <f>IFERROR(O58/N58,0)</f>
        <v/>
      </c>
      <c r="T58" t="n">
        <v>0</v>
      </c>
      <c r="V58" t="n">
        <v>0</v>
      </c>
    </row>
    <row r="59">
      <c r="A59">
        <f>Skills!A25</f>
        <v/>
      </c>
      <c r="B59">
        <f>Skills!B25</f>
        <v/>
      </c>
      <c r="C59">
        <f>Inputs!$B$3&gt;=45</f>
        <v/>
      </c>
      <c r="D59">
        <f>IF(Skills!C25=1,60+Inputs!$B$25+Inputs!$B$29,IF(Skills!C25=2,90+Inputs!$B$26+Inputs!$B$29,IF(Skills!C25=3,120+Inputs!$B$27+Inputs!$B$29,MAX(0,(Inputs!$B$3-100)*3)+Inputs!$B$28+Inputs!$B$29)))</f>
        <v/>
      </c>
      <c r="E59">
        <f>INDEX(FactorTable!$B$2:$Y$301, MATCH(ROUND(MIN(300,MAX(1,D59)),0), FactorTable!$A$2:$A$301,0), Skills!M25+1)</f>
        <v/>
      </c>
      <c r="F59">
        <f>IF(Skills!N25=TRUE,(Skills!L25/10)*(E59/1000),Skills!L25/10)+Skills!O25</f>
        <v/>
      </c>
      <c r="G59">
        <f>Calc!G25</f>
        <v/>
      </c>
      <c r="H59">
        <f>Calc!H25</f>
        <v/>
      </c>
      <c r="I59">
        <f>IF(Skills!AA25&lt;&gt;"",1+(Skills!AA25/10)*(U37/1000)/100,1)</f>
        <v/>
      </c>
      <c r="J59" t="inlineStr"/>
      <c r="K59" t="inlineStr"/>
      <c r="L59" t="inlineStr"/>
      <c r="M59" t="inlineStr"/>
      <c r="N59" t="inlineStr"/>
      <c r="O59">
        <f>(1-Summary!$B$55)*T59+Summary!$B$55*V59</f>
        <v/>
      </c>
      <c r="P59">
        <f>IF(B78=0,0,O59/B78)</f>
        <v/>
      </c>
      <c r="Q59" t="n">
        <v>0</v>
      </c>
      <c r="R59" t="n">
        <v>0</v>
      </c>
      <c r="S59">
        <f>IFERROR(O59/N59,0)</f>
        <v/>
      </c>
      <c r="T59" t="n">
        <v>0</v>
      </c>
      <c r="V59" t="n">
        <v>0</v>
      </c>
    </row>
    <row r="60">
      <c r="A60">
        <f>Skills!A26</f>
        <v/>
      </c>
      <c r="B60">
        <f>Skills!B26</f>
        <v/>
      </c>
      <c r="C60">
        <f>Inputs!$B$3&gt;=45</f>
        <v/>
      </c>
      <c r="D60">
        <f>IF(Skills!C26=1,60+Inputs!$B$25+Inputs!$B$29,IF(Skills!C26=2,90+Inputs!$B$26+Inputs!$B$29,IF(Skills!C26=3,120+Inputs!$B$27+Inputs!$B$29,MAX(0,(Inputs!$B$3-100)*3)+Inputs!$B$28+Inputs!$B$29)))</f>
        <v/>
      </c>
      <c r="E60">
        <f>INDEX(FactorTable!$B$2:$Y$301, MATCH(ROUND(MIN(300,MAX(1,D60)),0), FactorTable!$A$2:$A$301,0), Skills!M26+1)</f>
        <v/>
      </c>
      <c r="F60">
        <f>IF(Skills!N26=TRUE,(Skills!L26/10)*(E60/1000),Skills!L26/10)+Skills!O26</f>
        <v/>
      </c>
      <c r="G60">
        <f>Calc!G26</f>
        <v/>
      </c>
      <c r="H60">
        <f>Calc!H26</f>
        <v/>
      </c>
      <c r="I60">
        <f>IF(Skills!AA26&lt;&gt;"",1+(Skills!AA26/10)*(U37/1000)/100,1)</f>
        <v/>
      </c>
      <c r="J60" t="inlineStr"/>
      <c r="K60" t="inlineStr"/>
      <c r="L60" t="inlineStr"/>
      <c r="M60" t="inlineStr"/>
      <c r="N60" t="inlineStr"/>
      <c r="O60">
        <f>(1-Summary!$B$55)*T60+Summary!$B$55*V60</f>
        <v/>
      </c>
      <c r="P60">
        <f>IF(B78=0,0,O60/B78)</f>
        <v/>
      </c>
      <c r="Q60" t="n">
        <v>0</v>
      </c>
      <c r="R60" t="n">
        <v>0</v>
      </c>
      <c r="S60">
        <f>IFERROR(O60/N60,0)</f>
        <v/>
      </c>
      <c r="T60" t="n">
        <v>0</v>
      </c>
      <c r="V60" t="n">
        <v>0</v>
      </c>
    </row>
    <row r="61">
      <c r="A61">
        <f>Skills!A27</f>
        <v/>
      </c>
      <c r="B61">
        <f>Skills!B27</f>
        <v/>
      </c>
      <c r="C61">
        <f>Inputs!$B$3&gt;=72</f>
        <v/>
      </c>
      <c r="D61">
        <f>IF(Skills!C27=1,60+Inputs!$B$25+Inputs!$B$29,IF(Skills!C27=2,90+Inputs!$B$26+Inputs!$B$29,IF(Skills!C27=3,120+Inputs!$B$27+Inputs!$B$29,MAX(0,(Inputs!$B$3-100)*3)+Inputs!$B$28+Inputs!$B$29)))</f>
        <v/>
      </c>
      <c r="E61">
        <f>INDEX(FactorTable!$B$2:$Y$301, MATCH(ROUND(MIN(300,MAX(1,D61)),0), FactorTable!$A$2:$A$301,0), Skills!M27+1)</f>
        <v/>
      </c>
      <c r="F61">
        <f>IF(Skills!N27=TRUE,(Skills!L27/10)*(E61/1000),Skills!L27/10)+Skills!O27</f>
        <v/>
      </c>
      <c r="G61">
        <f>Calc!G27</f>
        <v/>
      </c>
      <c r="H61">
        <f>Calc!H27</f>
        <v/>
      </c>
      <c r="I61">
        <f>IF(Skills!AA27&lt;&gt;"",1+(Skills!AA27/10)*(U37/1000)/100,1)</f>
        <v/>
      </c>
      <c r="J61" t="inlineStr"/>
      <c r="K61" t="inlineStr"/>
      <c r="L61" t="inlineStr"/>
      <c r="M61" t="inlineStr"/>
      <c r="N61" t="inlineStr"/>
      <c r="O61">
        <f>(1-Summary!$B$55)*T61+Summary!$B$55*V61</f>
        <v/>
      </c>
      <c r="P61">
        <f>IF(B78=0,0,O61/B78)</f>
        <v/>
      </c>
      <c r="Q61" t="n">
        <v>0</v>
      </c>
      <c r="R61" t="n">
        <v>0</v>
      </c>
      <c r="S61">
        <f>IFERROR(O61/N61,0)</f>
        <v/>
      </c>
      <c r="T61" t="n">
        <v>0</v>
      </c>
      <c r="V61" t="n">
        <v>0</v>
      </c>
    </row>
    <row r="62">
      <c r="A62">
        <f>Skills!A28</f>
        <v/>
      </c>
      <c r="B62">
        <f>Skills!B28</f>
        <v/>
      </c>
      <c r="C62">
        <f>Inputs!$B$3&gt;=75</f>
        <v/>
      </c>
      <c r="D62">
        <f>IF(Skills!C28=1,60+Inputs!$B$25+Inputs!$B$29,IF(Skills!C28=2,90+Inputs!$B$26+Inputs!$B$29,IF(Skills!C28=3,120+Inputs!$B$27+Inputs!$B$29,MAX(0,(Inputs!$B$3-100)*3)+Inputs!$B$28+Inputs!$B$29)))</f>
        <v/>
      </c>
      <c r="E62">
        <f>INDEX(FactorTable!$B$2:$Y$301, MATCH(ROUND(MIN(300,MAX(1,D62)),0), FactorTable!$A$2:$A$301,0), Skills!M28+1)</f>
        <v/>
      </c>
      <c r="F62">
        <f>IF(Skills!N28=TRUE,(Skills!L28/10)*(E62/1000),Skills!L28/10)+Skills!O28</f>
        <v/>
      </c>
      <c r="G62">
        <f>Calc!G28</f>
        <v/>
      </c>
      <c r="H62">
        <f>Calc!H28</f>
        <v/>
      </c>
      <c r="I62">
        <f>IF(Skills!AA28&lt;&gt;"",1+(Skills!AA28/10)*(U37/1000)/100,1)</f>
        <v/>
      </c>
      <c r="J62" t="inlineStr"/>
      <c r="K62" t="inlineStr"/>
      <c r="L62" t="inlineStr"/>
      <c r="M62" t="inlineStr"/>
      <c r="N62" t="inlineStr"/>
      <c r="O62">
        <f>(1-Summary!$B$55)*T62+Summary!$B$55*V62</f>
        <v/>
      </c>
      <c r="P62">
        <f>IF(B78=0,0,O62/B78)</f>
        <v/>
      </c>
      <c r="Q62" t="n">
        <v>0</v>
      </c>
      <c r="R62" t="n">
        <v>0</v>
      </c>
      <c r="S62">
        <f>IFERROR(O62/N62,0)</f>
        <v/>
      </c>
      <c r="T62" t="n">
        <v>0</v>
      </c>
      <c r="V62" t="n">
        <v>0</v>
      </c>
    </row>
    <row r="63">
      <c r="A63">
        <f>Skills!A29</f>
        <v/>
      </c>
      <c r="B63">
        <f>Skills!B29</f>
        <v/>
      </c>
      <c r="C63">
        <f>Inputs!$B$3&gt;=120</f>
        <v/>
      </c>
      <c r="D63">
        <f>IF(Skills!C29=1,60+Inputs!$B$25+Inputs!$B$29,IF(Skills!C29=2,90+Inputs!$B$26+Inputs!$B$29,IF(Skills!C29=3,120+Inputs!$B$27+Inputs!$B$29,MAX(0,(Inputs!$B$3-100)*3)+Inputs!$B$28+Inputs!$B$29)))</f>
        <v/>
      </c>
      <c r="E63">
        <f>INDEX(FactorTable!$B$2:$Y$301, MATCH(ROUND(MIN(300,MAX(1,D63)),0), FactorTable!$A$2:$A$301,0), Skills!M29+1)</f>
        <v/>
      </c>
      <c r="F63">
        <f>IF(Skills!N29=TRUE,(Skills!L29/10)*(E63/1000),Skills!L29/10)+Skills!O29</f>
        <v/>
      </c>
      <c r="G63">
        <f>Calc!G29</f>
        <v/>
      </c>
      <c r="H63">
        <f>Calc!H29</f>
        <v/>
      </c>
      <c r="I63">
        <f>IF(Skills!AA29&lt;&gt;"",1+(Skills!AA29/10)*(U37/1000)/100,1)</f>
        <v/>
      </c>
      <c r="J63" t="inlineStr"/>
      <c r="K63" t="inlineStr"/>
      <c r="L63" t="inlineStr"/>
      <c r="M63" t="inlineStr"/>
      <c r="N63" t="inlineStr"/>
      <c r="O63">
        <f>(1-Summary!$B$55)*T63+Summary!$B$55*V63</f>
        <v/>
      </c>
      <c r="P63">
        <f>IF(B78=0,0,O63/B78)</f>
        <v/>
      </c>
      <c r="Q63" t="n">
        <v>0</v>
      </c>
      <c r="R63" t="n">
        <v>0</v>
      </c>
      <c r="S63">
        <f>IFERROR(O63/N63,0)</f>
        <v/>
      </c>
      <c r="T63" t="n">
        <v>0</v>
      </c>
      <c r="V63" t="n">
        <v>0</v>
      </c>
    </row>
    <row r="64">
      <c r="A64">
        <f>Skills!A30</f>
        <v/>
      </c>
      <c r="B64">
        <f>Skills!B30</f>
        <v/>
      </c>
      <c r="C64">
        <f>Inputs!$B$3&gt;=125</f>
        <v/>
      </c>
      <c r="D64">
        <f>IF(Skills!C30=1,60+Inputs!$B$25+Inputs!$B$29,IF(Skills!C30=2,90+Inputs!$B$26+Inputs!$B$29,IF(Skills!C30=3,120+Inputs!$B$27+Inputs!$B$29,MAX(0,(Inputs!$B$3-100)*3)+Inputs!$B$28+Inputs!$B$29)))</f>
        <v/>
      </c>
      <c r="E64">
        <f>INDEX(FactorTable!$B$2:$Y$301, MATCH(ROUND(MIN(300,MAX(1,D64)),0), FactorTable!$A$2:$A$301,0), Skills!M30+1)</f>
        <v/>
      </c>
      <c r="F64">
        <f>IF(Skills!N30=TRUE,(Skills!L30/10)*(E64/1000),Skills!L30/10)+Skills!O30</f>
        <v/>
      </c>
      <c r="G64">
        <f>Calc!G30</f>
        <v/>
      </c>
      <c r="H64">
        <f>Calc!H30</f>
        <v/>
      </c>
      <c r="I64">
        <f>IF(Skills!AA30&lt;&gt;"",1+(Skills!AA30/10)*(U37/1000)/100,1)</f>
        <v/>
      </c>
      <c r="J64" t="inlineStr"/>
      <c r="K64" t="inlineStr"/>
      <c r="L64" t="inlineStr"/>
      <c r="M64" t="inlineStr"/>
      <c r="N64" t="inlineStr"/>
      <c r="O64">
        <f>(1-Summary!$B$55)*T64+Summary!$B$55*V64</f>
        <v/>
      </c>
      <c r="P64">
        <f>IF(B78=0,0,O64/B78)</f>
        <v/>
      </c>
      <c r="Q64" t="n">
        <v>0</v>
      </c>
      <c r="R64" t="n">
        <v>0</v>
      </c>
      <c r="S64">
        <f>IFERROR(O64/N64,0)</f>
        <v/>
      </c>
      <c r="T64" t="n">
        <v>0</v>
      </c>
      <c r="V64" t="n">
        <v>0</v>
      </c>
    </row>
    <row r="65">
      <c r="A65">
        <f>Skills!A31</f>
        <v/>
      </c>
      <c r="B65">
        <f>Skills!B31</f>
        <v/>
      </c>
      <c r="C65">
        <f>Inputs!$B$3&gt;=107</f>
        <v/>
      </c>
      <c r="D65">
        <f>IF(Skills!C31=1,60+Inputs!$B$25+Inputs!$B$29,IF(Skills!C31=2,90+Inputs!$B$26+Inputs!$B$29,IF(Skills!C31=3,120+Inputs!$B$27+Inputs!$B$29,MAX(0,(Inputs!$B$3-100)*3)+Inputs!$B$28+Inputs!$B$29)))</f>
        <v/>
      </c>
      <c r="E65">
        <f>INDEX(FactorTable!$B$2:$Y$301, MATCH(ROUND(MIN(300,MAX(1,D65)),0), FactorTable!$A$2:$A$301,0), Skills!M31+1)</f>
        <v/>
      </c>
      <c r="F65">
        <f>IF(Skills!N31=TRUE,(Skills!L31/10)*(E65/1000),Skills!L31/10)+Skills!O31</f>
        <v/>
      </c>
      <c r="G65">
        <f>Calc!G31</f>
        <v/>
      </c>
      <c r="H65">
        <f>Calc!H31</f>
        <v/>
      </c>
      <c r="I65">
        <f>IF(Skills!AA31&lt;&gt;"",1+(Skills!AA31/10)*(U37/1000)/100,1)</f>
        <v/>
      </c>
      <c r="J65" t="inlineStr"/>
      <c r="K65" t="inlineStr"/>
      <c r="L65" t="inlineStr"/>
      <c r="M65" t="inlineStr"/>
      <c r="N65" t="inlineStr"/>
      <c r="O65">
        <f>(1-Summary!$B$55)*T65+Summary!$B$55*V65</f>
        <v/>
      </c>
      <c r="P65">
        <f>IF(B78=0,0,O65/B78)</f>
        <v/>
      </c>
      <c r="Q65" t="n">
        <v>0</v>
      </c>
      <c r="R65" t="n">
        <v>0</v>
      </c>
      <c r="S65">
        <f>IFERROR(O65/N65,0)</f>
        <v/>
      </c>
      <c r="T65" t="n">
        <v>0</v>
      </c>
      <c r="V65" t="n">
        <v>0</v>
      </c>
    </row>
    <row r="67">
      <c r="A67" t="inlineStr">
        <is>
          <t>Actions Per Second (pre-Adrenalin)</t>
        </is>
      </c>
      <c r="B67">
        <f>1+MIN(150,150*(1-(1-(Inputs!$B$11+((C56=TRUE)*(F56-Calc!F22)))/150)*(1-((C53=TRUE)*F53*IF(AND(Inputs!$B$39&lt;&gt;"pvp",Inputs!$B$44&gt;0),(((R53-1)*(Skills!Y19*(1+Inputs!$B$34/100))+MIN((Skills!Y19*(1+Inputs!$B$34/100)),MAX(0,Inputs!$B$44-((R53-1)*Skills!D19))))/Inputs!$B$44),IF(Inputs!$B$39="pvp",MIN((Skills!Y19*(1+Inputs!$B$34/100)),15)/15,(Skills!Y19*(1+Inputs!$B$34/100))/Skills!D19)))/150)))/100</f>
        <v/>
      </c>
    </row>
    <row r="68">
      <c r="A68" t="inlineStr">
        <is>
          <t>Alchemic Adrenaline Uptime</t>
        </is>
      </c>
      <c r="B68">
        <f>(Skills!Y6*(1+Inputs!$B$34/100))/((Skills!Y6*(1+Inputs!$B$34/100))+(5/B67))</f>
        <v/>
      </c>
    </row>
    <row r="69">
      <c r="A69" t="inlineStr">
        <is>
          <t>Attack Speed Buff Bonus %</t>
        </is>
      </c>
      <c r="B69">
        <f>((C53=TRUE)*F53*IF(AND(Inputs!$B$39&lt;&gt;"pvp",Inputs!$B$44&gt;0),(((R53-1)*(Skills!Y19*(1+Inputs!$B$34/100))+MIN((Skills!Y19*(1+Inputs!$B$34/100)),MAX(0,Inputs!$B$44-((R53-1)*Skills!D19))))/Inputs!$B$44),IF(Inputs!$B$39="pvp",MIN((Skills!Y19*(1+Inputs!$B$34/100)),15)/15,(Skills!Y19*(1+Inputs!$B$34/100))/Skills!D19)))+((C41=TRUE)*F41*B68)</f>
        <v/>
      </c>
    </row>
    <row r="70">
      <c r="A70" t="inlineStr">
        <is>
          <t>Actions Per Second (final)</t>
        </is>
      </c>
      <c r="B70">
        <f>1+MIN(150,150*(1-(1-(Inputs!$B$11+((C56=TRUE)*(F56-Calc!F22)))/150)*(1-B69/150)))/100</f>
        <v/>
      </c>
    </row>
    <row r="71">
      <c r="A71" t="inlineStr">
        <is>
          <t>Skill + Buff Cast Rate</t>
        </is>
      </c>
      <c r="B71">
        <f>IF(AND(Inputs!$B$39&lt;&gt;"pvp",Inputs!$B$44&gt;0),SUMPRODUCT((Skills!E2:E31=TRUE)*(C36:C65=TRUE)*R36:R65*Skills!F2:F31)/Inputs!$B$44,SUMPRODUCT((Skills!E2:E31=TRUE)*(C36:C65=TRUE)*Q36:Q65*Skills!F2:F31))</f>
        <v/>
      </c>
    </row>
    <row r="72">
      <c r="A72" t="inlineStr">
        <is>
          <t>Showdown Casts Per Second</t>
        </is>
      </c>
      <c r="B72">
        <f>MAX(0,B70-B71)</f>
        <v/>
      </c>
    </row>
    <row r="73">
      <c r="A73" t="inlineStr">
        <is>
          <t>Average Buff Multiplier</t>
        </is>
      </c>
      <c r="B73">
        <f>(1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f>
        <v/>
      </c>
    </row>
    <row r="74">
      <c r="A74" t="inlineStr">
        <is>
          <t>Global Crit Rate Bonus %</t>
        </is>
      </c>
      <c r="B74">
        <f>IF(Inputs!$B$3&gt;=47,8,0)+((C54=TRUE)*F54*IF(AND(Inputs!$B$39&lt;&gt;"pvp",Inputs!$B$44&gt;0),(((R54-1)*(Skills!Y20*(1+Inputs!$B$34/100))+MIN((Skills!Y20*(1+Inputs!$B$34/100)),MAX(0,Inputs!$B$44-((R54-1)*Skills!D20))))/Inputs!$B$44),IF(Inputs!$B$39="pvp",MIN((Skills!Y20*(1+Inputs!$B$34/100)),15)/15,(Skills!Y20*(1+Inputs!$B$34/100))/Skills!D20)))</f>
        <v/>
      </c>
    </row>
    <row r="75">
      <c r="A75" t="inlineStr">
        <is>
          <t>Global Monster Damage-Taken Bonus %</t>
        </is>
      </c>
      <c r="B75">
        <f>IF(Inputs!$B$3&gt;=82,15,0)+((C50=TRUE)*F50*IF(AND(Inputs!$B$39&lt;&gt;"pvp",Inputs!$B$44&gt;0),(((R50-1)*(Skills!Y16*(1+Inputs!$B$34/100))+MIN((Skills!Y16*(1+Inputs!$B$34/100)),MAX(0,Inputs!$B$44-((R50-1)*Skills!D16))))/Inputs!$B$44),IF(Inputs!$B$39="pvp",MIN((Skills!Y16*(1+Inputs!$B$34/100)),15)/15,(Skills!Y16*(1+Inputs!$B$34/100))/Skills!D16)))</f>
        <v/>
      </c>
    </row>
    <row r="76">
      <c r="A76" t="inlineStr">
        <is>
          <t>Shadow Partner Average Multiplier</t>
        </is>
      </c>
      <c r="B76">
        <f>1+((C45=TRUE)*F45*I45*Skills!J11/100)/100</f>
        <v/>
      </c>
    </row>
    <row r="77">
      <c r="A77" t="inlineStr">
        <is>
          <t>Global Critical Damage Bonus % (Frailty Curse Mastery Lv.111)</t>
        </is>
      </c>
      <c r="B77">
        <f>IF(Inputs!$B$3&gt;=111,30,0)*IF(AND(Inputs!$B$39&lt;&gt;"pvp",Inputs!$B$44&gt;0),(((R50-1)*(Skills!Y16*(1+Inputs!$B$34/100))+MIN((Skills!Y16*(1+Inputs!$B$34/100)),MAX(0,Inputs!$B$44-((R50-1)*Skills!D16))))/Inputs!$B$44),IF(Inputs!$B$39="pvp",MIN((Skills!Y16*(1+Inputs!$B$34/100)),15)/15,(Skills!Y16*(1+Inputs!$B$34/100))/Skills!D16))</f>
        <v/>
      </c>
    </row>
    <row r="78">
      <c r="A78" s="5" t="inlineStr">
        <is>
          <t>TOTAL DPS</t>
        </is>
      </c>
      <c r="B78" s="5">
        <f>SUM(O36:O65)</f>
        <v/>
      </c>
    </row>
    <row r="79">
      <c r="A79" t="inlineStr">
        <is>
          <t>Buff-Casting Startup Delay (s, fixed-duration only)</t>
        </is>
      </c>
      <c r="B79">
        <f>IF(AND(Inputs!$B$39&lt;&gt;"pvp",Inputs!$B$44&gt;0),SUMPRODUCT((Skills!Y2:Y31&gt;0)*(Skills!E2:E31=TRUE)*(C36:C65=TRUE))/B70,0)</f>
        <v/>
      </c>
    </row>
    <row r="80">
      <c r="A80" t="inlineStr">
        <is>
          <t>Boss-Only Total DPS (this block's swept value)</t>
        </is>
      </c>
      <c r="B80">
        <f>SUM(T36:T65)</f>
        <v/>
      </c>
    </row>
    <row r="81">
      <c r="A81" t="inlineStr">
        <is>
          <t>Normal-Only Total DPS (this block's swept value)</t>
        </is>
      </c>
      <c r="B81">
        <f>SUM(V36:V65)</f>
        <v/>
      </c>
    </row>
    <row r="83">
      <c r="A83" s="5" t="inlineStr">
        <is>
          <t>Stat: LUK %</t>
        </is>
      </c>
    </row>
    <row r="84">
      <c r="A84" s="9" t="inlineStr">
        <is>
          <t>Key</t>
        </is>
      </c>
      <c r="B84" s="9" t="inlineStr">
        <is>
          <t>Name</t>
        </is>
      </c>
      <c r="C84" s="9" t="inlineStr">
        <is>
          <t>Unlocked</t>
        </is>
      </c>
      <c r="D84" s="9" t="inlineStr">
        <is>
          <t>InputLevel</t>
        </is>
      </c>
      <c r="E84" s="9" t="inlineStr">
        <is>
          <t>Factor</t>
        </is>
      </c>
      <c r="F84" s="9" t="inlineStr">
        <is>
          <t>CoefficientPercent</t>
        </is>
      </c>
      <c r="G84" s="9" t="inlineStr">
        <is>
          <t>EffectiveHits</t>
        </is>
      </c>
      <c r="H84" s="9" t="inlineStr">
        <is>
          <t>ProcProbability</t>
        </is>
      </c>
      <c r="I84" s="9" t="inlineStr">
        <is>
          <t>MapleHeroMultiplier</t>
        </is>
      </c>
      <c r="J84" s="9" t="inlineStr">
        <is>
          <t>BaseDamage</t>
        </is>
      </c>
      <c r="K84" s="9" t="inlineStr">
        <is>
          <t>BaseHitDamage</t>
        </is>
      </c>
      <c r="L84" s="9" t="inlineStr">
        <is>
          <t>NonCritAvg</t>
        </is>
      </c>
      <c r="M84" s="9" t="inlineStr">
        <is>
          <t>CritAvg</t>
        </is>
      </c>
      <c r="N84" s="9" t="inlineStr">
        <is>
          <t>ExpectedDamage(perHit)</t>
        </is>
      </c>
      <c r="O84" s="9" t="inlineStr">
        <is>
          <t>DPS</t>
        </is>
      </c>
      <c r="P84" s="9" t="inlineStr">
        <is>
          <t>% of Total</t>
        </is>
      </c>
      <c r="Q84" s="9" t="inlineStr">
        <is>
          <t>InvCooldown</t>
        </is>
      </c>
      <c r="R84" s="9" t="inlineStr">
        <is>
          <t>CastsInFight</t>
        </is>
      </c>
      <c r="S84" s="9" t="inlineStr">
        <is>
          <t>HitRate(perSec)</t>
        </is>
      </c>
      <c r="U84" t="inlineStr">
        <is>
          <t>helpers</t>
        </is>
      </c>
    </row>
    <row r="85">
      <c r="A85">
        <f>Skills!A2</f>
        <v/>
      </c>
      <c r="B85">
        <f>Skills!B2</f>
        <v/>
      </c>
      <c r="C85">
        <f>Inputs!$B$3&gt;=100</f>
        <v/>
      </c>
      <c r="D85" t="inlineStr"/>
      <c r="E85" t="inlineStr"/>
      <c r="F85">
        <f>U89+Skills!O2</f>
        <v/>
      </c>
      <c r="G85">
        <f>Calc!G2</f>
        <v/>
      </c>
      <c r="H85">
        <f>Calc!H2</f>
        <v/>
      </c>
      <c r="I85">
        <f>IF(Skills!AA2&lt;&gt;"",1+(Skills!AA2/10)*(U86/1000)/100,1)</f>
        <v/>
      </c>
      <c r="J85">
        <f>((Inputs!$B$6*(1+Inputs!$B$7/100))+(((Inputs!$B$12*(1+(Inputs!$B$13+1)/100))-(Inputs!$B$12*(1+Inputs!$B$13/100)))+0.25*(Inputs!$B$14-Inputs!$B$14))*(1+Inputs!$B$7/100))*(F85/100)</f>
        <v/>
      </c>
      <c r="K85">
        <f>J85*(1+((Inputs!$B$12*(1+(Inputs!$B$13+1)/100))*0.01+Inputs!$B$14*0.0025)/100)*(1+Inputs!$B$15/100)*(1+Inputs!$B$16/100)*(5000/(6000+Inputs!$B$43*(1-Inputs!$B$19/100)))*(1+(Inputs!$B$24+((C113=TRUE)*(F113-Calc!F30)))/100)*(1+Skills!R2/100)*(1+(IF(Skills!A2="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85)</f>
        <v/>
      </c>
      <c r="L85">
        <f>K85*(MIN(Inputs!$B$22+((C107=TRUE)*(F107-Calc!F24)),Inputs!$B$23)/100+Inputs!$B$23/100)/2</f>
        <v/>
      </c>
      <c r="M85">
        <f>L85*(1+(Inputs!$B$10+((C109=TRUE)*(F109-Calc!F26))+B126)/100)</f>
        <v/>
      </c>
      <c r="N85">
        <f>L85*(1-MIN((Inputs!$B$9+((C108=TRUE)*(F108-Calc!F25))+B123),100)/100)+M85*(MIN((Inputs!$B$9+((C108=TRUE)*(F108-Calc!F25))+B123),100)/100)</f>
        <v/>
      </c>
      <c r="O85">
        <f>(1-Summary!$B$55)*T85+Summary!$B$55*V85</f>
        <v/>
      </c>
      <c r="P85">
        <f>IF(B127=0,0,O85/B127)</f>
        <v/>
      </c>
      <c r="Q85" t="n">
        <v>0</v>
      </c>
      <c r="R85" t="n">
        <v>0</v>
      </c>
      <c r="S85">
        <f>IFERROR(O85/N85,0)</f>
        <v/>
      </c>
      <c r="T85">
        <f>IF(C85,(Skills!G2*N85*B121)*IF(Inputs!$B$39="pvp",1,1+(Inputs!$B$20+((C110=TRUE)*(F110-Calc!F27))+Skills!P2+B124)/100),0)</f>
        <v/>
      </c>
      <c r="U85">
        <f>MAX(0,(Inputs!$B$3-100)*3)+Inputs!$B$28+Inputs!$B$29</f>
        <v/>
      </c>
      <c r="V85">
        <f>IF(C85,(Skills!G2*N85*B121)*IF(Inputs!$B$39="pvp",1,(1+(Inputs!$B$21+Skills!Q2+B124)/100)*(MIN((6+Inputs!$B$33),Inputs!$B$37))),0)</f>
        <v/>
      </c>
    </row>
    <row r="86">
      <c r="A86">
        <f>Skills!A3</f>
        <v/>
      </c>
      <c r="B86">
        <f>Skills!B3</f>
        <v/>
      </c>
      <c r="C86">
        <f>Inputs!$B$3&gt;=35</f>
        <v/>
      </c>
      <c r="D86">
        <f>IF(Skills!C3=1,60+Inputs!$B$25+Inputs!$B$29,IF(Skills!C3=2,90+Inputs!$B$26+Inputs!$B$29,IF(Skills!C3=3,120+Inputs!$B$27+Inputs!$B$29,MAX(0,(Inputs!$B$3-100)*3)+Inputs!$B$28+Inputs!$B$29)))</f>
        <v/>
      </c>
      <c r="E86">
        <f>INDEX(FactorTable!$B$2:$Y$301, MATCH(ROUND(MIN(300,MAX(1,D86)),0), FactorTable!$A$2:$A$301,0), Skills!M3+1)</f>
        <v/>
      </c>
      <c r="F86">
        <f>IF(Skills!N3=TRUE,(Skills!L3/10)*(E86/1000),Skills!L3/10)+Skills!O3</f>
        <v/>
      </c>
      <c r="G86">
        <f>Calc!G3</f>
        <v/>
      </c>
      <c r="H86">
        <f>Calc!H3</f>
        <v/>
      </c>
      <c r="I86">
        <f>IF(Skills!AA3&lt;&gt;"",1+(Skills!AA3/10)*(U86/1000)/100,1)</f>
        <v/>
      </c>
      <c r="J86">
        <f>((Inputs!$B$6*(1+Inputs!$B$7/100))+(((Inputs!$B$12*(1+(Inputs!$B$13+1)/100))-(Inputs!$B$12*(1+Inputs!$B$13/100)))+0.25*(Inputs!$B$14-Inputs!$B$14))*(1+Inputs!$B$7/100))*(F86/100)</f>
        <v/>
      </c>
      <c r="K86">
        <f>J86*(1+((Inputs!$B$12*(1+(Inputs!$B$13+1)/100))*0.01+Inputs!$B$14*0.0025)/100)*(1+Inputs!$B$15/100)*(1+Inputs!$B$16/100)*(5000/(6000+Inputs!$B$43*(1-Inputs!$B$19/100)))*(1+(Inputs!$B$24+((C113=TRUE)*(F113-Calc!F30)))/100)*(1+Skills!R3/100)*(1+(IF(Skills!A3="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86)</f>
        <v/>
      </c>
      <c r="L86">
        <f>K86*(MIN(Inputs!$B$22+((C107=TRUE)*(F107-Calc!F24)),Inputs!$B$23)/100+Inputs!$B$23/100)/2</f>
        <v/>
      </c>
      <c r="M86">
        <f>L86*(1+(Inputs!$B$10+((C109=TRUE)*(F109-Calc!F26))+B126)/100)</f>
        <v/>
      </c>
      <c r="N86">
        <f>L86*(1-MIN((Inputs!$B$9+((C108=TRUE)*(F108-Calc!F25))+B123),100)/100)+M86*(MIN((Inputs!$B$9+((C108=TRUE)*(F108-Calc!F25))+B123),100)/100)</f>
        <v/>
      </c>
      <c r="O86">
        <f>(1-Summary!$B$55)*T86+Summary!$B$55*V86</f>
        <v/>
      </c>
      <c r="P86">
        <f>IF(B127=0,0,O86/B127)</f>
        <v/>
      </c>
      <c r="Q86">
        <f>IFERROR(1/IF(Inputs!$B$39="pvp",15,MAX(0.1,Skills!D3-IF(Skills!E3=TRUE,Inputs!$B$32,0))),0)</f>
        <v/>
      </c>
      <c r="R86">
        <f>IF(AND(Inputs!$B$39&lt;&gt;"pvp",Inputs!$B$44&gt;0),IF(MAX(0,Inputs!$B$44-B128)&lt;=0,0,(INT(MAX(0,Inputs!$B$44-B128)/IF(Inputs!$B$39="pvp",15,MAX(0.1,Skills!D3-IF(Skills!E3=TRUE,Inputs!$B$32,0))))+1)),0)</f>
        <v/>
      </c>
      <c r="S86">
        <f>IFERROR(O86/N86,0)</f>
        <v/>
      </c>
      <c r="T86">
        <f>IF(C86,(H86*N86*IF(AND(Inputs!$B$39&lt;&gt;"pvp",Inputs!$B$44&gt;0),((Skills!G3*((R86-1)*IF(Skills!H3&gt;0,Skills!I3/Skills!H3,1)+IF(Skills!H3&gt;0,MIN(Skills!I3,MAX(0,MAX(0,Inputs!$B$44-B128)-((R86-1)*IF(Inputs!$B$39="pvp",15,MAX(0.1,Skills!D3-IF(Skills!E3=TRUE,Inputs!$B$32,0))))))/Skills!H3,1)))/Inputs!$B$44),G86*Q86))*IF(Inputs!$B$39="pvp",1,1+(Inputs!$B$20+((C110=TRUE)*(F110-Calc!F27))+Skills!P3+B124)/100),0)</f>
        <v/>
      </c>
      <c r="U86">
        <f>INDEX(FactorTable!$B$2:$Y$301, MATCH(ROUND(MIN(300,MAX(1,U85)),0), FactorTable!$A$2:$A$301,0), 24)</f>
        <v/>
      </c>
      <c r="V86">
        <f>IF(C86,(H86*N86*IF(AND(Inputs!$B$39&lt;&gt;"pvp",Inputs!$B$44&gt;0),((Skills!G3*((R86-1)*IF(Skills!H3&gt;0,Skills!I3/Skills!H3,1)+IF(Skills!H3&gt;0,MIN(Skills!I3,MAX(0,MAX(0,Inputs!$B$44-B128)-((R86-1)*IF(Inputs!$B$39="pvp",15,MAX(0.1,Skills!D3-IF(Skills!E3=TRUE,Inputs!$B$32,0))))))/Skills!H3,1)))/Inputs!$B$44),G86*Q86))*IF(Inputs!$B$39="pvp",1,(1+(Inputs!$B$21+Skills!Q3+B124)/100)*(MIN(Skills!W3,Inputs!$B$37))),0)</f>
        <v/>
      </c>
    </row>
    <row r="87">
      <c r="A87">
        <f>Skills!A4</f>
        <v/>
      </c>
      <c r="B87">
        <f>Skills!B4</f>
        <v/>
      </c>
      <c r="C87">
        <f>Inputs!$B$3&gt;=40</f>
        <v/>
      </c>
      <c r="D87">
        <f>IF(Skills!C4=1,60+Inputs!$B$25+Inputs!$B$29,IF(Skills!C4=2,90+Inputs!$B$26+Inputs!$B$29,IF(Skills!C4=3,120+Inputs!$B$27+Inputs!$B$29,MAX(0,(Inputs!$B$3-100)*3)+Inputs!$B$28+Inputs!$B$29)))</f>
        <v/>
      </c>
      <c r="E87">
        <f>INDEX(FactorTable!$B$2:$Y$301, MATCH(ROUND(MIN(300,MAX(1,D87)),0), FactorTable!$A$2:$A$301,0), Skills!M4+1)</f>
        <v/>
      </c>
      <c r="F87">
        <f>IF(Skills!N4=TRUE,(Skills!L4/10)*(E87/1000),Skills!L4/10)+Skills!O4</f>
        <v/>
      </c>
      <c r="G87">
        <f>Calc!G4</f>
        <v/>
      </c>
      <c r="H87">
        <f>Calc!H4</f>
        <v/>
      </c>
      <c r="I87">
        <f>IF(Skills!AA4&lt;&gt;"",1+(Skills!AA4/10)*(U86/1000)/100,1)</f>
        <v/>
      </c>
      <c r="J87">
        <f>((Inputs!$B$6*(1+Inputs!$B$7/100))+(((Inputs!$B$12*(1+(Inputs!$B$13+1)/100))-(Inputs!$B$12*(1+Inputs!$B$13/100)))+0.25*(Inputs!$B$14-Inputs!$B$14))*(1+Inputs!$B$7/100))*(F87/100)</f>
        <v/>
      </c>
      <c r="K87">
        <f>J87*(1+((Inputs!$B$12*(1+(Inputs!$B$13+1)/100))*0.01+Inputs!$B$14*0.0025)/100)*(1+Inputs!$B$15/100)*(1+Inputs!$B$16/100)*(5000/(6000+Inputs!$B$43*(1-Inputs!$B$19/100)))*(1+(Inputs!$B$24+((C113=TRUE)*(F113-Calc!F30)))/100)*(1+Skills!R4/100)*(1+(IF(Skills!A4="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87)</f>
        <v/>
      </c>
      <c r="L87">
        <f>K87*(MIN(Inputs!$B$22+((C107=TRUE)*(F107-Calc!F24)),Inputs!$B$23)/100+Inputs!$B$23/100)/2</f>
        <v/>
      </c>
      <c r="M87">
        <f>L87*(1+(Inputs!$B$10+((C109=TRUE)*(F109-Calc!F26))+B126)/100)</f>
        <v/>
      </c>
      <c r="N87">
        <f>L87*(1-MIN((Inputs!$B$9+((C108=TRUE)*(F108-Calc!F25))+B123),100)/100)+M87*(MIN((Inputs!$B$9+((C108=TRUE)*(F108-Calc!F25))+B123),100)/100)</f>
        <v/>
      </c>
      <c r="O87">
        <f>(1-Summary!$B$55)*T87+Summary!$B$55*V87</f>
        <v/>
      </c>
      <c r="P87">
        <f>IF(B127=0,0,O87/B127)</f>
        <v/>
      </c>
      <c r="Q87">
        <f>IFERROR(1/IF(Inputs!$B$39="pvp",15,MAX(0.1,Skills!D4-IF(Skills!E4=TRUE,Inputs!$B$32,0))),0)</f>
        <v/>
      </c>
      <c r="R87">
        <f>IF(AND(Inputs!$B$39&lt;&gt;"pvp",Inputs!$B$44&gt;0),IF(MAX(0,Inputs!$B$44-B128)&lt;=0,0,(INT(MAX(0,Inputs!$B$44-B128)/IF(Inputs!$B$39="pvp",15,MAX(0.1,Skills!D4-IF(Skills!E4=TRUE,Inputs!$B$32,0))))+1)),0)</f>
        <v/>
      </c>
      <c r="S87">
        <f>IFERROR(O87/N87,0)</f>
        <v/>
      </c>
      <c r="T87">
        <f>IF(C87,(H87*N87*IF(AND(Inputs!$B$39&lt;&gt;"pvp",Inputs!$B$44&gt;0),((Skills!G4*((R87-1)*IF(Skills!H4&gt;0,Skills!I4/Skills!H4,1)+IF(Skills!H4&gt;0,MIN(Skills!I4,MAX(0,MAX(0,Inputs!$B$44-B128)-((R87-1)*IF(Inputs!$B$39="pvp",15,MAX(0.1,Skills!D4-IF(Skills!E4=TRUE,Inputs!$B$32,0))))))/Skills!H4,1)))/Inputs!$B$44),G87*Q87))*IF(Inputs!$B$39="pvp",1,1+(Inputs!$B$20+((C110=TRUE)*(F110-Calc!F27))+Skills!P4+B124)/100),0)</f>
        <v/>
      </c>
      <c r="U87">
        <f>MAX(0,(Inputs!$B$3-100)*3)+Inputs!$B$28+Inputs!$B$29</f>
        <v/>
      </c>
      <c r="V87">
        <f>IF(C87,(H87*N87*IF(AND(Inputs!$B$39&lt;&gt;"pvp",Inputs!$B$44&gt;0),((Skills!G4*((R87-1)*IF(Skills!H4&gt;0,Skills!I4/Skills!H4,1)+IF(Skills!H4&gt;0,MIN(Skills!I4,MAX(0,MAX(0,Inputs!$B$44-B128)-((R87-1)*IF(Inputs!$B$39="pvp",15,MAX(0.1,Skills!D4-IF(Skills!E4=TRUE,Inputs!$B$32,0))))))/Skills!H4,1)))/Inputs!$B$44),G87*Q87))*IF(Inputs!$B$39="pvp",1,(1+(Inputs!$B$21+Skills!Q4+B124)/100)*(MIN(Skills!W4,Inputs!$B$37))),0)</f>
        <v/>
      </c>
    </row>
    <row r="88">
      <c r="A88">
        <f>Skills!A5</f>
        <v/>
      </c>
      <c r="B88">
        <f>Skills!B5</f>
        <v/>
      </c>
      <c r="C88">
        <f>Inputs!$B$3&gt;=63</f>
        <v/>
      </c>
      <c r="D88">
        <f>IF(Skills!C5=1,60+Inputs!$B$25+Inputs!$B$29,IF(Skills!C5=2,90+Inputs!$B$26+Inputs!$B$29,IF(Skills!C5=3,120+Inputs!$B$27+Inputs!$B$29,MAX(0,(Inputs!$B$3-100)*3)+Inputs!$B$28+Inputs!$B$29)))</f>
        <v/>
      </c>
      <c r="E88">
        <f>INDEX(FactorTable!$B$2:$Y$301, MATCH(ROUND(MIN(300,MAX(1,D88)),0), FactorTable!$A$2:$A$301,0), Skills!M5+1)</f>
        <v/>
      </c>
      <c r="F88">
        <f>IF(Skills!N5=TRUE,(Skills!L5/10)*(E88/1000),Skills!L5/10)+Skills!O5</f>
        <v/>
      </c>
      <c r="G88">
        <f>Calc!G5</f>
        <v/>
      </c>
      <c r="H88">
        <f>Calc!H5</f>
        <v/>
      </c>
      <c r="I88">
        <f>IF(Skills!AA5&lt;&gt;"",1+(Skills!AA5/10)*(U86/1000)/100,1)</f>
        <v/>
      </c>
      <c r="J88">
        <f>((Inputs!$B$6*(1+Inputs!$B$7/100))+(((Inputs!$B$12*(1+(Inputs!$B$13+1)/100))-(Inputs!$B$12*(1+Inputs!$B$13/100)))+0.25*(Inputs!$B$14-Inputs!$B$14))*(1+Inputs!$B$7/100))*(F88/100)</f>
        <v/>
      </c>
      <c r="K88">
        <f>J88*(1+((Inputs!$B$12*(1+(Inputs!$B$13+1)/100))*0.01+Inputs!$B$14*0.0025)/100)*(1+Inputs!$B$15/100)*(1+Inputs!$B$16/100)*(5000/(6000+Inputs!$B$43*(1-Inputs!$B$19/100)))*(1+(Inputs!$B$24+((C113=TRUE)*(F113-Calc!F30)))/100)*(1+Skills!R5/100)*(1+(IF(Skills!A5="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88)</f>
        <v/>
      </c>
      <c r="L88">
        <f>K88*(MIN(Inputs!$B$22+((C107=TRUE)*(F107-Calc!F24)),Inputs!$B$23)/100+Inputs!$B$23/100)/2</f>
        <v/>
      </c>
      <c r="M88">
        <f>L88*(1+(Inputs!$B$10+((C109=TRUE)*(F109-Calc!F26))+B126)/100)</f>
        <v/>
      </c>
      <c r="N88">
        <f>L88*(1-MIN((Inputs!$B$9+((C108=TRUE)*(F108-Calc!F25))+B123),100)/100)+M88*(MIN((Inputs!$B$9+((C108=TRUE)*(F108-Calc!F25))+B123),100)/100)</f>
        <v/>
      </c>
      <c r="O88">
        <f>(1-Summary!$B$55)*T88+Summary!$B$55*V88</f>
        <v/>
      </c>
      <c r="P88">
        <f>IF(B127=0,0,O88/B127)</f>
        <v/>
      </c>
      <c r="Q88">
        <f>IFERROR(1/IF(Inputs!$B$39="pvp",15,MAX(0.1,Skills!D5-IF(Skills!E5=TRUE,Inputs!$B$32,0))),0)</f>
        <v/>
      </c>
      <c r="R88">
        <f>IF(AND(Inputs!$B$39&lt;&gt;"pvp",Inputs!$B$44&gt;0),IF(MAX(0,Inputs!$B$44-B128)&lt;=0,0,(INT(MAX(0,Inputs!$B$44-B128)/IF(Inputs!$B$39="pvp",15,MAX(0.1,Skills!D5-IF(Skills!E5=TRUE,Inputs!$B$32,0))))+1)),0)</f>
        <v/>
      </c>
      <c r="S88">
        <f>IFERROR(O88/N88,0)</f>
        <v/>
      </c>
      <c r="T88">
        <f>IF(C88,(H88*N88*IF(AND(Inputs!$B$39&lt;&gt;"pvp",Inputs!$B$44&gt;0),((Skills!G5*((R88-1)*IF(Skills!H5&gt;0,Skills!I5/Skills!H5,1)+IF(Skills!H5&gt;0,MIN(Skills!I5,MAX(0,MAX(0,Inputs!$B$44-B128)-((R88-1)*IF(Inputs!$B$39="pvp",15,MAX(0.1,Skills!D5-IF(Skills!E5=TRUE,Inputs!$B$32,0))))))/Skills!H5,1)))/Inputs!$B$44),G88*Q88))*IF(Inputs!$B$39="pvp",1,1+(Inputs!$B$20+((C110=TRUE)*(F110-Calc!F27))+Skills!P5+B124)/100),0)</f>
        <v/>
      </c>
      <c r="U88">
        <f>INDEX(FactorTable!$B$2:$Y$301, MATCH(ROUND(MIN(300,MAX(1,U87)),0), FactorTable!$A$2:$A$301,0), 22)</f>
        <v/>
      </c>
      <c r="V88">
        <f>IF(C88,(H88*N88*IF(AND(Inputs!$B$39&lt;&gt;"pvp",Inputs!$B$44&gt;0),((Skills!G5*((R88-1)*IF(Skills!H5&gt;0,Skills!I5/Skills!H5,1)+IF(Skills!H5&gt;0,MIN(Skills!I5,MAX(0,MAX(0,Inputs!$B$44-B128)-((R88-1)*IF(Inputs!$B$39="pvp",15,MAX(0.1,Skills!D5-IF(Skills!E5=TRUE,Inputs!$B$32,0))))))/Skills!H5,1)))/Inputs!$B$44),G88*Q88))*IF(Inputs!$B$39="pvp",1,(1+(Inputs!$B$21+Skills!Q5+B124)/100)*(MIN(Skills!W5,Inputs!$B$37))),0)</f>
        <v/>
      </c>
    </row>
    <row r="89">
      <c r="A89">
        <f>Skills!A6</f>
        <v/>
      </c>
      <c r="B89">
        <f>Skills!B6</f>
        <v/>
      </c>
      <c r="C89">
        <f>Inputs!$B$3&gt;=66</f>
        <v/>
      </c>
      <c r="D89">
        <f>IF(Skills!C6=1,60+Inputs!$B$25+Inputs!$B$29,IF(Skills!C6=2,90+Inputs!$B$26+Inputs!$B$29,IF(Skills!C6=3,120+Inputs!$B$27+Inputs!$B$29,MAX(0,(Inputs!$B$3-100)*3)+Inputs!$B$28+Inputs!$B$29)))</f>
        <v/>
      </c>
      <c r="E89">
        <f>INDEX(FactorTable!$B$2:$Y$301, MATCH(ROUND(MIN(300,MAX(1,D89)),0), FactorTable!$A$2:$A$301,0), Skills!M6+1)</f>
        <v/>
      </c>
      <c r="F89">
        <f>IF(Skills!N6=TRUE,(Skills!L6/10)*(E89/1000),Skills!L6/10)+Skills!O6</f>
        <v/>
      </c>
      <c r="G89">
        <f>Calc!G6</f>
        <v/>
      </c>
      <c r="H89">
        <f>Calc!H6</f>
        <v/>
      </c>
      <c r="I89">
        <f>IF(Skills!AA6&lt;&gt;"",1+(Skills!AA6/10)*(U86/1000)/100,1)</f>
        <v/>
      </c>
      <c r="J89" t="inlineStr"/>
      <c r="K89" t="inlineStr"/>
      <c r="L89" t="inlineStr"/>
      <c r="M89" t="inlineStr"/>
      <c r="N89" t="inlineStr"/>
      <c r="O89">
        <f>(1-Summary!$B$55)*T89+Summary!$B$55*V89</f>
        <v/>
      </c>
      <c r="P89">
        <f>IF(B127=0,0,O89/B127)</f>
        <v/>
      </c>
      <c r="Q89" t="n">
        <v>0</v>
      </c>
      <c r="R89" t="n">
        <v>0</v>
      </c>
      <c r="S89">
        <f>IFERROR(O89/N89,0)</f>
        <v/>
      </c>
      <c r="T89" t="n">
        <v>0</v>
      </c>
      <c r="U89">
        <f>290*U88/1000</f>
        <v/>
      </c>
      <c r="V89" t="n">
        <v>0</v>
      </c>
    </row>
    <row r="90">
      <c r="A90">
        <f>Skills!A7</f>
        <v/>
      </c>
      <c r="B90">
        <f>Skills!B7</f>
        <v/>
      </c>
      <c r="C90">
        <f>Inputs!$B$3&gt;=66</f>
        <v/>
      </c>
      <c r="D90">
        <f>IF(Skills!C7=1,60+Inputs!$B$25+Inputs!$B$29,IF(Skills!C7=2,90+Inputs!$B$26+Inputs!$B$29,IF(Skills!C7=3,120+Inputs!$B$27+Inputs!$B$29,MAX(0,(Inputs!$B$3-100)*3)+Inputs!$B$28+Inputs!$B$29)))</f>
        <v/>
      </c>
      <c r="E90">
        <f>INDEX(FactorTable!$B$2:$Y$301, MATCH(ROUND(MIN(300,MAX(1,D90)),0), FactorTable!$A$2:$A$301,0), Skills!M7+1)</f>
        <v/>
      </c>
      <c r="F90">
        <f>IF(Skills!N7=TRUE,(Skills!L7/10)*(E90/1000),Skills!L7/10)+Skills!O7</f>
        <v/>
      </c>
      <c r="G90">
        <f>Calc!G7</f>
        <v/>
      </c>
      <c r="H90">
        <f>Calc!H7</f>
        <v/>
      </c>
      <c r="I90">
        <f>IF(Skills!AA7&lt;&gt;"",1+(Skills!AA7/10)*(U86/1000)/100,1)</f>
        <v/>
      </c>
      <c r="J90" t="inlineStr"/>
      <c r="K90" t="inlineStr"/>
      <c r="L90" t="inlineStr"/>
      <c r="M90" t="inlineStr"/>
      <c r="N90" t="inlineStr"/>
      <c r="O90">
        <f>(1-Summary!$B$55)*T90+Summary!$B$55*V90</f>
        <v/>
      </c>
      <c r="P90">
        <f>IF(B127=0,0,O90/B127)</f>
        <v/>
      </c>
      <c r="Q90" t="n">
        <v>0</v>
      </c>
      <c r="R90" t="n">
        <v>0</v>
      </c>
      <c r="S90">
        <f>IFERROR(O90/N90,0)</f>
        <v/>
      </c>
      <c r="T90" t="n">
        <v>0</v>
      </c>
      <c r="V90" t="n">
        <v>0</v>
      </c>
    </row>
    <row r="91">
      <c r="A91">
        <f>Skills!A8</f>
        <v/>
      </c>
      <c r="B91">
        <f>Skills!B8</f>
        <v/>
      </c>
      <c r="C91">
        <f>Inputs!$B$3&gt;=69</f>
        <v/>
      </c>
      <c r="D91">
        <f>IF(Skills!C8=1,60+Inputs!$B$25+Inputs!$B$29,IF(Skills!C8=2,90+Inputs!$B$26+Inputs!$B$29,IF(Skills!C8=3,120+Inputs!$B$27+Inputs!$B$29,MAX(0,(Inputs!$B$3-100)*3)+Inputs!$B$28+Inputs!$B$29)))</f>
        <v/>
      </c>
      <c r="E91">
        <f>INDEX(FactorTable!$B$2:$Y$301, MATCH(ROUND(MIN(300,MAX(1,D91)),0), FactorTable!$A$2:$A$301,0), Skills!M8+1)</f>
        <v/>
      </c>
      <c r="F91">
        <f>IF(Skills!N8=TRUE,(Skills!L8/10)*(E91/1000),Skills!L8/10)+Skills!O8</f>
        <v/>
      </c>
      <c r="G91">
        <f>Calc!G8</f>
        <v/>
      </c>
      <c r="H91">
        <f>Calc!H8</f>
        <v/>
      </c>
      <c r="I91">
        <f>IF(Skills!AA8&lt;&gt;"",1+(Skills!AA8/10)*(U86/1000)/100,1)</f>
        <v/>
      </c>
      <c r="J91">
        <f>((Inputs!$B$6*(1+Inputs!$B$7/100))+(((Inputs!$B$12*(1+(Inputs!$B$13+1)/100))-(Inputs!$B$12*(1+Inputs!$B$13/100)))+0.25*(Inputs!$B$14-Inputs!$B$14))*(1+Inputs!$B$7/100))*(F91/100)</f>
        <v/>
      </c>
      <c r="K91">
        <f>J91*(1+((Inputs!$B$12*(1+(Inputs!$B$13+1)/100))*0.01+Inputs!$B$14*0.0025)/100)*(1+Inputs!$B$15/100)*(1+Inputs!$B$16/100)*(5000/(6000+Inputs!$B$43*(1-Inputs!$B$19/100)))*(1+(Inputs!$B$24+((C113=TRUE)*(F113-Calc!F30)))/100)*(1+Skills!R8/100)*(1+(IF(Skills!A8="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91)</f>
        <v/>
      </c>
      <c r="L91">
        <f>K91*(MIN(Inputs!$B$22+((C107=TRUE)*(F107-Calc!F24)),Inputs!$B$23)/100+Inputs!$B$23/100)/2</f>
        <v/>
      </c>
      <c r="M91">
        <f>L91*(1+(Inputs!$B$10+((C109=TRUE)*(F109-Calc!F26))+B126)/100)</f>
        <v/>
      </c>
      <c r="N91">
        <f>L91*(1-MIN((Inputs!$B$9+((C108=TRUE)*(F108-Calc!F25))+B123),100)/100)+M91*(MIN((Inputs!$B$9+((C108=TRUE)*(F108-Calc!F25))+B123),100)/100)</f>
        <v/>
      </c>
      <c r="O91">
        <f>(1-Summary!$B$55)*T91+Summary!$B$55*V91</f>
        <v/>
      </c>
      <c r="P91">
        <f>IF(B127=0,0,O91/B127)</f>
        <v/>
      </c>
      <c r="Q91">
        <f>IFERROR(1/IF(Inputs!$B$39="pvp",15,MAX(0.1,Skills!D8-IF(Skills!E8=TRUE,Inputs!$B$32,0))),0)</f>
        <v/>
      </c>
      <c r="R91">
        <f>IF(AND(Inputs!$B$39&lt;&gt;"pvp",Inputs!$B$44&gt;0),IF(MAX(0,Inputs!$B$44-B128)&lt;=0,0,(INT(MAX(0,Inputs!$B$44-B128)/IF(Inputs!$B$39="pvp",15,MAX(0.1,Skills!D8-IF(Skills!E8=TRUE,Inputs!$B$32,0))))+1)),0)</f>
        <v/>
      </c>
      <c r="S91">
        <f>IFERROR(O91/N91,0)</f>
        <v/>
      </c>
      <c r="T91">
        <f>IF(C91,(H91*N91*IF(AND(Inputs!$B$39&lt;&gt;"pvp",Inputs!$B$44&gt;0),((Skills!G8*((R91-1)*IF(Skills!H8&gt;0,Skills!I8/Skills!H8,1)+IF(Skills!H8&gt;0,MIN(Skills!I8,MAX(0,MAX(0,Inputs!$B$44-B128)-((R91-1)*IF(Inputs!$B$39="pvp",15,MAX(0.1,Skills!D8-IF(Skills!E8=TRUE,Inputs!$B$32,0))))))/Skills!H8,1)))/Inputs!$B$44),G91*Q91))*IF(Inputs!$B$39="pvp",1,1+(Inputs!$B$20+((C110=TRUE)*(F110-Calc!F27))+Skills!P8+B124)/100),0)</f>
        <v/>
      </c>
      <c r="V91">
        <f>IF(C91,(H91*N91*IF(AND(Inputs!$B$39&lt;&gt;"pvp",Inputs!$B$44&gt;0),((Skills!G8*((R91-1)*IF(Skills!H8&gt;0,Skills!I8/Skills!H8,1)+IF(Skills!H8&gt;0,MIN(Skills!I8,MAX(0,MAX(0,Inputs!$B$44-B128)-((R91-1)*IF(Inputs!$B$39="pvp",15,MAX(0.1,Skills!D8-IF(Skills!E8=TRUE,Inputs!$B$32,0))))))/Skills!H8,1)))/Inputs!$B$44),G91*Q91))*IF(Inputs!$B$39="pvp",1,(1+(Inputs!$B$21+Skills!Q8+B124)/100)*(MIN(Skills!W8,Inputs!$B$37))),0)</f>
        <v/>
      </c>
    </row>
    <row r="92">
      <c r="A92">
        <f>Skills!A9</f>
        <v/>
      </c>
      <c r="B92">
        <f>Skills!B9</f>
        <v/>
      </c>
      <c r="C92">
        <f>Inputs!$B$3&gt;=72</f>
        <v/>
      </c>
      <c r="D92">
        <f>IF(Skills!C9=1,60+Inputs!$B$25+Inputs!$B$29,IF(Skills!C9=2,90+Inputs!$B$26+Inputs!$B$29,IF(Skills!C9=3,120+Inputs!$B$27+Inputs!$B$29,MAX(0,(Inputs!$B$3-100)*3)+Inputs!$B$28+Inputs!$B$29)))</f>
        <v/>
      </c>
      <c r="E92">
        <f>INDEX(FactorTable!$B$2:$Y$301, MATCH(ROUND(MIN(300,MAX(1,D92)),0), FactorTable!$A$2:$A$301,0), Skills!M9+1)</f>
        <v/>
      </c>
      <c r="F92">
        <f>IF(Skills!N9=TRUE,(Skills!L9/10)*(E92/1000),Skills!L9/10)+Skills!O9</f>
        <v/>
      </c>
      <c r="G92">
        <f>Calc!G9</f>
        <v/>
      </c>
      <c r="H92">
        <f>Calc!H9</f>
        <v/>
      </c>
      <c r="I92">
        <f>IF(Skills!AA9&lt;&gt;"",1+(Skills!AA9/10)*(U86/1000)/100,1)</f>
        <v/>
      </c>
      <c r="J92">
        <f>((Inputs!$B$6*(1+Inputs!$B$7/100))+(((Inputs!$B$12*(1+(Inputs!$B$13+1)/100))-(Inputs!$B$12*(1+Inputs!$B$13/100)))+0.25*(Inputs!$B$14-Inputs!$B$14))*(1+Inputs!$B$7/100))*(F92/100)</f>
        <v/>
      </c>
      <c r="K92">
        <f>J92*(1+((Inputs!$B$12*(1+(Inputs!$B$13+1)/100))*0.01+Inputs!$B$14*0.0025)/100)*(1+Inputs!$B$15/100)*(1+Inputs!$B$16/100)*(5000/(6000+Inputs!$B$43*(1-Inputs!$B$19/100)))*(1+(Inputs!$B$24+((C113=TRUE)*(F113-Calc!F30)))/100)*(1+Skills!R9/100)*(1+(IF(Skills!A9="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92)</f>
        <v/>
      </c>
      <c r="L92">
        <f>K92*(MIN(Inputs!$B$22+((C107=TRUE)*(F107-Calc!F24)),Inputs!$B$23)/100+Inputs!$B$23/100)/2</f>
        <v/>
      </c>
      <c r="M92">
        <f>L92*(1+(Inputs!$B$10+((C109=TRUE)*(F109-Calc!F26))+B126)/100)</f>
        <v/>
      </c>
      <c r="N92">
        <f>L92*(1-MIN((Inputs!$B$9+((C108=TRUE)*(F108-Calc!F25))+B123),100)/100)+M92*(MIN((Inputs!$B$9+((C108=TRUE)*(F108-Calc!F25))+B123),100)/100)</f>
        <v/>
      </c>
      <c r="O92">
        <f>(1-Summary!$B$55)*T92+Summary!$B$55*V92</f>
        <v/>
      </c>
      <c r="P92">
        <f>IF(B127=0,0,O92/B127)</f>
        <v/>
      </c>
      <c r="Q92">
        <f>IFERROR(1/IF(Inputs!$B$39="pvp",15,MAX(0.1,Skills!D9-IF(Skills!E9=TRUE,Inputs!$B$32,0))),0)</f>
        <v/>
      </c>
      <c r="R92">
        <f>IF(AND(Inputs!$B$39&lt;&gt;"pvp",Inputs!$B$44&gt;0),IF(MAX(0,Inputs!$B$44-B128)&lt;=0,0,(INT(MAX(0,Inputs!$B$44-B128)/IF(Inputs!$B$39="pvp",15,MAX(0.1,Skills!D9-IF(Skills!E9=TRUE,Inputs!$B$32,0))))+1)),0)</f>
        <v/>
      </c>
      <c r="S92">
        <f>IFERROR(O92/N92,0)</f>
        <v/>
      </c>
      <c r="T92">
        <f>IF(C92,(H92*N92*IF(AND(Inputs!$B$39&lt;&gt;"pvp",Inputs!$B$44&gt;0),((Skills!G9*((R92-1)*IF(Skills!H9&gt;0,Skills!I9/Skills!H9,1)+IF(Skills!H9&gt;0,MIN(Skills!I9,MAX(0,MAX(0,Inputs!$B$44-B128)-((R92-1)*IF(Inputs!$B$39="pvp",15,MAX(0.1,Skills!D9-IF(Skills!E9=TRUE,Inputs!$B$32,0))))))/Skills!H9,1)))/Inputs!$B$44),G92*Q92))*IF(Inputs!$B$39="pvp",1,1+(Inputs!$B$20+((C110=TRUE)*(F110-Calc!F27))+Skills!P9+B124)/100),0)</f>
        <v/>
      </c>
      <c r="V92">
        <f>IF(C92,(H92*N92*IF(AND(Inputs!$B$39&lt;&gt;"pvp",Inputs!$B$44&gt;0),((Skills!G9*((R92-1)*IF(Skills!H9&gt;0,Skills!I9/Skills!H9,1)+IF(Skills!H9&gt;0,MIN(Skills!I9,MAX(0,MAX(0,Inputs!$B$44-B128)-((R92-1)*IF(Inputs!$B$39="pvp",15,MAX(0.1,Skills!D9-IF(Skills!E9=TRUE,Inputs!$B$32,0))))))/Skills!H9,1)))/Inputs!$B$44),G92*Q92))*IF(Inputs!$B$39="pvp",1,(1+(Inputs!$B$21+Skills!Q9+B124)/100)*(MIN(Skills!W9,Inputs!$B$37))),0)</f>
        <v/>
      </c>
    </row>
    <row r="93">
      <c r="A93">
        <f>Skills!A10</f>
        <v/>
      </c>
      <c r="B93">
        <f>Skills!B10</f>
        <v/>
      </c>
      <c r="C93">
        <f>Inputs!$B$3&gt;=117</f>
        <v/>
      </c>
      <c r="D93">
        <f>IF(Skills!C10=1,60+Inputs!$B$25+Inputs!$B$29,IF(Skills!C10=2,90+Inputs!$B$26+Inputs!$B$29,IF(Skills!C10=3,120+Inputs!$B$27+Inputs!$B$29,MAX(0,(Inputs!$B$3-100)*3)+Inputs!$B$28+Inputs!$B$29)))</f>
        <v/>
      </c>
      <c r="E93">
        <f>INDEX(FactorTable!$B$2:$Y$301, MATCH(ROUND(MIN(300,MAX(1,D93)),0), FactorTable!$A$2:$A$301,0), Skills!M10+1)</f>
        <v/>
      </c>
      <c r="F93">
        <f>IF(Skills!N10=TRUE,(Skills!L10/10)*(E93/1000),Skills!L10/10)+Skills!O10</f>
        <v/>
      </c>
      <c r="G93">
        <f>Calc!G10</f>
        <v/>
      </c>
      <c r="H93">
        <f>Calc!H10</f>
        <v/>
      </c>
      <c r="I93">
        <f>IF(Skills!AA10&lt;&gt;"",1+(Skills!AA10/10)*(U86/1000)/100,1)</f>
        <v/>
      </c>
      <c r="J93">
        <f>((Inputs!$B$6*(1+Inputs!$B$7/100))+(((Inputs!$B$12*(1+(Inputs!$B$13+1)/100))-(Inputs!$B$12*(1+Inputs!$B$13/100)))+0.25*(Inputs!$B$14-Inputs!$B$14))*(1+Inputs!$B$7/100))*(F93/100)</f>
        <v/>
      </c>
      <c r="K93">
        <f>J93*(1+((Inputs!$B$12*(1+(Inputs!$B$13+1)/100))*0.01+Inputs!$B$14*0.0025)/100)*(1+Inputs!$B$15/100)*(1+Inputs!$B$16/100)*(5000/(6000+Inputs!$B$43*(1-Inputs!$B$19/100)))*(1+(Inputs!$B$24+((C113=TRUE)*(F113-Calc!F30)))/100)*(1+Skills!R10/100)*(1+(IF(Skills!A10="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93)</f>
        <v/>
      </c>
      <c r="L93">
        <f>K93*(MIN(Inputs!$B$22+((C107=TRUE)*(F107-Calc!F24)),Inputs!$B$23)/100+Inputs!$B$23/100)/2</f>
        <v/>
      </c>
      <c r="M93">
        <f>L93*(1+(Inputs!$B$10+((C109=TRUE)*(F109-Calc!F26))+B126)/100)</f>
        <v/>
      </c>
      <c r="N93">
        <f>L93*(1-MIN((Inputs!$B$9+((C108=TRUE)*(F108-Calc!F25))+B123),100)/100)+M93*(MIN((Inputs!$B$9+((C108=TRUE)*(F108-Calc!F25))+B123),100)/100)</f>
        <v/>
      </c>
      <c r="O93">
        <f>(1-Summary!$B$55)*T93+Summary!$B$55*V93</f>
        <v/>
      </c>
      <c r="P93">
        <f>IF(B127=0,0,O93/B127)</f>
        <v/>
      </c>
      <c r="Q93" t="n">
        <v>0</v>
      </c>
      <c r="R93" t="n">
        <v>0</v>
      </c>
      <c r="S93" t="n">
        <v>0</v>
      </c>
      <c r="T93">
        <f>IF(C93,(0.2*SUMPRODUCT((Skills!Z2:Z31=TRUE)*(C85:C114=TRUE)*S85:S114)*N93)*IF(Inputs!$B$39="pvp",1,1+(Inputs!$B$20+((C110=TRUE)*(F110-Calc!F27))+Skills!P10+B124)/100),0)</f>
        <v/>
      </c>
      <c r="V93">
        <f>IF(C93,(0.2*SUMPRODUCT((Skills!Z2:Z31=TRUE)*(C85:C114=TRUE)*S85:S114)*N93)*IF(Inputs!$B$39="pvp",1,(1+(Inputs!$B$21+Skills!Q10+B124)/100)*(MIN(Skills!W10,Inputs!$B$37))),0)</f>
        <v/>
      </c>
    </row>
    <row r="94">
      <c r="A94">
        <f>Skills!A11</f>
        <v/>
      </c>
      <c r="B94">
        <f>Skills!B11</f>
        <v/>
      </c>
      <c r="C94">
        <f>Inputs!$B$3&gt;=60</f>
        <v/>
      </c>
      <c r="D94">
        <f>IF(Skills!C11=1,60+Inputs!$B$25+Inputs!$B$29,IF(Skills!C11=2,90+Inputs!$B$26+Inputs!$B$29,IF(Skills!C11=3,120+Inputs!$B$27+Inputs!$B$29,MAX(0,(Inputs!$B$3-100)*3)+Inputs!$B$28+Inputs!$B$29)))</f>
        <v/>
      </c>
      <c r="E94">
        <f>INDEX(FactorTable!$B$2:$Y$301, MATCH(ROUND(MIN(300,MAX(1,D94)),0), FactorTable!$A$2:$A$301,0), Skills!M11+1)</f>
        <v/>
      </c>
      <c r="F94">
        <f>IF(Skills!N11=TRUE,(Skills!L11/10)*(E94/1000),Skills!L11/10)+Skills!O11</f>
        <v/>
      </c>
      <c r="G94">
        <f>Calc!G11</f>
        <v/>
      </c>
      <c r="H94">
        <f>Calc!H11</f>
        <v/>
      </c>
      <c r="I94">
        <f>IF(Skills!AA11&lt;&gt;"",1+(Skills!AA11/10)*(U86/1000)/100,1)</f>
        <v/>
      </c>
      <c r="J94" t="inlineStr"/>
      <c r="K94" t="inlineStr"/>
      <c r="L94" t="inlineStr"/>
      <c r="M94" t="inlineStr"/>
      <c r="N94" t="inlineStr"/>
      <c r="O94">
        <f>(1-Summary!$B$55)*T94+Summary!$B$55*V94</f>
        <v/>
      </c>
      <c r="P94">
        <f>IF(B127=0,0,O94/B127)</f>
        <v/>
      </c>
      <c r="Q94" t="n">
        <v>0</v>
      </c>
      <c r="R94" t="n">
        <v>0</v>
      </c>
      <c r="S94">
        <f>IFERROR(O94/N94,0)</f>
        <v/>
      </c>
      <c r="T94" t="n">
        <v>0</v>
      </c>
      <c r="V94" t="n">
        <v>0</v>
      </c>
    </row>
    <row r="95">
      <c r="A95">
        <f>Skills!A12</f>
        <v/>
      </c>
      <c r="B95">
        <f>Skills!B12</f>
        <v/>
      </c>
      <c r="C95">
        <f>Inputs!$B$3&gt;=103</f>
        <v/>
      </c>
      <c r="D95">
        <f>IF(Skills!C12=1,60+Inputs!$B$25+Inputs!$B$29,IF(Skills!C12=2,90+Inputs!$B$26+Inputs!$B$29,IF(Skills!C12=3,120+Inputs!$B$27+Inputs!$B$29,MAX(0,(Inputs!$B$3-100)*3)+Inputs!$B$28+Inputs!$B$29)))</f>
        <v/>
      </c>
      <c r="E95">
        <f>INDEX(FactorTable!$B$2:$Y$301, MATCH(ROUND(MIN(300,MAX(1,D95)),0), FactorTable!$A$2:$A$301,0), Skills!M12+1)</f>
        <v/>
      </c>
      <c r="F95">
        <f>IF(Skills!N12=TRUE,(Skills!L12/10)*(E95/1000),Skills!L12/10)+Skills!O12</f>
        <v/>
      </c>
      <c r="G95">
        <f>Calc!G12</f>
        <v/>
      </c>
      <c r="H95">
        <f>Calc!H12</f>
        <v/>
      </c>
      <c r="I95">
        <f>IF(Skills!AA12&lt;&gt;"",1+(Skills!AA12/10)*(U86/1000)/100,1)</f>
        <v/>
      </c>
      <c r="J95">
        <f>((Inputs!$B$6*(1+Inputs!$B$7/100))+(((Inputs!$B$12*(1+(Inputs!$B$13+1)/100))-(Inputs!$B$12*(1+Inputs!$B$13/100)))+0.25*(Inputs!$B$14-Inputs!$B$14))*(1+Inputs!$B$7/100))*(F95/100)</f>
        <v/>
      </c>
      <c r="K95">
        <f>J95*(1+((Inputs!$B$12*(1+(Inputs!$B$13+1)/100))*0.01+Inputs!$B$14*0.0025)/100)*(1+Inputs!$B$15/100)*(1+Inputs!$B$16/100)*(5000/(6000+Inputs!$B$43*(1-Inputs!$B$19/100)))*(1+(Inputs!$B$24+((C113=TRUE)*(F113-Calc!F30)))/100)*(1+Skills!R12/100)*(1+(IF(Skills!A12="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95)</f>
        <v/>
      </c>
      <c r="L95">
        <f>K95*(MIN(Inputs!$B$22+((C107=TRUE)*(F107-Calc!F24)),Inputs!$B$23)/100+Inputs!$B$23/100)/2</f>
        <v/>
      </c>
      <c r="M95">
        <f>L95*(1+(Inputs!$B$10+((C109=TRUE)*(F109-Calc!F26))+B126)/100)</f>
        <v/>
      </c>
      <c r="N95">
        <f>L95*(1-MIN((Inputs!$B$9+((C108=TRUE)*(F108-Calc!F25))+B123),100)/100)+M95*(MIN((Inputs!$B$9+((C108=TRUE)*(F108-Calc!F25))+B123),100)/100)</f>
        <v/>
      </c>
      <c r="O95">
        <f>(1-Summary!$B$55)*T95+Summary!$B$55*V95</f>
        <v/>
      </c>
      <c r="P95">
        <f>IF(B127=0,0,O95/B127)</f>
        <v/>
      </c>
      <c r="Q95">
        <f>IFERROR(1/IF(Inputs!$B$39="pvp",15,MAX(0.1,Skills!D12-IF(Skills!E12=TRUE,Inputs!$B$32,0))),0)</f>
        <v/>
      </c>
      <c r="R95">
        <f>IF(AND(Inputs!$B$39&lt;&gt;"pvp",Inputs!$B$44&gt;0),IF(MAX(0,Inputs!$B$44-B128)&lt;=0,0,(INT(MAX(0,Inputs!$B$44-B128)/IF(Inputs!$B$39="pvp",15,MAX(0.1,Skills!D12-IF(Skills!E12=TRUE,Inputs!$B$32,0))))+1)),0)</f>
        <v/>
      </c>
      <c r="S95">
        <f>IFERROR(O95/N95,0)</f>
        <v/>
      </c>
      <c r="T95">
        <f>IF(C95,(H95*N95*IF(AND(Inputs!$B$39&lt;&gt;"pvp",Inputs!$B$44&gt;0),((Skills!G12*((R95-1)*IF(Skills!H12&gt;0,Skills!I12/Skills!H12,1)+IF(Skills!H12&gt;0,MIN(Skills!I12,MAX(0,MAX(0,Inputs!$B$44-B128)-((R95-1)*IF(Inputs!$B$39="pvp",15,MAX(0.1,Skills!D12-IF(Skills!E12=TRUE,Inputs!$B$32,0))))))/Skills!H12,1)))/Inputs!$B$44),G95*Q95))*IF(Inputs!$B$39="pvp",1,1+(Inputs!$B$20+((C110=TRUE)*(F110-Calc!F27))+Skills!P12+B124)/100),0)</f>
        <v/>
      </c>
      <c r="V95">
        <f>IF(C95,(H95*N95*IF(AND(Inputs!$B$39&lt;&gt;"pvp",Inputs!$B$44&gt;0),((Skills!G12*((R95-1)*IF(Skills!H12&gt;0,Skills!I12/Skills!H12,1)+IF(Skills!H12&gt;0,MIN(Skills!I12,MAX(0,MAX(0,Inputs!$B$44-B128)-((R95-1)*IF(Inputs!$B$39="pvp",15,MAX(0.1,Skills!D12-IF(Skills!E12=TRUE,Inputs!$B$32,0))))))/Skills!H12,1)))/Inputs!$B$44),G95*Q95))*IF(Inputs!$B$39="pvp",1,(1+(Inputs!$B$21+Skills!Q12+B124)/100)*(MIN(Skills!W12,Inputs!$B$37))),0)</f>
        <v/>
      </c>
    </row>
    <row r="96">
      <c r="A96">
        <f>Skills!A13</f>
        <v/>
      </c>
      <c r="B96">
        <f>Skills!B13</f>
        <v/>
      </c>
      <c r="C96">
        <f>Inputs!$B$3&gt;=105</f>
        <v/>
      </c>
      <c r="D96">
        <f>IF(Skills!C13=1,60+Inputs!$B$25+Inputs!$B$29,IF(Skills!C13=2,90+Inputs!$B$26+Inputs!$B$29,IF(Skills!C13=3,120+Inputs!$B$27+Inputs!$B$29,MAX(0,(Inputs!$B$3-100)*3)+Inputs!$B$28+Inputs!$B$29)))</f>
        <v/>
      </c>
      <c r="E96">
        <f>INDEX(FactorTable!$B$2:$Y$301, MATCH(ROUND(MIN(300,MAX(1,D96)),0), FactorTable!$A$2:$A$301,0), Skills!M13+1)</f>
        <v/>
      </c>
      <c r="F96">
        <f>IF(Skills!N13=TRUE,(Skills!L13/10)*(E96/1000),Skills!L13/10)+Skills!O13</f>
        <v/>
      </c>
      <c r="G96">
        <f>Calc!G13</f>
        <v/>
      </c>
      <c r="H96">
        <f>Calc!H13</f>
        <v/>
      </c>
      <c r="I96">
        <f>IF(Skills!AA13&lt;&gt;"",1+(Skills!AA13/10)*(U86/1000)/100,1)</f>
        <v/>
      </c>
      <c r="J96">
        <f>((Inputs!$B$6*(1+Inputs!$B$7/100))+(((Inputs!$B$12*(1+(Inputs!$B$13+1)/100))-(Inputs!$B$12*(1+Inputs!$B$13/100)))+0.25*(Inputs!$B$14-Inputs!$B$14))*(1+Inputs!$B$7/100))*(F96/100)</f>
        <v/>
      </c>
      <c r="K96">
        <f>J96*(1+((Inputs!$B$12*(1+(Inputs!$B$13+1)/100))*0.01+Inputs!$B$14*0.0025)/100)*(1+Inputs!$B$15/100)*(1+Inputs!$B$16/100)*(5000/(6000+Inputs!$B$43*(1-Inputs!$B$19/100)))*(1+(Inputs!$B$24+((C113=TRUE)*(F113-Calc!F30)))/100)*(1+Skills!R13/100)*(1+(IF(Skills!A13="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96)</f>
        <v/>
      </c>
      <c r="L96">
        <f>K96*(MIN(Inputs!$B$22+((C107=TRUE)*(F107-Calc!F24)),Inputs!$B$23)/100+Inputs!$B$23/100)/2</f>
        <v/>
      </c>
      <c r="M96">
        <f>L96*(1+(Inputs!$B$10+((C109=TRUE)*(F109-Calc!F26))+B126)/100)</f>
        <v/>
      </c>
      <c r="N96">
        <f>L96*(1-MIN((Inputs!$B$9+((C108=TRUE)*(F108-Calc!F25))+B123),100)/100)+M96*(MIN((Inputs!$B$9+((C108=TRUE)*(F108-Calc!F25))+B123),100)/100)</f>
        <v/>
      </c>
      <c r="O96">
        <f>(1-Summary!$B$55)*T96+Summary!$B$55*V96</f>
        <v/>
      </c>
      <c r="P96">
        <f>IF(B127=0,0,O96/B127)</f>
        <v/>
      </c>
      <c r="Q96">
        <f>IFERROR(1/IF(Inputs!$B$39="pvp",15,MAX(0.1,Skills!D13-IF(Skills!E13=TRUE,Inputs!$B$32,0))),0)</f>
        <v/>
      </c>
      <c r="R96">
        <f>IF(AND(Inputs!$B$39&lt;&gt;"pvp",Inputs!$B$44&gt;0),IF(MAX(0,Inputs!$B$44-B128)&lt;=0,0,(INT(MAX(0,Inputs!$B$44-B128)/IF(Inputs!$B$39="pvp",15,MAX(0.1,Skills!D13-IF(Skills!E13=TRUE,Inputs!$B$32,0))))+1)),0)</f>
        <v/>
      </c>
      <c r="S96">
        <f>IFERROR(O96/N96,0)</f>
        <v/>
      </c>
      <c r="T96">
        <f>IF(C96,(H96*N96*IF(AND(Inputs!$B$39&lt;&gt;"pvp",Inputs!$B$44&gt;0),((Skills!G13*((R96-1)*IF(Skills!H13&gt;0,Skills!I13/Skills!H13,1)+IF(Skills!H13&gt;0,MIN(Skills!I13,MAX(0,MAX(0,Inputs!$B$44-B128)-((R96-1)*IF(Inputs!$B$39="pvp",15,MAX(0.1,Skills!D13-IF(Skills!E13=TRUE,Inputs!$B$32,0))))))/Skills!H13,1)))/Inputs!$B$44),G96*Q96))*IF(Inputs!$B$39="pvp",1,1+(Inputs!$B$20+((C110=TRUE)*(F110-Calc!F27))+Skills!P13+B124)/100),0)</f>
        <v/>
      </c>
      <c r="V96">
        <f>IF(C96,(H96*N96*IF(AND(Inputs!$B$39&lt;&gt;"pvp",Inputs!$B$44&gt;0),((Skills!G13*((R96-1)*IF(Skills!H13&gt;0,Skills!I13/Skills!H13,1)+IF(Skills!H13&gt;0,MIN(Skills!I13,MAX(0,MAX(0,Inputs!$B$44-B128)-((R96-1)*IF(Inputs!$B$39="pvp",15,MAX(0.1,Skills!D13-IF(Skills!E13=TRUE,Inputs!$B$32,0))))))/Skills!H13,1)))/Inputs!$B$44),G96*Q96))*IF(Inputs!$B$39="pvp",1,(1+(Inputs!$B$21+Skills!Q13+B124)/100)*(MIN(Skills!W13,Inputs!$B$37))),0)</f>
        <v/>
      </c>
    </row>
    <row r="97">
      <c r="A97">
        <f>Skills!A14</f>
        <v/>
      </c>
      <c r="B97">
        <f>Skills!B14</f>
        <v/>
      </c>
      <c r="C97">
        <f>Inputs!$B$3&gt;=105</f>
        <v/>
      </c>
      <c r="D97">
        <f>IF(Skills!C14=1,60+Inputs!$B$25+Inputs!$B$29,IF(Skills!C14=2,90+Inputs!$B$26+Inputs!$B$29,IF(Skills!C14=3,120+Inputs!$B$27+Inputs!$B$29,MAX(0,(Inputs!$B$3-100)*3)+Inputs!$B$28+Inputs!$B$29)))</f>
        <v/>
      </c>
      <c r="E97">
        <f>INDEX(FactorTable!$B$2:$Y$301, MATCH(ROUND(MIN(300,MAX(1,D97)),0), FactorTable!$A$2:$A$301,0), Skills!M14+1)</f>
        <v/>
      </c>
      <c r="F97">
        <f>IF(Skills!N14=TRUE,(Skills!L14/10)*(E97/1000),Skills!L14/10)+Skills!O14</f>
        <v/>
      </c>
      <c r="G97">
        <f>Calc!G14</f>
        <v/>
      </c>
      <c r="H97">
        <f>Calc!H14</f>
        <v/>
      </c>
      <c r="I97">
        <f>IF(Skills!AA14&lt;&gt;"",1+(Skills!AA14/10)*(U86/1000)/100,1)</f>
        <v/>
      </c>
      <c r="J97">
        <f>((Inputs!$B$6*(1+Inputs!$B$7/100))+(((Inputs!$B$12*(1+(Inputs!$B$13+1)/100))-(Inputs!$B$12*(1+Inputs!$B$13/100)))+0.25*(Inputs!$B$14-Inputs!$B$14))*(1+Inputs!$B$7/100))*(F97/100)</f>
        <v/>
      </c>
      <c r="K97">
        <f>J97*(1+((Inputs!$B$12*(1+(Inputs!$B$13+1)/100))*0.01+Inputs!$B$14*0.0025)/100)*(1+Inputs!$B$15/100)*(1+Inputs!$B$16/100)*(5000/(6000+Inputs!$B$43*(1-Inputs!$B$19/100)))*(1+(Inputs!$B$24+((C113=TRUE)*(F113-Calc!F30)))/100)*(1+Skills!R14/100)*(1+(IF(Skills!A14="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97)</f>
        <v/>
      </c>
      <c r="L97">
        <f>K97*(MIN(Inputs!$B$22+((C107=TRUE)*(F107-Calc!F24)),Inputs!$B$23)/100+Inputs!$B$23/100)/2</f>
        <v/>
      </c>
      <c r="M97">
        <f>L97*(1+(Inputs!$B$10+((C109=TRUE)*(F109-Calc!F26))+B126)/100)</f>
        <v/>
      </c>
      <c r="N97">
        <f>L97*(1-MIN((Inputs!$B$9+((C108=TRUE)*(F108-Calc!F25))+B123),100)/100)+M97*(MIN((Inputs!$B$9+((C108=TRUE)*(F108-Calc!F25))+B123),100)/100)</f>
        <v/>
      </c>
      <c r="O97">
        <f>(1-Summary!$B$55)*T97+Summary!$B$55*V97</f>
        <v/>
      </c>
      <c r="P97">
        <f>IF(B127=0,0,O97/B127)</f>
        <v/>
      </c>
      <c r="Q97">
        <f>IFERROR(1/IF(Inputs!$B$39="pvp",15,MAX(0.1,Skills!D14-IF(Skills!E14=TRUE,Inputs!$B$32,0))),0)</f>
        <v/>
      </c>
      <c r="R97">
        <f>IF(AND(Inputs!$B$39&lt;&gt;"pvp",Inputs!$B$44&gt;0),IF(MAX(0,Inputs!$B$44-B128)&lt;=0,0,(INT(MAX(0,Inputs!$B$44-B128)/IF(Inputs!$B$39="pvp",15,MAX(0.1,Skills!D14-IF(Skills!E14=TRUE,Inputs!$B$32,0))))+1)),0)</f>
        <v/>
      </c>
      <c r="S97">
        <f>IFERROR(O97/N97,0)</f>
        <v/>
      </c>
      <c r="T97">
        <f>IF(C97,(H97*N97*IF(AND(Inputs!$B$39&lt;&gt;"pvp",Inputs!$B$44&gt;0),((Skills!G14*((R97-1)*IF(Skills!H14&gt;0,Skills!I14/Skills!H14,1)+IF(Skills!H14&gt;0,MIN(Skills!I14,MAX(0,MAX(0,Inputs!$B$44-B128)-((R97-1)*IF(Inputs!$B$39="pvp",15,MAX(0.1,Skills!D14-IF(Skills!E14=TRUE,Inputs!$B$32,0))))))/Skills!H14,1)))/Inputs!$B$44),G97*Q97))*IF(Inputs!$B$39="pvp",1,1+(Inputs!$B$20+((C110=TRUE)*(F110-Calc!F27))+Skills!P14+B124)/100),0)</f>
        <v/>
      </c>
      <c r="V97">
        <f>IF(C97,(H97*N97*IF(AND(Inputs!$B$39&lt;&gt;"pvp",Inputs!$B$44&gt;0),((Skills!G14*((R97-1)*IF(Skills!H14&gt;0,Skills!I14/Skills!H14,1)+IF(Skills!H14&gt;0,MIN(Skills!I14,MAX(0,MAX(0,Inputs!$B$44-B128)-((R97-1)*IF(Inputs!$B$39="pvp",15,MAX(0.1,Skills!D14-IF(Skills!E14=TRUE,Inputs!$B$32,0))))))/Skills!H14,1)))/Inputs!$B$44),G97*Q97))*IF(Inputs!$B$39="pvp",1,(1+(Inputs!$B$21+Skills!Q14+B124)/100)*(MIN(Skills!W14,Inputs!$B$37))),0)</f>
        <v/>
      </c>
    </row>
    <row r="98">
      <c r="A98">
        <f>Skills!A15</f>
        <v/>
      </c>
      <c r="B98">
        <f>Skills!B15</f>
        <v/>
      </c>
      <c r="C98">
        <f>Inputs!$B$3&gt;=110</f>
        <v/>
      </c>
      <c r="D98">
        <f>IF(Skills!C15=1,60+Inputs!$B$25+Inputs!$B$29,IF(Skills!C15=2,90+Inputs!$B$26+Inputs!$B$29,IF(Skills!C15=3,120+Inputs!$B$27+Inputs!$B$29,MAX(0,(Inputs!$B$3-100)*3)+Inputs!$B$28+Inputs!$B$29)))</f>
        <v/>
      </c>
      <c r="E98">
        <f>INDEX(FactorTable!$B$2:$Y$301, MATCH(ROUND(MIN(300,MAX(1,D98)),0), FactorTable!$A$2:$A$301,0), Skills!M15+1)</f>
        <v/>
      </c>
      <c r="F98">
        <f>IF(Skills!N15=TRUE,(Skills!L15/10)*(E98/1000),Skills!L15/10)+Skills!O15</f>
        <v/>
      </c>
      <c r="G98">
        <f>Calc!G15</f>
        <v/>
      </c>
      <c r="H98">
        <f>Calc!H15</f>
        <v/>
      </c>
      <c r="I98">
        <f>IF(Skills!AA15&lt;&gt;"",1+(Skills!AA15/10)*(U86/1000)/100,1)</f>
        <v/>
      </c>
      <c r="J98" t="inlineStr"/>
      <c r="K98" t="inlineStr"/>
      <c r="L98" t="inlineStr"/>
      <c r="M98" t="inlineStr"/>
      <c r="N98" t="inlineStr"/>
      <c r="O98">
        <f>(1-Summary!$B$55)*T98+Summary!$B$55*V98</f>
        <v/>
      </c>
      <c r="P98">
        <f>IF(B127=0,0,O98/B127)</f>
        <v/>
      </c>
      <c r="Q98">
        <f>IFERROR(1/IF(Inputs!$B$39="pvp",15,MAX(0.1,Skills!D15-IF(Skills!E15=TRUE,Inputs!$B$32,0))),0)</f>
        <v/>
      </c>
      <c r="R98">
        <f>IF(AND(Inputs!$B$39&lt;&gt;"pvp",Inputs!$B$44&gt;0),IF(Inputs!$B$44&lt;=0,0,(INT(Inputs!$B$44/IF(Inputs!$B$39="pvp",15,MAX(0.1,Skills!D15-IF(Skills!E15=TRUE,Inputs!$B$32,0))))+1)),0)</f>
        <v/>
      </c>
      <c r="S98">
        <f>IFERROR(O98/N98,0)</f>
        <v/>
      </c>
      <c r="T98" t="n">
        <v>0</v>
      </c>
      <c r="V98" t="n">
        <v>0</v>
      </c>
    </row>
    <row r="99">
      <c r="A99">
        <f>Skills!A16</f>
        <v/>
      </c>
      <c r="B99">
        <f>Skills!B16</f>
        <v/>
      </c>
      <c r="C99">
        <f>Inputs!$B$3&gt;=110</f>
        <v/>
      </c>
      <c r="D99">
        <f>IF(Skills!C16=1,60+Inputs!$B$25+Inputs!$B$29,IF(Skills!C16=2,90+Inputs!$B$26+Inputs!$B$29,IF(Skills!C16=3,120+Inputs!$B$27+Inputs!$B$29,MAX(0,(Inputs!$B$3-100)*3)+Inputs!$B$28+Inputs!$B$29)))</f>
        <v/>
      </c>
      <c r="E99">
        <f>INDEX(FactorTable!$B$2:$Y$301, MATCH(ROUND(MIN(300,MAX(1,D99)),0), FactorTable!$A$2:$A$301,0), Skills!M16+1)</f>
        <v/>
      </c>
      <c r="F99">
        <f>IF(Skills!N16=TRUE,(Skills!L16/10)*(E99/1000),Skills!L16/10)+Skills!O16</f>
        <v/>
      </c>
      <c r="G99">
        <f>Calc!G16</f>
        <v/>
      </c>
      <c r="H99">
        <f>Calc!H16</f>
        <v/>
      </c>
      <c r="I99">
        <f>IF(Skills!AA16&lt;&gt;"",1+(Skills!AA16/10)*(U86/1000)/100,1)</f>
        <v/>
      </c>
      <c r="J99" t="inlineStr"/>
      <c r="K99" t="inlineStr"/>
      <c r="L99" t="inlineStr"/>
      <c r="M99" t="inlineStr"/>
      <c r="N99" t="inlineStr"/>
      <c r="O99">
        <f>(1-Summary!$B$55)*T99+Summary!$B$55*V99</f>
        <v/>
      </c>
      <c r="P99">
        <f>IF(B127=0,0,O99/B127)</f>
        <v/>
      </c>
      <c r="Q99">
        <f>IFERROR(1/IF(Inputs!$B$39="pvp",15,MAX(0.1,Skills!D16-IF(Skills!E16=TRUE,Inputs!$B$32,0))),0)</f>
        <v/>
      </c>
      <c r="R99">
        <f>IF(AND(Inputs!$B$39&lt;&gt;"pvp",Inputs!$B$44&gt;0),IF(Inputs!$B$44&lt;=0,0,(INT(Inputs!$B$44/IF(Inputs!$B$39="pvp",15,MAX(0.1,Skills!D16-IF(Skills!E16=TRUE,Inputs!$B$32,0))))+1)),0)</f>
        <v/>
      </c>
      <c r="S99">
        <f>IFERROR(O99/N99,0)</f>
        <v/>
      </c>
      <c r="T99" t="n">
        <v>0</v>
      </c>
      <c r="V99" t="n">
        <v>0</v>
      </c>
    </row>
    <row r="100">
      <c r="A100">
        <f>Skills!A17</f>
        <v/>
      </c>
      <c r="B100">
        <f>Skills!B17</f>
        <v/>
      </c>
      <c r="C100">
        <f>Inputs!$B$3&gt;=115</f>
        <v/>
      </c>
      <c r="D100">
        <f>IF(Skills!C17=1,60+Inputs!$B$25+Inputs!$B$29,IF(Skills!C17=2,90+Inputs!$B$26+Inputs!$B$29,IF(Skills!C17=3,120+Inputs!$B$27+Inputs!$B$29,MAX(0,(Inputs!$B$3-100)*3)+Inputs!$B$28+Inputs!$B$29)))</f>
        <v/>
      </c>
      <c r="E100">
        <f>INDEX(FactorTable!$B$2:$Y$301, MATCH(ROUND(MIN(300,MAX(1,D100)),0), FactorTable!$A$2:$A$301,0), Skills!M17+1)</f>
        <v/>
      </c>
      <c r="F100">
        <f>IF(Skills!N17=TRUE,(Skills!L17/10)*(E100/1000),Skills!L17/10)+Skills!O17</f>
        <v/>
      </c>
      <c r="G100">
        <f>Calc!G17</f>
        <v/>
      </c>
      <c r="H100">
        <f>Calc!H17</f>
        <v/>
      </c>
      <c r="I100">
        <f>IF(Skills!AA17&lt;&gt;"",1+(Skills!AA17/10)*(U86/1000)/100,1)</f>
        <v/>
      </c>
      <c r="J100">
        <f>((Inputs!$B$6*(1+Inputs!$B$7/100))+(((Inputs!$B$12*(1+(Inputs!$B$13+1)/100))-(Inputs!$B$12*(1+Inputs!$B$13/100)))+0.25*(Inputs!$B$14-Inputs!$B$14))*(1+Inputs!$B$7/100))*(F100/100)</f>
        <v/>
      </c>
      <c r="K100">
        <f>J100*(1+((Inputs!$B$12*(1+(Inputs!$B$13+1)/100))*0.01+Inputs!$B$14*0.0025)/100)*(1+Inputs!$B$15/100)*(1+Inputs!$B$16/100)*(5000/(6000+Inputs!$B$43*(1-Inputs!$B$19/100)))*(1+(Inputs!$B$24+((C113=TRUE)*(F113-Calc!F30)))/100)*(1+Skills!R17/100)*(1+(IF(Skills!A17="SHOWDOWN",Inputs!$B$17+((C106=TRUE)*(F106-Calc!F23)),Inputs!$B$18+((C112=TRUE)*(F112-Calc!F29))))/100)*(((1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B125*I100)</f>
        <v/>
      </c>
      <c r="L100">
        <f>K100*(MIN(Inputs!$B$22+((C107=TRUE)*(F107-Calc!F24)),Inputs!$B$23)/100+Inputs!$B$23/100)/2</f>
        <v/>
      </c>
      <c r="M100">
        <f>L100*(1+(Inputs!$B$10+((C109=TRUE)*(F109-Calc!F26))+B126)/100)</f>
        <v/>
      </c>
      <c r="N100">
        <f>L100*(1-MIN((Inputs!$B$9+((C108=TRUE)*(F108-Calc!F25))+B123),100)/100)+M100*(MIN((Inputs!$B$9+((C108=TRUE)*(F108-Calc!F25))+B123),100)/100)</f>
        <v/>
      </c>
      <c r="O100">
        <f>(1-Summary!$B$55)*T100+Summary!$B$55*V100</f>
        <v/>
      </c>
      <c r="P100">
        <f>IF(B127=0,0,O100/B127)</f>
        <v/>
      </c>
      <c r="Q100" t="n">
        <v>0</v>
      </c>
      <c r="R100" t="n">
        <v>0</v>
      </c>
      <c r="S100">
        <f>IFERROR(O100/N100,0)</f>
        <v/>
      </c>
      <c r="T100">
        <f>IF(C100,(Inputs!$B$38*0.2*N100)*IF(Inputs!$B$39="pvp",1,1+(Inputs!$B$20+((C110=TRUE)*(F110-Calc!F27))+Skills!P17+B124)/100),0)</f>
        <v/>
      </c>
      <c r="V100">
        <f>IF(C100,(Inputs!$B$38*0.2*N100)*IF(Inputs!$B$39="pvp",1,(1+(Inputs!$B$21+Skills!Q17+B124)/100)*(MIN(Skills!W17,Inputs!$B$37))),0)</f>
        <v/>
      </c>
    </row>
    <row r="101">
      <c r="A101">
        <f>Skills!A18</f>
        <v/>
      </c>
      <c r="B101">
        <f>Skills!B18</f>
        <v/>
      </c>
      <c r="C101">
        <f>Inputs!$B$3&gt;=115</f>
        <v/>
      </c>
      <c r="D101">
        <f>IF(Skills!C18=1,60+Inputs!$B$25+Inputs!$B$29,IF(Skills!C18=2,90+Inputs!$B$26+Inputs!$B$29,IF(Skills!C18=3,120+Inputs!$B$27+Inputs!$B$29,MAX(0,(Inputs!$B$3-100)*3)+Inputs!$B$28+Inputs!$B$29)))</f>
        <v/>
      </c>
      <c r="E101">
        <f>INDEX(FactorTable!$B$2:$Y$301, MATCH(ROUND(MIN(300,MAX(1,D101)),0), FactorTable!$A$2:$A$301,0), Skills!M18+1)</f>
        <v/>
      </c>
      <c r="F101">
        <f>IF(Skills!N18=TRUE,(Skills!L18/10)*(E101/1000),Skills!L18/10)+Skills!O18</f>
        <v/>
      </c>
      <c r="G101">
        <f>Calc!G18</f>
        <v/>
      </c>
      <c r="H101">
        <f>Calc!H18</f>
        <v/>
      </c>
      <c r="I101">
        <f>IF(Skills!AA18&lt;&gt;"",1+(Skills!AA18/10)*(U86/1000)/100,1)</f>
        <v/>
      </c>
      <c r="J101" t="inlineStr"/>
      <c r="K101" t="inlineStr"/>
      <c r="L101" t="inlineStr"/>
      <c r="M101" t="inlineStr"/>
      <c r="N101" t="inlineStr"/>
      <c r="O101">
        <f>(1-Summary!$B$55)*T101+Summary!$B$55*V101</f>
        <v/>
      </c>
      <c r="P101">
        <f>IF(B127=0,0,O101/B127)</f>
        <v/>
      </c>
      <c r="Q101" t="n">
        <v>0</v>
      </c>
      <c r="R101" t="n">
        <v>0</v>
      </c>
      <c r="S101">
        <f>IFERROR(O101/N101,0)</f>
        <v/>
      </c>
      <c r="T101" t="n">
        <v>0</v>
      </c>
      <c r="V101" t="n">
        <v>0</v>
      </c>
    </row>
    <row r="102">
      <c r="A102">
        <f>Skills!A19</f>
        <v/>
      </c>
      <c r="B102">
        <f>Skills!B19</f>
        <v/>
      </c>
      <c r="C102">
        <f>TRUE</f>
        <v/>
      </c>
      <c r="D102">
        <f>IF(Skills!C19=1,60+Inputs!$B$25+Inputs!$B$29,IF(Skills!C19=2,90+Inputs!$B$26+Inputs!$B$29,IF(Skills!C19=3,120+Inputs!$B$27+Inputs!$B$29,MAX(0,(Inputs!$B$3-100)*3)+Inputs!$B$28+Inputs!$B$29)))</f>
        <v/>
      </c>
      <c r="E102">
        <f>INDEX(FactorTable!$B$2:$Y$301, MATCH(ROUND(MIN(300,MAX(1,D102)),0), FactorTable!$A$2:$A$301,0), Skills!M19+1)</f>
        <v/>
      </c>
      <c r="F102">
        <f>IF(Skills!N19=TRUE,(Skills!L19/10)*(E102/1000),Skills!L19/10)+Skills!O19</f>
        <v/>
      </c>
      <c r="G102">
        <f>Calc!G19</f>
        <v/>
      </c>
      <c r="H102">
        <f>Calc!H19</f>
        <v/>
      </c>
      <c r="I102">
        <f>IF(Skills!AA19&lt;&gt;"",1+(Skills!AA19/10)*(U86/1000)/100,1)</f>
        <v/>
      </c>
      <c r="J102" t="inlineStr"/>
      <c r="K102" t="inlineStr"/>
      <c r="L102" t="inlineStr"/>
      <c r="M102" t="inlineStr"/>
      <c r="N102" t="inlineStr"/>
      <c r="O102">
        <f>(1-Summary!$B$55)*T102+Summary!$B$55*V102</f>
        <v/>
      </c>
      <c r="P102">
        <f>IF(B127=0,0,O102/B127)</f>
        <v/>
      </c>
      <c r="Q102">
        <f>IFERROR(1/IF(Inputs!$B$39="pvp",15,MAX(0.1,Skills!D19-IF(Skills!E19=TRUE,Inputs!$B$32,0))),0)</f>
        <v/>
      </c>
      <c r="R102">
        <f>IF(AND(Inputs!$B$39&lt;&gt;"pvp",Inputs!$B$44&gt;0),IF(Inputs!$B$44&lt;=0,0,(INT(Inputs!$B$44/IF(Inputs!$B$39="pvp",15,MAX(0.1,Skills!D19-IF(Skills!E19=TRUE,Inputs!$B$32,0))))+1)),0)</f>
        <v/>
      </c>
      <c r="S102">
        <f>IFERROR(O102/N102,0)</f>
        <v/>
      </c>
      <c r="T102" t="n">
        <v>0</v>
      </c>
      <c r="V102" t="n">
        <v>0</v>
      </c>
    </row>
    <row r="103">
      <c r="A103">
        <f>Skills!A20</f>
        <v/>
      </c>
      <c r="B103">
        <f>Skills!B20</f>
        <v/>
      </c>
      <c r="C103">
        <f>Inputs!$B$3&gt;=15</f>
        <v/>
      </c>
      <c r="D103">
        <f>IF(Skills!C20=1,60+Inputs!$B$25+Inputs!$B$29,IF(Skills!C20=2,90+Inputs!$B$26+Inputs!$B$29,IF(Skills!C20=3,120+Inputs!$B$27+Inputs!$B$29,MAX(0,(Inputs!$B$3-100)*3)+Inputs!$B$28+Inputs!$B$29)))</f>
        <v/>
      </c>
      <c r="E103">
        <f>INDEX(FactorTable!$B$2:$Y$301, MATCH(ROUND(MIN(300,MAX(1,D103)),0), FactorTable!$A$2:$A$301,0), Skills!M20+1)</f>
        <v/>
      </c>
      <c r="F103">
        <f>IF(Skills!N20=TRUE,(Skills!L20/10)*(E103/1000),Skills!L20/10)+Skills!O20</f>
        <v/>
      </c>
      <c r="G103">
        <f>Calc!G20</f>
        <v/>
      </c>
      <c r="H103">
        <f>Calc!H20</f>
        <v/>
      </c>
      <c r="I103">
        <f>IF(Skills!AA20&lt;&gt;"",1+(Skills!AA20/10)*(U86/1000)/100,1)</f>
        <v/>
      </c>
      <c r="J103" t="inlineStr"/>
      <c r="K103" t="inlineStr"/>
      <c r="L103" t="inlineStr"/>
      <c r="M103" t="inlineStr"/>
      <c r="N103" t="inlineStr"/>
      <c r="O103">
        <f>(1-Summary!$B$55)*T103+Summary!$B$55*V103</f>
        <v/>
      </c>
      <c r="P103">
        <f>IF(B127=0,0,O103/B127)</f>
        <v/>
      </c>
      <c r="Q103">
        <f>IFERROR(1/IF(Inputs!$B$39="pvp",15,MAX(0.1,Skills!D20-IF(Skills!E20=TRUE,Inputs!$B$32,0))),0)</f>
        <v/>
      </c>
      <c r="R103">
        <f>IF(AND(Inputs!$B$39&lt;&gt;"pvp",Inputs!$B$44&gt;0),IF(Inputs!$B$44&lt;=0,0,(INT(Inputs!$B$44/IF(Inputs!$B$39="pvp",15,MAX(0.1,Skills!D20-IF(Skills!E20=TRUE,Inputs!$B$32,0))))+1)),0)</f>
        <v/>
      </c>
      <c r="S103">
        <f>IFERROR(O103/N103,0)</f>
        <v/>
      </c>
      <c r="T103" t="n">
        <v>0</v>
      </c>
      <c r="V103" t="n">
        <v>0</v>
      </c>
    </row>
    <row r="104">
      <c r="A104">
        <f>Skills!A21</f>
        <v/>
      </c>
      <c r="B104">
        <f>Skills!B21</f>
        <v/>
      </c>
      <c r="C104">
        <f>Inputs!$B$3&gt;=15</f>
        <v/>
      </c>
      <c r="D104">
        <f>IF(Skills!C21=1,60+Inputs!$B$25+Inputs!$B$29,IF(Skills!C21=2,90+Inputs!$B$26+Inputs!$B$29,IF(Skills!C21=3,120+Inputs!$B$27+Inputs!$B$29,MAX(0,(Inputs!$B$3-100)*3)+Inputs!$B$28+Inputs!$B$29)))</f>
        <v/>
      </c>
      <c r="E104">
        <f>INDEX(FactorTable!$B$2:$Y$301, MATCH(ROUND(MIN(300,MAX(1,D104)),0), FactorTable!$A$2:$A$301,0), Skills!M21+1)</f>
        <v/>
      </c>
      <c r="F104">
        <f>IF(Skills!N21=TRUE,(Skills!L21/10)*(E104/1000),Skills!L21/10)+Skills!O21</f>
        <v/>
      </c>
      <c r="G104">
        <f>Calc!G21</f>
        <v/>
      </c>
      <c r="H104">
        <f>Calc!H21</f>
        <v/>
      </c>
      <c r="I104">
        <f>IF(Skills!AA21&lt;&gt;"",1+(Skills!AA21/10)*(U86/1000)/100,1)</f>
        <v/>
      </c>
      <c r="J104" t="inlineStr"/>
      <c r="K104" t="inlineStr"/>
      <c r="L104" t="inlineStr"/>
      <c r="M104" t="inlineStr"/>
      <c r="N104" t="inlineStr"/>
      <c r="O104">
        <f>(1-Summary!$B$55)*T104+Summary!$B$55*V104</f>
        <v/>
      </c>
      <c r="P104">
        <f>IF(B127=0,0,O104/B127)</f>
        <v/>
      </c>
      <c r="Q104">
        <f>IFERROR(1/IF(Inputs!$B$39="pvp",15,MAX(0.1,Skills!D21-IF(Skills!E21=TRUE,Inputs!$B$32,0))),0)</f>
        <v/>
      </c>
      <c r="R104">
        <f>IF(AND(Inputs!$B$39&lt;&gt;"pvp",Inputs!$B$44&gt;0),IF(Inputs!$B$44&lt;=0,0,(INT(Inputs!$B$44/IF(Inputs!$B$39="pvp",15,MAX(0.1,Skills!D21-IF(Skills!E21=TRUE,Inputs!$B$32,0))))+1)),0)</f>
        <v/>
      </c>
      <c r="S104">
        <f>IFERROR(O104/N104,0)</f>
        <v/>
      </c>
      <c r="T104" t="n">
        <v>0</v>
      </c>
      <c r="V104" t="n">
        <v>0</v>
      </c>
    </row>
    <row r="105">
      <c r="A105">
        <f>Skills!A22</f>
        <v/>
      </c>
      <c r="B105">
        <f>Skills!B22</f>
        <v/>
      </c>
      <c r="C105">
        <f>Inputs!$B$3&gt;=33</f>
        <v/>
      </c>
      <c r="D105">
        <f>IF(Skills!C22=1,60+Inputs!$B$25+Inputs!$B$29,IF(Skills!C22=2,90+Inputs!$B$26+Inputs!$B$29,IF(Skills!C22=3,120+Inputs!$B$27+Inputs!$B$29,MAX(0,(Inputs!$B$3-100)*3)+Inputs!$B$28+Inputs!$B$29)))</f>
        <v/>
      </c>
      <c r="E105">
        <f>INDEX(FactorTable!$B$2:$Y$301, MATCH(ROUND(MIN(300,MAX(1,D105)),0), FactorTable!$A$2:$A$301,0), Skills!M22+1)</f>
        <v/>
      </c>
      <c r="F105">
        <f>IF(Skills!N22=TRUE,(Skills!L22/10)*(E105/1000),Skills!L22/10)+Skills!O22</f>
        <v/>
      </c>
      <c r="G105">
        <f>Calc!G22</f>
        <v/>
      </c>
      <c r="H105">
        <f>Calc!H22</f>
        <v/>
      </c>
      <c r="I105">
        <f>IF(Skills!AA22&lt;&gt;"",1+(Skills!AA22/10)*(U86/1000)/100,1)</f>
        <v/>
      </c>
      <c r="J105" t="inlineStr"/>
      <c r="K105" t="inlineStr"/>
      <c r="L105" t="inlineStr"/>
      <c r="M105" t="inlineStr"/>
      <c r="N105" t="inlineStr"/>
      <c r="O105">
        <f>(1-Summary!$B$55)*T105+Summary!$B$55*V105</f>
        <v/>
      </c>
      <c r="P105">
        <f>IF(B127=0,0,O105/B127)</f>
        <v/>
      </c>
      <c r="Q105" t="n">
        <v>0</v>
      </c>
      <c r="R105" t="n">
        <v>0</v>
      </c>
      <c r="S105">
        <f>IFERROR(O105/N105,0)</f>
        <v/>
      </c>
      <c r="T105" t="n">
        <v>0</v>
      </c>
      <c r="V105" t="n">
        <v>0</v>
      </c>
    </row>
    <row r="106">
      <c r="A106">
        <f>Skills!A23</f>
        <v/>
      </c>
      <c r="B106">
        <f>Skills!B23</f>
        <v/>
      </c>
      <c r="C106">
        <f>Inputs!$B$3&gt;=38</f>
        <v/>
      </c>
      <c r="D106">
        <f>IF(Skills!C23=1,60+Inputs!$B$25+Inputs!$B$29,IF(Skills!C23=2,90+Inputs!$B$26+Inputs!$B$29,IF(Skills!C23=3,120+Inputs!$B$27+Inputs!$B$29,MAX(0,(Inputs!$B$3-100)*3)+Inputs!$B$28+Inputs!$B$29)))</f>
        <v/>
      </c>
      <c r="E106">
        <f>INDEX(FactorTable!$B$2:$Y$301, MATCH(ROUND(MIN(300,MAX(1,D106)),0), FactorTable!$A$2:$A$301,0), Skills!M23+1)</f>
        <v/>
      </c>
      <c r="F106">
        <f>IF(Skills!N23=TRUE,(Skills!L23/10)*(E106/1000),Skills!L23/10)+Skills!O23</f>
        <v/>
      </c>
      <c r="G106">
        <f>Calc!G23</f>
        <v/>
      </c>
      <c r="H106">
        <f>Calc!H23</f>
        <v/>
      </c>
      <c r="I106">
        <f>IF(Skills!AA23&lt;&gt;"",1+(Skills!AA23/10)*(U86/1000)/100,1)</f>
        <v/>
      </c>
      <c r="J106" t="inlineStr"/>
      <c r="K106" t="inlineStr"/>
      <c r="L106" t="inlineStr"/>
      <c r="M106" t="inlineStr"/>
      <c r="N106" t="inlineStr"/>
      <c r="O106">
        <f>(1-Summary!$B$55)*T106+Summary!$B$55*V106</f>
        <v/>
      </c>
      <c r="P106">
        <f>IF(B127=0,0,O106/B127)</f>
        <v/>
      </c>
      <c r="Q106" t="n">
        <v>0</v>
      </c>
      <c r="R106" t="n">
        <v>0</v>
      </c>
      <c r="S106">
        <f>IFERROR(O106/N106,0)</f>
        <v/>
      </c>
      <c r="T106" t="n">
        <v>0</v>
      </c>
      <c r="V106" t="n">
        <v>0</v>
      </c>
    </row>
    <row r="107">
      <c r="A107">
        <f>Skills!A24</f>
        <v/>
      </c>
      <c r="B107">
        <f>Skills!B24</f>
        <v/>
      </c>
      <c r="C107">
        <f>Inputs!$B$3&gt;=40</f>
        <v/>
      </c>
      <c r="D107">
        <f>IF(Skills!C24=1,60+Inputs!$B$25+Inputs!$B$29,IF(Skills!C24=2,90+Inputs!$B$26+Inputs!$B$29,IF(Skills!C24=3,120+Inputs!$B$27+Inputs!$B$29,MAX(0,(Inputs!$B$3-100)*3)+Inputs!$B$28+Inputs!$B$29)))</f>
        <v/>
      </c>
      <c r="E107">
        <f>INDEX(FactorTable!$B$2:$Y$301, MATCH(ROUND(MIN(300,MAX(1,D107)),0), FactorTable!$A$2:$A$301,0), Skills!M24+1)</f>
        <v/>
      </c>
      <c r="F107">
        <f>IF(Skills!N24=TRUE,(Skills!L24/10)*(E107/1000),Skills!L24/10)+Skills!O24</f>
        <v/>
      </c>
      <c r="G107">
        <f>Calc!G24</f>
        <v/>
      </c>
      <c r="H107">
        <f>Calc!H24</f>
        <v/>
      </c>
      <c r="I107">
        <f>IF(Skills!AA24&lt;&gt;"",1+(Skills!AA24/10)*(U86/1000)/100,1)</f>
        <v/>
      </c>
      <c r="J107" t="inlineStr"/>
      <c r="K107" t="inlineStr"/>
      <c r="L107" t="inlineStr"/>
      <c r="M107" t="inlineStr"/>
      <c r="N107" t="inlineStr"/>
      <c r="O107">
        <f>(1-Summary!$B$55)*T107+Summary!$B$55*V107</f>
        <v/>
      </c>
      <c r="P107">
        <f>IF(B127=0,0,O107/B127)</f>
        <v/>
      </c>
      <c r="Q107" t="n">
        <v>0</v>
      </c>
      <c r="R107" t="n">
        <v>0</v>
      </c>
      <c r="S107">
        <f>IFERROR(O107/N107,0)</f>
        <v/>
      </c>
      <c r="T107" t="n">
        <v>0</v>
      </c>
      <c r="V107" t="n">
        <v>0</v>
      </c>
    </row>
    <row r="108">
      <c r="A108">
        <f>Skills!A25</f>
        <v/>
      </c>
      <c r="B108">
        <f>Skills!B25</f>
        <v/>
      </c>
      <c r="C108">
        <f>Inputs!$B$3&gt;=45</f>
        <v/>
      </c>
      <c r="D108">
        <f>IF(Skills!C25=1,60+Inputs!$B$25+Inputs!$B$29,IF(Skills!C25=2,90+Inputs!$B$26+Inputs!$B$29,IF(Skills!C25=3,120+Inputs!$B$27+Inputs!$B$29,MAX(0,(Inputs!$B$3-100)*3)+Inputs!$B$28+Inputs!$B$29)))</f>
        <v/>
      </c>
      <c r="E108">
        <f>INDEX(FactorTable!$B$2:$Y$301, MATCH(ROUND(MIN(300,MAX(1,D108)),0), FactorTable!$A$2:$A$301,0), Skills!M25+1)</f>
        <v/>
      </c>
      <c r="F108">
        <f>IF(Skills!N25=TRUE,(Skills!L25/10)*(E108/1000),Skills!L25/10)+Skills!O25</f>
        <v/>
      </c>
      <c r="G108">
        <f>Calc!G25</f>
        <v/>
      </c>
      <c r="H108">
        <f>Calc!H25</f>
        <v/>
      </c>
      <c r="I108">
        <f>IF(Skills!AA25&lt;&gt;"",1+(Skills!AA25/10)*(U86/1000)/100,1)</f>
        <v/>
      </c>
      <c r="J108" t="inlineStr"/>
      <c r="K108" t="inlineStr"/>
      <c r="L108" t="inlineStr"/>
      <c r="M108" t="inlineStr"/>
      <c r="N108" t="inlineStr"/>
      <c r="O108">
        <f>(1-Summary!$B$55)*T108+Summary!$B$55*V108</f>
        <v/>
      </c>
      <c r="P108">
        <f>IF(B127=0,0,O108/B127)</f>
        <v/>
      </c>
      <c r="Q108" t="n">
        <v>0</v>
      </c>
      <c r="R108" t="n">
        <v>0</v>
      </c>
      <c r="S108">
        <f>IFERROR(O108/N108,0)</f>
        <v/>
      </c>
      <c r="T108" t="n">
        <v>0</v>
      </c>
      <c r="V108" t="n">
        <v>0</v>
      </c>
    </row>
    <row r="109">
      <c r="A109">
        <f>Skills!A26</f>
        <v/>
      </c>
      <c r="B109">
        <f>Skills!B26</f>
        <v/>
      </c>
      <c r="C109">
        <f>Inputs!$B$3&gt;=45</f>
        <v/>
      </c>
      <c r="D109">
        <f>IF(Skills!C26=1,60+Inputs!$B$25+Inputs!$B$29,IF(Skills!C26=2,90+Inputs!$B$26+Inputs!$B$29,IF(Skills!C26=3,120+Inputs!$B$27+Inputs!$B$29,MAX(0,(Inputs!$B$3-100)*3)+Inputs!$B$28+Inputs!$B$29)))</f>
        <v/>
      </c>
      <c r="E109">
        <f>INDEX(FactorTable!$B$2:$Y$301, MATCH(ROUND(MIN(300,MAX(1,D109)),0), FactorTable!$A$2:$A$301,0), Skills!M26+1)</f>
        <v/>
      </c>
      <c r="F109">
        <f>IF(Skills!N26=TRUE,(Skills!L26/10)*(E109/1000),Skills!L26/10)+Skills!O26</f>
        <v/>
      </c>
      <c r="G109">
        <f>Calc!G26</f>
        <v/>
      </c>
      <c r="H109">
        <f>Calc!H26</f>
        <v/>
      </c>
      <c r="I109">
        <f>IF(Skills!AA26&lt;&gt;"",1+(Skills!AA26/10)*(U86/1000)/100,1)</f>
        <v/>
      </c>
      <c r="J109" t="inlineStr"/>
      <c r="K109" t="inlineStr"/>
      <c r="L109" t="inlineStr"/>
      <c r="M109" t="inlineStr"/>
      <c r="N109" t="inlineStr"/>
      <c r="O109">
        <f>(1-Summary!$B$55)*T109+Summary!$B$55*V109</f>
        <v/>
      </c>
      <c r="P109">
        <f>IF(B127=0,0,O109/B127)</f>
        <v/>
      </c>
      <c r="Q109" t="n">
        <v>0</v>
      </c>
      <c r="R109" t="n">
        <v>0</v>
      </c>
      <c r="S109">
        <f>IFERROR(O109/N109,0)</f>
        <v/>
      </c>
      <c r="T109" t="n">
        <v>0</v>
      </c>
      <c r="V109" t="n">
        <v>0</v>
      </c>
    </row>
    <row r="110">
      <c r="A110">
        <f>Skills!A27</f>
        <v/>
      </c>
      <c r="B110">
        <f>Skills!B27</f>
        <v/>
      </c>
      <c r="C110">
        <f>Inputs!$B$3&gt;=72</f>
        <v/>
      </c>
      <c r="D110">
        <f>IF(Skills!C27=1,60+Inputs!$B$25+Inputs!$B$29,IF(Skills!C27=2,90+Inputs!$B$26+Inputs!$B$29,IF(Skills!C27=3,120+Inputs!$B$27+Inputs!$B$29,MAX(0,(Inputs!$B$3-100)*3)+Inputs!$B$28+Inputs!$B$29)))</f>
        <v/>
      </c>
      <c r="E110">
        <f>INDEX(FactorTable!$B$2:$Y$301, MATCH(ROUND(MIN(300,MAX(1,D110)),0), FactorTable!$A$2:$A$301,0), Skills!M27+1)</f>
        <v/>
      </c>
      <c r="F110">
        <f>IF(Skills!N27=TRUE,(Skills!L27/10)*(E110/1000),Skills!L27/10)+Skills!O27</f>
        <v/>
      </c>
      <c r="G110">
        <f>Calc!G27</f>
        <v/>
      </c>
      <c r="H110">
        <f>Calc!H27</f>
        <v/>
      </c>
      <c r="I110">
        <f>IF(Skills!AA27&lt;&gt;"",1+(Skills!AA27/10)*(U86/1000)/100,1)</f>
        <v/>
      </c>
      <c r="J110" t="inlineStr"/>
      <c r="K110" t="inlineStr"/>
      <c r="L110" t="inlineStr"/>
      <c r="M110" t="inlineStr"/>
      <c r="N110" t="inlineStr"/>
      <c r="O110">
        <f>(1-Summary!$B$55)*T110+Summary!$B$55*V110</f>
        <v/>
      </c>
      <c r="P110">
        <f>IF(B127=0,0,O110/B127)</f>
        <v/>
      </c>
      <c r="Q110" t="n">
        <v>0</v>
      </c>
      <c r="R110" t="n">
        <v>0</v>
      </c>
      <c r="S110">
        <f>IFERROR(O110/N110,0)</f>
        <v/>
      </c>
      <c r="T110" t="n">
        <v>0</v>
      </c>
      <c r="V110" t="n">
        <v>0</v>
      </c>
    </row>
    <row r="111">
      <c r="A111">
        <f>Skills!A28</f>
        <v/>
      </c>
      <c r="B111">
        <f>Skills!B28</f>
        <v/>
      </c>
      <c r="C111">
        <f>Inputs!$B$3&gt;=75</f>
        <v/>
      </c>
      <c r="D111">
        <f>IF(Skills!C28=1,60+Inputs!$B$25+Inputs!$B$29,IF(Skills!C28=2,90+Inputs!$B$26+Inputs!$B$29,IF(Skills!C28=3,120+Inputs!$B$27+Inputs!$B$29,MAX(0,(Inputs!$B$3-100)*3)+Inputs!$B$28+Inputs!$B$29)))</f>
        <v/>
      </c>
      <c r="E111">
        <f>INDEX(FactorTable!$B$2:$Y$301, MATCH(ROUND(MIN(300,MAX(1,D111)),0), FactorTable!$A$2:$A$301,0), Skills!M28+1)</f>
        <v/>
      </c>
      <c r="F111">
        <f>IF(Skills!N28=TRUE,(Skills!L28/10)*(E111/1000),Skills!L28/10)+Skills!O28</f>
        <v/>
      </c>
      <c r="G111">
        <f>Calc!G28</f>
        <v/>
      </c>
      <c r="H111">
        <f>Calc!H28</f>
        <v/>
      </c>
      <c r="I111">
        <f>IF(Skills!AA28&lt;&gt;"",1+(Skills!AA28/10)*(U86/1000)/100,1)</f>
        <v/>
      </c>
      <c r="J111" t="inlineStr"/>
      <c r="K111" t="inlineStr"/>
      <c r="L111" t="inlineStr"/>
      <c r="M111" t="inlineStr"/>
      <c r="N111" t="inlineStr"/>
      <c r="O111">
        <f>(1-Summary!$B$55)*T111+Summary!$B$55*V111</f>
        <v/>
      </c>
      <c r="P111">
        <f>IF(B127=0,0,O111/B127)</f>
        <v/>
      </c>
      <c r="Q111" t="n">
        <v>0</v>
      </c>
      <c r="R111" t="n">
        <v>0</v>
      </c>
      <c r="S111">
        <f>IFERROR(O111/N111,0)</f>
        <v/>
      </c>
      <c r="T111" t="n">
        <v>0</v>
      </c>
      <c r="V111" t="n">
        <v>0</v>
      </c>
    </row>
    <row r="112">
      <c r="A112">
        <f>Skills!A29</f>
        <v/>
      </c>
      <c r="B112">
        <f>Skills!B29</f>
        <v/>
      </c>
      <c r="C112">
        <f>Inputs!$B$3&gt;=120</f>
        <v/>
      </c>
      <c r="D112">
        <f>IF(Skills!C29=1,60+Inputs!$B$25+Inputs!$B$29,IF(Skills!C29=2,90+Inputs!$B$26+Inputs!$B$29,IF(Skills!C29=3,120+Inputs!$B$27+Inputs!$B$29,MAX(0,(Inputs!$B$3-100)*3)+Inputs!$B$28+Inputs!$B$29)))</f>
        <v/>
      </c>
      <c r="E112">
        <f>INDEX(FactorTable!$B$2:$Y$301, MATCH(ROUND(MIN(300,MAX(1,D112)),0), FactorTable!$A$2:$A$301,0), Skills!M29+1)</f>
        <v/>
      </c>
      <c r="F112">
        <f>IF(Skills!N29=TRUE,(Skills!L29/10)*(E112/1000),Skills!L29/10)+Skills!O29</f>
        <v/>
      </c>
      <c r="G112">
        <f>Calc!G29</f>
        <v/>
      </c>
      <c r="H112">
        <f>Calc!H29</f>
        <v/>
      </c>
      <c r="I112">
        <f>IF(Skills!AA29&lt;&gt;"",1+(Skills!AA29/10)*(U86/1000)/100,1)</f>
        <v/>
      </c>
      <c r="J112" t="inlineStr"/>
      <c r="K112" t="inlineStr"/>
      <c r="L112" t="inlineStr"/>
      <c r="M112" t="inlineStr"/>
      <c r="N112" t="inlineStr"/>
      <c r="O112">
        <f>(1-Summary!$B$55)*T112+Summary!$B$55*V112</f>
        <v/>
      </c>
      <c r="P112">
        <f>IF(B127=0,0,O112/B127)</f>
        <v/>
      </c>
      <c r="Q112" t="n">
        <v>0</v>
      </c>
      <c r="R112" t="n">
        <v>0</v>
      </c>
      <c r="S112">
        <f>IFERROR(O112/N112,0)</f>
        <v/>
      </c>
      <c r="T112" t="n">
        <v>0</v>
      </c>
      <c r="V112" t="n">
        <v>0</v>
      </c>
    </row>
    <row r="113">
      <c r="A113">
        <f>Skills!A30</f>
        <v/>
      </c>
      <c r="B113">
        <f>Skills!B30</f>
        <v/>
      </c>
      <c r="C113">
        <f>Inputs!$B$3&gt;=125</f>
        <v/>
      </c>
      <c r="D113">
        <f>IF(Skills!C30=1,60+Inputs!$B$25+Inputs!$B$29,IF(Skills!C30=2,90+Inputs!$B$26+Inputs!$B$29,IF(Skills!C30=3,120+Inputs!$B$27+Inputs!$B$29,MAX(0,(Inputs!$B$3-100)*3)+Inputs!$B$28+Inputs!$B$29)))</f>
        <v/>
      </c>
      <c r="E113">
        <f>INDEX(FactorTable!$B$2:$Y$301, MATCH(ROUND(MIN(300,MAX(1,D113)),0), FactorTable!$A$2:$A$301,0), Skills!M30+1)</f>
        <v/>
      </c>
      <c r="F113">
        <f>IF(Skills!N30=TRUE,(Skills!L30/10)*(E113/1000),Skills!L30/10)+Skills!O30</f>
        <v/>
      </c>
      <c r="G113">
        <f>Calc!G30</f>
        <v/>
      </c>
      <c r="H113">
        <f>Calc!H30</f>
        <v/>
      </c>
      <c r="I113">
        <f>IF(Skills!AA30&lt;&gt;"",1+(Skills!AA30/10)*(U86/1000)/100,1)</f>
        <v/>
      </c>
      <c r="J113" t="inlineStr"/>
      <c r="K113" t="inlineStr"/>
      <c r="L113" t="inlineStr"/>
      <c r="M113" t="inlineStr"/>
      <c r="N113" t="inlineStr"/>
      <c r="O113">
        <f>(1-Summary!$B$55)*T113+Summary!$B$55*V113</f>
        <v/>
      </c>
      <c r="P113">
        <f>IF(B127=0,0,O113/B127)</f>
        <v/>
      </c>
      <c r="Q113" t="n">
        <v>0</v>
      </c>
      <c r="R113" t="n">
        <v>0</v>
      </c>
      <c r="S113">
        <f>IFERROR(O113/N113,0)</f>
        <v/>
      </c>
      <c r="T113" t="n">
        <v>0</v>
      </c>
      <c r="V113" t="n">
        <v>0</v>
      </c>
    </row>
    <row r="114">
      <c r="A114">
        <f>Skills!A31</f>
        <v/>
      </c>
      <c r="B114">
        <f>Skills!B31</f>
        <v/>
      </c>
      <c r="C114">
        <f>Inputs!$B$3&gt;=107</f>
        <v/>
      </c>
      <c r="D114">
        <f>IF(Skills!C31=1,60+Inputs!$B$25+Inputs!$B$29,IF(Skills!C31=2,90+Inputs!$B$26+Inputs!$B$29,IF(Skills!C31=3,120+Inputs!$B$27+Inputs!$B$29,MAX(0,(Inputs!$B$3-100)*3)+Inputs!$B$28+Inputs!$B$29)))</f>
        <v/>
      </c>
      <c r="E114">
        <f>INDEX(FactorTable!$B$2:$Y$301, MATCH(ROUND(MIN(300,MAX(1,D114)),0), FactorTable!$A$2:$A$301,0), Skills!M31+1)</f>
        <v/>
      </c>
      <c r="F114">
        <f>IF(Skills!N31=TRUE,(Skills!L31/10)*(E114/1000),Skills!L31/10)+Skills!O31</f>
        <v/>
      </c>
      <c r="G114">
        <f>Calc!G31</f>
        <v/>
      </c>
      <c r="H114">
        <f>Calc!H31</f>
        <v/>
      </c>
      <c r="I114">
        <f>IF(Skills!AA31&lt;&gt;"",1+(Skills!AA31/10)*(U86/1000)/100,1)</f>
        <v/>
      </c>
      <c r="J114" t="inlineStr"/>
      <c r="K114" t="inlineStr"/>
      <c r="L114" t="inlineStr"/>
      <c r="M114" t="inlineStr"/>
      <c r="N114" t="inlineStr"/>
      <c r="O114">
        <f>(1-Summary!$B$55)*T114+Summary!$B$55*V114</f>
        <v/>
      </c>
      <c r="P114">
        <f>IF(B127=0,0,O114/B127)</f>
        <v/>
      </c>
      <c r="Q114" t="n">
        <v>0</v>
      </c>
      <c r="R114" t="n">
        <v>0</v>
      </c>
      <c r="S114">
        <f>IFERROR(O114/N114,0)</f>
        <v/>
      </c>
      <c r="T114" t="n">
        <v>0</v>
      </c>
      <c r="V114" t="n">
        <v>0</v>
      </c>
    </row>
    <row r="116">
      <c r="A116" t="inlineStr">
        <is>
          <t>Actions Per Second (pre-Adrenalin)</t>
        </is>
      </c>
      <c r="B116">
        <f>1+MIN(150,150*(1-(1-(Inputs!$B$11+((C105=TRUE)*(F105-Calc!F22)))/150)*(1-((C102=TRUE)*F102*IF(AND(Inputs!$B$39&lt;&gt;"pvp",Inputs!$B$44&gt;0),(((R102-1)*(Skills!Y19*(1+Inputs!$B$34/100))+MIN((Skills!Y19*(1+Inputs!$B$34/100)),MAX(0,Inputs!$B$44-((R102-1)*Skills!D19))))/Inputs!$B$44),IF(Inputs!$B$39="pvp",MIN((Skills!Y19*(1+Inputs!$B$34/100)),15)/15,(Skills!Y19*(1+Inputs!$B$34/100))/Skills!D19)))/150)))/100</f>
        <v/>
      </c>
    </row>
    <row r="117">
      <c r="A117" t="inlineStr">
        <is>
          <t>Alchemic Adrenaline Uptime</t>
        </is>
      </c>
      <c r="B117">
        <f>(Skills!Y6*(1+Inputs!$B$34/100))/((Skills!Y6*(1+Inputs!$B$34/100))+(5/B116))</f>
        <v/>
      </c>
    </row>
    <row r="118">
      <c r="A118" t="inlineStr">
        <is>
          <t>Attack Speed Buff Bonus %</t>
        </is>
      </c>
      <c r="B118">
        <f>((C102=TRUE)*F102*IF(AND(Inputs!$B$39&lt;&gt;"pvp",Inputs!$B$44&gt;0),(((R102-1)*(Skills!Y19*(1+Inputs!$B$34/100))+MIN((Skills!Y19*(1+Inputs!$B$34/100)),MAX(0,Inputs!$B$44-((R102-1)*Skills!D19))))/Inputs!$B$44),IF(Inputs!$B$39="pvp",MIN((Skills!Y19*(1+Inputs!$B$34/100)),15)/15,(Skills!Y19*(1+Inputs!$B$34/100))/Skills!D19)))+((C90=TRUE)*F90*B117)</f>
        <v/>
      </c>
    </row>
    <row r="119">
      <c r="A119" t="inlineStr">
        <is>
          <t>Actions Per Second (final)</t>
        </is>
      </c>
      <c r="B119">
        <f>1+MIN(150,150*(1-(1-(Inputs!$B$11+((C105=TRUE)*(F105-Calc!F22)))/150)*(1-B118/150)))/100</f>
        <v/>
      </c>
    </row>
    <row r="120">
      <c r="A120" t="inlineStr">
        <is>
          <t>Skill + Buff Cast Rate</t>
        </is>
      </c>
      <c r="B120">
        <f>IF(AND(Inputs!$B$39&lt;&gt;"pvp",Inputs!$B$44&gt;0),SUMPRODUCT((Skills!E2:E31=TRUE)*(C85:C114=TRUE)*R85:R114*Skills!F2:F31)/Inputs!$B$44,SUMPRODUCT((Skills!E2:E31=TRUE)*(C85:C114=TRUE)*Q85:Q114*Skills!F2:F31))</f>
        <v/>
      </c>
    </row>
    <row r="121">
      <c r="A121" t="inlineStr">
        <is>
          <t>Showdown Casts Per Second</t>
        </is>
      </c>
      <c r="B121">
        <f>MAX(0,B119-B120)</f>
        <v/>
      </c>
    </row>
    <row r="122">
      <c r="A122" t="inlineStr">
        <is>
          <t>Average Buff Multiplier</t>
        </is>
      </c>
      <c r="B122">
        <f>(1+(((C104=TRUE)*F104*IF(AND(Inputs!$B$39&lt;&gt;"pvp",Inputs!$B$44&gt;0),(((R104-1)*(Skills!Y21*(1+Inputs!$B$34/100))+MIN((Skills!Y21*(1+Inputs!$B$34/100)),MAX(0,Inputs!$B$44-((R104-1)*Skills!D21))))/Inputs!$B$44),IF(Inputs!$B$39="pvp",MIN((Skills!Y21*(1+Inputs!$B$34/100)),15)/15,(Skills!Y21*(1+Inputs!$B$34/100))/Skills!D21)))+((C111=TRUE)*(F111-Calc!F28))+((C101=TRUE)*(F101-Calc!F18)))/100)*(1+((C98=TRUE)*F98*IF(AND(Inputs!$B$39&lt;&gt;"pvp",Inputs!$B$44&gt;0),(((R98-1)*(Skills!Y15*(1+Inputs!$B$34/100))+MIN((Skills!Y15*(1+Inputs!$B$34/100)),MAX(0,Inputs!$B$44-((R98-1)*Skills!D15))))/Inputs!$B$44),IF(Inputs!$B$39="pvp",MIN((Skills!Y15*(1+Inputs!$B$34/100)),15)/15,(Skills!Y15*(1+Inputs!$B$34/100))/Skills!D15)))/100)*(1+((C89=TRUE)*F89*B117)/100)</f>
        <v/>
      </c>
    </row>
    <row r="123">
      <c r="A123" t="inlineStr">
        <is>
          <t>Global Crit Rate Bonus %</t>
        </is>
      </c>
      <c r="B123">
        <f>IF(Inputs!$B$3&gt;=47,8,0)+((C103=TRUE)*F103*IF(AND(Inputs!$B$39&lt;&gt;"pvp",Inputs!$B$44&gt;0),(((R103-1)*(Skills!Y20*(1+Inputs!$B$34/100))+MIN((Skills!Y20*(1+Inputs!$B$34/100)),MAX(0,Inputs!$B$44-((R103-1)*Skills!D20))))/Inputs!$B$44),IF(Inputs!$B$39="pvp",MIN((Skills!Y20*(1+Inputs!$B$34/100)),15)/15,(Skills!Y20*(1+Inputs!$B$34/100))/Skills!D20)))</f>
        <v/>
      </c>
    </row>
    <row r="124">
      <c r="A124" t="inlineStr">
        <is>
          <t>Global Monster Damage-Taken Bonus %</t>
        </is>
      </c>
      <c r="B124">
        <f>IF(Inputs!$B$3&gt;=82,15,0)+((C99=TRUE)*F99*IF(AND(Inputs!$B$39&lt;&gt;"pvp",Inputs!$B$44&gt;0),(((R99-1)*(Skills!Y16*(1+Inputs!$B$34/100))+MIN((Skills!Y16*(1+Inputs!$B$34/100)),MAX(0,Inputs!$B$44-((R99-1)*Skills!D16))))/Inputs!$B$44),IF(Inputs!$B$39="pvp",MIN((Skills!Y16*(1+Inputs!$B$34/100)),15)/15,(Skills!Y16*(1+Inputs!$B$34/100))/Skills!D16)))</f>
        <v/>
      </c>
    </row>
    <row r="125">
      <c r="A125" t="inlineStr">
        <is>
          <t>Shadow Partner Average Multiplier</t>
        </is>
      </c>
      <c r="B125">
        <f>1+((C94=TRUE)*F94*I94*Skills!J11/100)/100</f>
        <v/>
      </c>
    </row>
    <row r="126">
      <c r="A126" t="inlineStr">
        <is>
          <t>Global Critical Damage Bonus % (Frailty Curse Mastery Lv.111)</t>
        </is>
      </c>
      <c r="B126">
        <f>IF(Inputs!$B$3&gt;=111,30,0)*IF(AND(Inputs!$B$39&lt;&gt;"pvp",Inputs!$B$44&gt;0),(((R99-1)*(Skills!Y16*(1+Inputs!$B$34/100))+MIN((Skills!Y16*(1+Inputs!$B$34/100)),MAX(0,Inputs!$B$44-((R99-1)*Skills!D16))))/Inputs!$B$44),IF(Inputs!$B$39="pvp",MIN((Skills!Y16*(1+Inputs!$B$34/100)),15)/15,(Skills!Y16*(1+Inputs!$B$34/100))/Skills!D16))</f>
        <v/>
      </c>
    </row>
    <row r="127">
      <c r="A127" s="5" t="inlineStr">
        <is>
          <t>TOTAL DPS</t>
        </is>
      </c>
      <c r="B127" s="5">
        <f>SUM(O85:O114)</f>
        <v/>
      </c>
    </row>
    <row r="128">
      <c r="A128" t="inlineStr">
        <is>
          <t>Buff-Casting Startup Delay (s, fixed-duration only)</t>
        </is>
      </c>
      <c r="B128">
        <f>IF(AND(Inputs!$B$39&lt;&gt;"pvp",Inputs!$B$44&gt;0),SUMPRODUCT((Skills!Y2:Y31&gt;0)*(Skills!E2:E31=TRUE)*(C85:C114=TRUE))/B119,0)</f>
        <v/>
      </c>
    </row>
    <row r="129">
      <c r="A129" t="inlineStr">
        <is>
          <t>Boss-Only Total DPS (this block's swept value)</t>
        </is>
      </c>
      <c r="B129">
        <f>SUM(T85:T114)</f>
        <v/>
      </c>
    </row>
    <row r="130">
      <c r="A130" t="inlineStr">
        <is>
          <t>Normal-Only Total DPS (this block's swept value)</t>
        </is>
      </c>
      <c r="B130">
        <f>SUM(V85:V114)</f>
        <v/>
      </c>
    </row>
    <row r="132">
      <c r="A132" s="5" t="inlineStr">
        <is>
          <t>Stat: DEX</t>
        </is>
      </c>
    </row>
    <row r="133">
      <c r="A133" s="9" t="inlineStr">
        <is>
          <t>Key</t>
        </is>
      </c>
      <c r="B133" s="9" t="inlineStr">
        <is>
          <t>Name</t>
        </is>
      </c>
      <c r="C133" s="9" t="inlineStr">
        <is>
          <t>Unlocked</t>
        </is>
      </c>
      <c r="D133" s="9" t="inlineStr">
        <is>
          <t>InputLevel</t>
        </is>
      </c>
      <c r="E133" s="9" t="inlineStr">
        <is>
          <t>Factor</t>
        </is>
      </c>
      <c r="F133" s="9" t="inlineStr">
        <is>
          <t>CoefficientPercent</t>
        </is>
      </c>
      <c r="G133" s="9" t="inlineStr">
        <is>
          <t>EffectiveHits</t>
        </is>
      </c>
      <c r="H133" s="9" t="inlineStr">
        <is>
          <t>ProcProbability</t>
        </is>
      </c>
      <c r="I133" s="9" t="inlineStr">
        <is>
          <t>MapleHeroMultiplier</t>
        </is>
      </c>
      <c r="J133" s="9" t="inlineStr">
        <is>
          <t>BaseDamage</t>
        </is>
      </c>
      <c r="K133" s="9" t="inlineStr">
        <is>
          <t>BaseHitDamage</t>
        </is>
      </c>
      <c r="L133" s="9" t="inlineStr">
        <is>
          <t>NonCritAvg</t>
        </is>
      </c>
      <c r="M133" s="9" t="inlineStr">
        <is>
          <t>CritAvg</t>
        </is>
      </c>
      <c r="N133" s="9" t="inlineStr">
        <is>
          <t>ExpectedDamage(perHit)</t>
        </is>
      </c>
      <c r="O133" s="9" t="inlineStr">
        <is>
          <t>DPS</t>
        </is>
      </c>
      <c r="P133" s="9" t="inlineStr">
        <is>
          <t>% of Total</t>
        </is>
      </c>
      <c r="Q133" s="9" t="inlineStr">
        <is>
          <t>InvCooldown</t>
        </is>
      </c>
      <c r="R133" s="9" t="inlineStr">
        <is>
          <t>CastsInFight</t>
        </is>
      </c>
      <c r="S133" s="9" t="inlineStr">
        <is>
          <t>HitRate(perSec)</t>
        </is>
      </c>
      <c r="U133" t="inlineStr">
        <is>
          <t>helpers</t>
        </is>
      </c>
    </row>
    <row r="134">
      <c r="A134">
        <f>Skills!A2</f>
        <v/>
      </c>
      <c r="B134">
        <f>Skills!B2</f>
        <v/>
      </c>
      <c r="C134">
        <f>Inputs!$B$3&gt;=100</f>
        <v/>
      </c>
      <c r="D134" t="inlineStr"/>
      <c r="E134" t="inlineStr"/>
      <c r="F134">
        <f>U138+Skills!O2</f>
        <v/>
      </c>
      <c r="G134">
        <f>Calc!G2</f>
        <v/>
      </c>
      <c r="H134">
        <f>Calc!H2</f>
        <v/>
      </c>
      <c r="I134">
        <f>IF(Skills!AA2&lt;&gt;"",1+(Skills!AA2/10)*(U135/1000)/100,1)</f>
        <v/>
      </c>
      <c r="J134">
        <f>((Inputs!$B$6*(1+Inputs!$B$7/100))+(((Inputs!$B$12*(1+Inputs!$B$13/100))-(Inputs!$B$12*(1+Inputs!$B$13/100)))+0.25*((Inputs!$B$14+1)-Inputs!$B$14))*(1+Inputs!$B$7/100))*(F134/100)</f>
        <v/>
      </c>
      <c r="K134">
        <f>J134*(1+((Inputs!$B$12*(1+Inputs!$B$13/100))*0.01+(Inputs!$B$14+1)*0.0025)/100)*(1+Inputs!$B$15/100)*(1+Inputs!$B$16/100)*(5000/(6000+Inputs!$B$43*(1-Inputs!$B$19/100)))*(1+(Inputs!$B$24+((C162=TRUE)*(F162-Calc!F30)))/100)*(1+Skills!R2/100)*(1+(IF(Skills!A2="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134)</f>
        <v/>
      </c>
      <c r="L134">
        <f>K134*(MIN(Inputs!$B$22+((C156=TRUE)*(F156-Calc!F24)),Inputs!$B$23)/100+Inputs!$B$23/100)/2</f>
        <v/>
      </c>
      <c r="M134">
        <f>L134*(1+(Inputs!$B$10+((C158=TRUE)*(F158-Calc!F26))+B175)/100)</f>
        <v/>
      </c>
      <c r="N134">
        <f>L134*(1-MIN((Inputs!$B$9+((C157=TRUE)*(F157-Calc!F25))+B172),100)/100)+M134*(MIN((Inputs!$B$9+((C157=TRUE)*(F157-Calc!F25))+B172),100)/100)</f>
        <v/>
      </c>
      <c r="O134">
        <f>(1-Summary!$B$55)*T134+Summary!$B$55*V134</f>
        <v/>
      </c>
      <c r="P134">
        <f>IF(B176=0,0,O134/B176)</f>
        <v/>
      </c>
      <c r="Q134" t="n">
        <v>0</v>
      </c>
      <c r="R134" t="n">
        <v>0</v>
      </c>
      <c r="S134">
        <f>IFERROR(O134/N134,0)</f>
        <v/>
      </c>
      <c r="T134">
        <f>IF(C134,(Skills!G2*N134*B170)*IF(Inputs!$B$39="pvp",1,1+(Inputs!$B$20+((C159=TRUE)*(F159-Calc!F27))+Skills!P2+B173)/100),0)</f>
        <v/>
      </c>
      <c r="U134">
        <f>MAX(0,(Inputs!$B$3-100)*3)+Inputs!$B$28+Inputs!$B$29</f>
        <v/>
      </c>
      <c r="V134">
        <f>IF(C134,(Skills!G2*N134*B170)*IF(Inputs!$B$39="pvp",1,(1+(Inputs!$B$21+Skills!Q2+B173)/100)*(MIN((6+Inputs!$B$33),Inputs!$B$37))),0)</f>
        <v/>
      </c>
    </row>
    <row r="135">
      <c r="A135">
        <f>Skills!A3</f>
        <v/>
      </c>
      <c r="B135">
        <f>Skills!B3</f>
        <v/>
      </c>
      <c r="C135">
        <f>Inputs!$B$3&gt;=35</f>
        <v/>
      </c>
      <c r="D135">
        <f>IF(Skills!C3=1,60+Inputs!$B$25+Inputs!$B$29,IF(Skills!C3=2,90+Inputs!$B$26+Inputs!$B$29,IF(Skills!C3=3,120+Inputs!$B$27+Inputs!$B$29,MAX(0,(Inputs!$B$3-100)*3)+Inputs!$B$28+Inputs!$B$29)))</f>
        <v/>
      </c>
      <c r="E135">
        <f>INDEX(FactorTable!$B$2:$Y$301, MATCH(ROUND(MIN(300,MAX(1,D135)),0), FactorTable!$A$2:$A$301,0), Skills!M3+1)</f>
        <v/>
      </c>
      <c r="F135">
        <f>IF(Skills!N3=TRUE,(Skills!L3/10)*(E135/1000),Skills!L3/10)+Skills!O3</f>
        <v/>
      </c>
      <c r="G135">
        <f>Calc!G3</f>
        <v/>
      </c>
      <c r="H135">
        <f>Calc!H3</f>
        <v/>
      </c>
      <c r="I135">
        <f>IF(Skills!AA3&lt;&gt;"",1+(Skills!AA3/10)*(U135/1000)/100,1)</f>
        <v/>
      </c>
      <c r="J135">
        <f>((Inputs!$B$6*(1+Inputs!$B$7/100))+(((Inputs!$B$12*(1+Inputs!$B$13/100))-(Inputs!$B$12*(1+Inputs!$B$13/100)))+0.25*((Inputs!$B$14+1)-Inputs!$B$14))*(1+Inputs!$B$7/100))*(F135/100)</f>
        <v/>
      </c>
      <c r="K135">
        <f>J135*(1+((Inputs!$B$12*(1+Inputs!$B$13/100))*0.01+(Inputs!$B$14+1)*0.0025)/100)*(1+Inputs!$B$15/100)*(1+Inputs!$B$16/100)*(5000/(6000+Inputs!$B$43*(1-Inputs!$B$19/100)))*(1+(Inputs!$B$24+((C162=TRUE)*(F162-Calc!F30)))/100)*(1+Skills!R3/100)*(1+(IF(Skills!A3="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135)</f>
        <v/>
      </c>
      <c r="L135">
        <f>K135*(MIN(Inputs!$B$22+((C156=TRUE)*(F156-Calc!F24)),Inputs!$B$23)/100+Inputs!$B$23/100)/2</f>
        <v/>
      </c>
      <c r="M135">
        <f>L135*(1+(Inputs!$B$10+((C158=TRUE)*(F158-Calc!F26))+B175)/100)</f>
        <v/>
      </c>
      <c r="N135">
        <f>L135*(1-MIN((Inputs!$B$9+((C157=TRUE)*(F157-Calc!F25))+B172),100)/100)+M135*(MIN((Inputs!$B$9+((C157=TRUE)*(F157-Calc!F25))+B172),100)/100)</f>
        <v/>
      </c>
      <c r="O135">
        <f>(1-Summary!$B$55)*T135+Summary!$B$55*V135</f>
        <v/>
      </c>
      <c r="P135">
        <f>IF(B176=0,0,O135/B176)</f>
        <v/>
      </c>
      <c r="Q135">
        <f>IFERROR(1/IF(Inputs!$B$39="pvp",15,MAX(0.1,Skills!D3-IF(Skills!E3=TRUE,Inputs!$B$32,0))),0)</f>
        <v/>
      </c>
      <c r="R135">
        <f>IF(AND(Inputs!$B$39&lt;&gt;"pvp",Inputs!$B$44&gt;0),IF(MAX(0,Inputs!$B$44-B177)&lt;=0,0,(INT(MAX(0,Inputs!$B$44-B177)/IF(Inputs!$B$39="pvp",15,MAX(0.1,Skills!D3-IF(Skills!E3=TRUE,Inputs!$B$32,0))))+1)),0)</f>
        <v/>
      </c>
      <c r="S135">
        <f>IFERROR(O135/N135,0)</f>
        <v/>
      </c>
      <c r="T135">
        <f>IF(C135,(H135*N135*IF(AND(Inputs!$B$39&lt;&gt;"pvp",Inputs!$B$44&gt;0),((Skills!G3*((R135-1)*IF(Skills!H3&gt;0,Skills!I3/Skills!H3,1)+IF(Skills!H3&gt;0,MIN(Skills!I3,MAX(0,MAX(0,Inputs!$B$44-B177)-((R135-1)*IF(Inputs!$B$39="pvp",15,MAX(0.1,Skills!D3-IF(Skills!E3=TRUE,Inputs!$B$32,0))))))/Skills!H3,1)))/Inputs!$B$44),G135*Q135))*IF(Inputs!$B$39="pvp",1,1+(Inputs!$B$20+((C159=TRUE)*(F159-Calc!F27))+Skills!P3+B173)/100),0)</f>
        <v/>
      </c>
      <c r="U135">
        <f>INDEX(FactorTable!$B$2:$Y$301, MATCH(ROUND(MIN(300,MAX(1,U134)),0), FactorTable!$A$2:$A$301,0), 24)</f>
        <v/>
      </c>
      <c r="V135">
        <f>IF(C135,(H135*N135*IF(AND(Inputs!$B$39&lt;&gt;"pvp",Inputs!$B$44&gt;0),((Skills!G3*((R135-1)*IF(Skills!H3&gt;0,Skills!I3/Skills!H3,1)+IF(Skills!H3&gt;0,MIN(Skills!I3,MAX(0,MAX(0,Inputs!$B$44-B177)-((R135-1)*IF(Inputs!$B$39="pvp",15,MAX(0.1,Skills!D3-IF(Skills!E3=TRUE,Inputs!$B$32,0))))))/Skills!H3,1)))/Inputs!$B$44),G135*Q135))*IF(Inputs!$B$39="pvp",1,(1+(Inputs!$B$21+Skills!Q3+B173)/100)*(MIN(Skills!W3,Inputs!$B$37))),0)</f>
        <v/>
      </c>
    </row>
    <row r="136">
      <c r="A136">
        <f>Skills!A4</f>
        <v/>
      </c>
      <c r="B136">
        <f>Skills!B4</f>
        <v/>
      </c>
      <c r="C136">
        <f>Inputs!$B$3&gt;=40</f>
        <v/>
      </c>
      <c r="D136">
        <f>IF(Skills!C4=1,60+Inputs!$B$25+Inputs!$B$29,IF(Skills!C4=2,90+Inputs!$B$26+Inputs!$B$29,IF(Skills!C4=3,120+Inputs!$B$27+Inputs!$B$29,MAX(0,(Inputs!$B$3-100)*3)+Inputs!$B$28+Inputs!$B$29)))</f>
        <v/>
      </c>
      <c r="E136">
        <f>INDEX(FactorTable!$B$2:$Y$301, MATCH(ROUND(MIN(300,MAX(1,D136)),0), FactorTable!$A$2:$A$301,0), Skills!M4+1)</f>
        <v/>
      </c>
      <c r="F136">
        <f>IF(Skills!N4=TRUE,(Skills!L4/10)*(E136/1000),Skills!L4/10)+Skills!O4</f>
        <v/>
      </c>
      <c r="G136">
        <f>Calc!G4</f>
        <v/>
      </c>
      <c r="H136">
        <f>Calc!H4</f>
        <v/>
      </c>
      <c r="I136">
        <f>IF(Skills!AA4&lt;&gt;"",1+(Skills!AA4/10)*(U135/1000)/100,1)</f>
        <v/>
      </c>
      <c r="J136">
        <f>((Inputs!$B$6*(1+Inputs!$B$7/100))+(((Inputs!$B$12*(1+Inputs!$B$13/100))-(Inputs!$B$12*(1+Inputs!$B$13/100)))+0.25*((Inputs!$B$14+1)-Inputs!$B$14))*(1+Inputs!$B$7/100))*(F136/100)</f>
        <v/>
      </c>
      <c r="K136">
        <f>J136*(1+((Inputs!$B$12*(1+Inputs!$B$13/100))*0.01+(Inputs!$B$14+1)*0.0025)/100)*(1+Inputs!$B$15/100)*(1+Inputs!$B$16/100)*(5000/(6000+Inputs!$B$43*(1-Inputs!$B$19/100)))*(1+(Inputs!$B$24+((C162=TRUE)*(F162-Calc!F30)))/100)*(1+Skills!R4/100)*(1+(IF(Skills!A4="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136)</f>
        <v/>
      </c>
      <c r="L136">
        <f>K136*(MIN(Inputs!$B$22+((C156=TRUE)*(F156-Calc!F24)),Inputs!$B$23)/100+Inputs!$B$23/100)/2</f>
        <v/>
      </c>
      <c r="M136">
        <f>L136*(1+(Inputs!$B$10+((C158=TRUE)*(F158-Calc!F26))+B175)/100)</f>
        <v/>
      </c>
      <c r="N136">
        <f>L136*(1-MIN((Inputs!$B$9+((C157=TRUE)*(F157-Calc!F25))+B172),100)/100)+M136*(MIN((Inputs!$B$9+((C157=TRUE)*(F157-Calc!F25))+B172),100)/100)</f>
        <v/>
      </c>
      <c r="O136">
        <f>(1-Summary!$B$55)*T136+Summary!$B$55*V136</f>
        <v/>
      </c>
      <c r="P136">
        <f>IF(B176=0,0,O136/B176)</f>
        <v/>
      </c>
      <c r="Q136">
        <f>IFERROR(1/IF(Inputs!$B$39="pvp",15,MAX(0.1,Skills!D4-IF(Skills!E4=TRUE,Inputs!$B$32,0))),0)</f>
        <v/>
      </c>
      <c r="R136">
        <f>IF(AND(Inputs!$B$39&lt;&gt;"pvp",Inputs!$B$44&gt;0),IF(MAX(0,Inputs!$B$44-B177)&lt;=0,0,(INT(MAX(0,Inputs!$B$44-B177)/IF(Inputs!$B$39="pvp",15,MAX(0.1,Skills!D4-IF(Skills!E4=TRUE,Inputs!$B$32,0))))+1)),0)</f>
        <v/>
      </c>
      <c r="S136">
        <f>IFERROR(O136/N136,0)</f>
        <v/>
      </c>
      <c r="T136">
        <f>IF(C136,(H136*N136*IF(AND(Inputs!$B$39&lt;&gt;"pvp",Inputs!$B$44&gt;0),((Skills!G4*((R136-1)*IF(Skills!H4&gt;0,Skills!I4/Skills!H4,1)+IF(Skills!H4&gt;0,MIN(Skills!I4,MAX(0,MAX(0,Inputs!$B$44-B177)-((R136-1)*IF(Inputs!$B$39="pvp",15,MAX(0.1,Skills!D4-IF(Skills!E4=TRUE,Inputs!$B$32,0))))))/Skills!H4,1)))/Inputs!$B$44),G136*Q136))*IF(Inputs!$B$39="pvp",1,1+(Inputs!$B$20+((C159=TRUE)*(F159-Calc!F27))+Skills!P4+B173)/100),0)</f>
        <v/>
      </c>
      <c r="U136">
        <f>MAX(0,(Inputs!$B$3-100)*3)+Inputs!$B$28+Inputs!$B$29</f>
        <v/>
      </c>
      <c r="V136">
        <f>IF(C136,(H136*N136*IF(AND(Inputs!$B$39&lt;&gt;"pvp",Inputs!$B$44&gt;0),((Skills!G4*((R136-1)*IF(Skills!H4&gt;0,Skills!I4/Skills!H4,1)+IF(Skills!H4&gt;0,MIN(Skills!I4,MAX(0,MAX(0,Inputs!$B$44-B177)-((R136-1)*IF(Inputs!$B$39="pvp",15,MAX(0.1,Skills!D4-IF(Skills!E4=TRUE,Inputs!$B$32,0))))))/Skills!H4,1)))/Inputs!$B$44),G136*Q136))*IF(Inputs!$B$39="pvp",1,(1+(Inputs!$B$21+Skills!Q4+B173)/100)*(MIN(Skills!W4,Inputs!$B$37))),0)</f>
        <v/>
      </c>
    </row>
    <row r="137">
      <c r="A137">
        <f>Skills!A5</f>
        <v/>
      </c>
      <c r="B137">
        <f>Skills!B5</f>
        <v/>
      </c>
      <c r="C137">
        <f>Inputs!$B$3&gt;=63</f>
        <v/>
      </c>
      <c r="D137">
        <f>IF(Skills!C5=1,60+Inputs!$B$25+Inputs!$B$29,IF(Skills!C5=2,90+Inputs!$B$26+Inputs!$B$29,IF(Skills!C5=3,120+Inputs!$B$27+Inputs!$B$29,MAX(0,(Inputs!$B$3-100)*3)+Inputs!$B$28+Inputs!$B$29)))</f>
        <v/>
      </c>
      <c r="E137">
        <f>INDEX(FactorTable!$B$2:$Y$301, MATCH(ROUND(MIN(300,MAX(1,D137)),0), FactorTable!$A$2:$A$301,0), Skills!M5+1)</f>
        <v/>
      </c>
      <c r="F137">
        <f>IF(Skills!N5=TRUE,(Skills!L5/10)*(E137/1000),Skills!L5/10)+Skills!O5</f>
        <v/>
      </c>
      <c r="G137">
        <f>Calc!G5</f>
        <v/>
      </c>
      <c r="H137">
        <f>Calc!H5</f>
        <v/>
      </c>
      <c r="I137">
        <f>IF(Skills!AA5&lt;&gt;"",1+(Skills!AA5/10)*(U135/1000)/100,1)</f>
        <v/>
      </c>
      <c r="J137">
        <f>((Inputs!$B$6*(1+Inputs!$B$7/100))+(((Inputs!$B$12*(1+Inputs!$B$13/100))-(Inputs!$B$12*(1+Inputs!$B$13/100)))+0.25*((Inputs!$B$14+1)-Inputs!$B$14))*(1+Inputs!$B$7/100))*(F137/100)</f>
        <v/>
      </c>
      <c r="K137">
        <f>J137*(1+((Inputs!$B$12*(1+Inputs!$B$13/100))*0.01+(Inputs!$B$14+1)*0.0025)/100)*(1+Inputs!$B$15/100)*(1+Inputs!$B$16/100)*(5000/(6000+Inputs!$B$43*(1-Inputs!$B$19/100)))*(1+(Inputs!$B$24+((C162=TRUE)*(F162-Calc!F30)))/100)*(1+Skills!R5/100)*(1+(IF(Skills!A5="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137)</f>
        <v/>
      </c>
      <c r="L137">
        <f>K137*(MIN(Inputs!$B$22+((C156=TRUE)*(F156-Calc!F24)),Inputs!$B$23)/100+Inputs!$B$23/100)/2</f>
        <v/>
      </c>
      <c r="M137">
        <f>L137*(1+(Inputs!$B$10+((C158=TRUE)*(F158-Calc!F26))+B175)/100)</f>
        <v/>
      </c>
      <c r="N137">
        <f>L137*(1-MIN((Inputs!$B$9+((C157=TRUE)*(F157-Calc!F25))+B172),100)/100)+M137*(MIN((Inputs!$B$9+((C157=TRUE)*(F157-Calc!F25))+B172),100)/100)</f>
        <v/>
      </c>
      <c r="O137">
        <f>(1-Summary!$B$55)*T137+Summary!$B$55*V137</f>
        <v/>
      </c>
      <c r="P137">
        <f>IF(B176=0,0,O137/B176)</f>
        <v/>
      </c>
      <c r="Q137">
        <f>IFERROR(1/IF(Inputs!$B$39="pvp",15,MAX(0.1,Skills!D5-IF(Skills!E5=TRUE,Inputs!$B$32,0))),0)</f>
        <v/>
      </c>
      <c r="R137">
        <f>IF(AND(Inputs!$B$39&lt;&gt;"pvp",Inputs!$B$44&gt;0),IF(MAX(0,Inputs!$B$44-B177)&lt;=0,0,(INT(MAX(0,Inputs!$B$44-B177)/IF(Inputs!$B$39="pvp",15,MAX(0.1,Skills!D5-IF(Skills!E5=TRUE,Inputs!$B$32,0))))+1)),0)</f>
        <v/>
      </c>
      <c r="S137">
        <f>IFERROR(O137/N137,0)</f>
        <v/>
      </c>
      <c r="T137">
        <f>IF(C137,(H137*N137*IF(AND(Inputs!$B$39&lt;&gt;"pvp",Inputs!$B$44&gt;0),((Skills!G5*((R137-1)*IF(Skills!H5&gt;0,Skills!I5/Skills!H5,1)+IF(Skills!H5&gt;0,MIN(Skills!I5,MAX(0,MAX(0,Inputs!$B$44-B177)-((R137-1)*IF(Inputs!$B$39="pvp",15,MAX(0.1,Skills!D5-IF(Skills!E5=TRUE,Inputs!$B$32,0))))))/Skills!H5,1)))/Inputs!$B$44),G137*Q137))*IF(Inputs!$B$39="pvp",1,1+(Inputs!$B$20+((C159=TRUE)*(F159-Calc!F27))+Skills!P5+B173)/100),0)</f>
        <v/>
      </c>
      <c r="U137">
        <f>INDEX(FactorTable!$B$2:$Y$301, MATCH(ROUND(MIN(300,MAX(1,U136)),0), FactorTable!$A$2:$A$301,0), 22)</f>
        <v/>
      </c>
      <c r="V137">
        <f>IF(C137,(H137*N137*IF(AND(Inputs!$B$39&lt;&gt;"pvp",Inputs!$B$44&gt;0),((Skills!G5*((R137-1)*IF(Skills!H5&gt;0,Skills!I5/Skills!H5,1)+IF(Skills!H5&gt;0,MIN(Skills!I5,MAX(0,MAX(0,Inputs!$B$44-B177)-((R137-1)*IF(Inputs!$B$39="pvp",15,MAX(0.1,Skills!D5-IF(Skills!E5=TRUE,Inputs!$B$32,0))))))/Skills!H5,1)))/Inputs!$B$44),G137*Q137))*IF(Inputs!$B$39="pvp",1,(1+(Inputs!$B$21+Skills!Q5+B173)/100)*(MIN(Skills!W5,Inputs!$B$37))),0)</f>
        <v/>
      </c>
    </row>
    <row r="138">
      <c r="A138">
        <f>Skills!A6</f>
        <v/>
      </c>
      <c r="B138">
        <f>Skills!B6</f>
        <v/>
      </c>
      <c r="C138">
        <f>Inputs!$B$3&gt;=66</f>
        <v/>
      </c>
      <c r="D138">
        <f>IF(Skills!C6=1,60+Inputs!$B$25+Inputs!$B$29,IF(Skills!C6=2,90+Inputs!$B$26+Inputs!$B$29,IF(Skills!C6=3,120+Inputs!$B$27+Inputs!$B$29,MAX(0,(Inputs!$B$3-100)*3)+Inputs!$B$28+Inputs!$B$29)))</f>
        <v/>
      </c>
      <c r="E138">
        <f>INDEX(FactorTable!$B$2:$Y$301, MATCH(ROUND(MIN(300,MAX(1,D138)),0), FactorTable!$A$2:$A$301,0), Skills!M6+1)</f>
        <v/>
      </c>
      <c r="F138">
        <f>IF(Skills!N6=TRUE,(Skills!L6/10)*(E138/1000),Skills!L6/10)+Skills!O6</f>
        <v/>
      </c>
      <c r="G138">
        <f>Calc!G6</f>
        <v/>
      </c>
      <c r="H138">
        <f>Calc!H6</f>
        <v/>
      </c>
      <c r="I138">
        <f>IF(Skills!AA6&lt;&gt;"",1+(Skills!AA6/10)*(U135/1000)/100,1)</f>
        <v/>
      </c>
      <c r="J138" t="inlineStr"/>
      <c r="K138" t="inlineStr"/>
      <c r="L138" t="inlineStr"/>
      <c r="M138" t="inlineStr"/>
      <c r="N138" t="inlineStr"/>
      <c r="O138">
        <f>(1-Summary!$B$55)*T138+Summary!$B$55*V138</f>
        <v/>
      </c>
      <c r="P138">
        <f>IF(B176=0,0,O138/B176)</f>
        <v/>
      </c>
      <c r="Q138" t="n">
        <v>0</v>
      </c>
      <c r="R138" t="n">
        <v>0</v>
      </c>
      <c r="S138">
        <f>IFERROR(O138/N138,0)</f>
        <v/>
      </c>
      <c r="T138" t="n">
        <v>0</v>
      </c>
      <c r="U138">
        <f>290*U137/1000</f>
        <v/>
      </c>
      <c r="V138" t="n">
        <v>0</v>
      </c>
    </row>
    <row r="139">
      <c r="A139">
        <f>Skills!A7</f>
        <v/>
      </c>
      <c r="B139">
        <f>Skills!B7</f>
        <v/>
      </c>
      <c r="C139">
        <f>Inputs!$B$3&gt;=66</f>
        <v/>
      </c>
      <c r="D139">
        <f>IF(Skills!C7=1,60+Inputs!$B$25+Inputs!$B$29,IF(Skills!C7=2,90+Inputs!$B$26+Inputs!$B$29,IF(Skills!C7=3,120+Inputs!$B$27+Inputs!$B$29,MAX(0,(Inputs!$B$3-100)*3)+Inputs!$B$28+Inputs!$B$29)))</f>
        <v/>
      </c>
      <c r="E139">
        <f>INDEX(FactorTable!$B$2:$Y$301, MATCH(ROUND(MIN(300,MAX(1,D139)),0), FactorTable!$A$2:$A$301,0), Skills!M7+1)</f>
        <v/>
      </c>
      <c r="F139">
        <f>IF(Skills!N7=TRUE,(Skills!L7/10)*(E139/1000),Skills!L7/10)+Skills!O7</f>
        <v/>
      </c>
      <c r="G139">
        <f>Calc!G7</f>
        <v/>
      </c>
      <c r="H139">
        <f>Calc!H7</f>
        <v/>
      </c>
      <c r="I139">
        <f>IF(Skills!AA7&lt;&gt;"",1+(Skills!AA7/10)*(U135/1000)/100,1)</f>
        <v/>
      </c>
      <c r="J139" t="inlineStr"/>
      <c r="K139" t="inlineStr"/>
      <c r="L139" t="inlineStr"/>
      <c r="M139" t="inlineStr"/>
      <c r="N139" t="inlineStr"/>
      <c r="O139">
        <f>(1-Summary!$B$55)*T139+Summary!$B$55*V139</f>
        <v/>
      </c>
      <c r="P139">
        <f>IF(B176=0,0,O139/B176)</f>
        <v/>
      </c>
      <c r="Q139" t="n">
        <v>0</v>
      </c>
      <c r="R139" t="n">
        <v>0</v>
      </c>
      <c r="S139">
        <f>IFERROR(O139/N139,0)</f>
        <v/>
      </c>
      <c r="T139" t="n">
        <v>0</v>
      </c>
      <c r="V139" t="n">
        <v>0</v>
      </c>
    </row>
    <row r="140">
      <c r="A140">
        <f>Skills!A8</f>
        <v/>
      </c>
      <c r="B140">
        <f>Skills!B8</f>
        <v/>
      </c>
      <c r="C140">
        <f>Inputs!$B$3&gt;=69</f>
        <v/>
      </c>
      <c r="D140">
        <f>IF(Skills!C8=1,60+Inputs!$B$25+Inputs!$B$29,IF(Skills!C8=2,90+Inputs!$B$26+Inputs!$B$29,IF(Skills!C8=3,120+Inputs!$B$27+Inputs!$B$29,MAX(0,(Inputs!$B$3-100)*3)+Inputs!$B$28+Inputs!$B$29)))</f>
        <v/>
      </c>
      <c r="E140">
        <f>INDEX(FactorTable!$B$2:$Y$301, MATCH(ROUND(MIN(300,MAX(1,D140)),0), FactorTable!$A$2:$A$301,0), Skills!M8+1)</f>
        <v/>
      </c>
      <c r="F140">
        <f>IF(Skills!N8=TRUE,(Skills!L8/10)*(E140/1000),Skills!L8/10)+Skills!O8</f>
        <v/>
      </c>
      <c r="G140">
        <f>Calc!G8</f>
        <v/>
      </c>
      <c r="H140">
        <f>Calc!H8</f>
        <v/>
      </c>
      <c r="I140">
        <f>IF(Skills!AA8&lt;&gt;"",1+(Skills!AA8/10)*(U135/1000)/100,1)</f>
        <v/>
      </c>
      <c r="J140">
        <f>((Inputs!$B$6*(1+Inputs!$B$7/100))+(((Inputs!$B$12*(1+Inputs!$B$13/100))-(Inputs!$B$12*(1+Inputs!$B$13/100)))+0.25*((Inputs!$B$14+1)-Inputs!$B$14))*(1+Inputs!$B$7/100))*(F140/100)</f>
        <v/>
      </c>
      <c r="K140">
        <f>J140*(1+((Inputs!$B$12*(1+Inputs!$B$13/100))*0.01+(Inputs!$B$14+1)*0.0025)/100)*(1+Inputs!$B$15/100)*(1+Inputs!$B$16/100)*(5000/(6000+Inputs!$B$43*(1-Inputs!$B$19/100)))*(1+(Inputs!$B$24+((C162=TRUE)*(F162-Calc!F30)))/100)*(1+Skills!R8/100)*(1+(IF(Skills!A8="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140)</f>
        <v/>
      </c>
      <c r="L140">
        <f>K140*(MIN(Inputs!$B$22+((C156=TRUE)*(F156-Calc!F24)),Inputs!$B$23)/100+Inputs!$B$23/100)/2</f>
        <v/>
      </c>
      <c r="M140">
        <f>L140*(1+(Inputs!$B$10+((C158=TRUE)*(F158-Calc!F26))+B175)/100)</f>
        <v/>
      </c>
      <c r="N140">
        <f>L140*(1-MIN((Inputs!$B$9+((C157=TRUE)*(F157-Calc!F25))+B172),100)/100)+M140*(MIN((Inputs!$B$9+((C157=TRUE)*(F157-Calc!F25))+B172),100)/100)</f>
        <v/>
      </c>
      <c r="O140">
        <f>(1-Summary!$B$55)*T140+Summary!$B$55*V140</f>
        <v/>
      </c>
      <c r="P140">
        <f>IF(B176=0,0,O140/B176)</f>
        <v/>
      </c>
      <c r="Q140">
        <f>IFERROR(1/IF(Inputs!$B$39="pvp",15,MAX(0.1,Skills!D8-IF(Skills!E8=TRUE,Inputs!$B$32,0))),0)</f>
        <v/>
      </c>
      <c r="R140">
        <f>IF(AND(Inputs!$B$39&lt;&gt;"pvp",Inputs!$B$44&gt;0),IF(MAX(0,Inputs!$B$44-B177)&lt;=0,0,(INT(MAX(0,Inputs!$B$44-B177)/IF(Inputs!$B$39="pvp",15,MAX(0.1,Skills!D8-IF(Skills!E8=TRUE,Inputs!$B$32,0))))+1)),0)</f>
        <v/>
      </c>
      <c r="S140">
        <f>IFERROR(O140/N140,0)</f>
        <v/>
      </c>
      <c r="T140">
        <f>IF(C140,(H140*N140*IF(AND(Inputs!$B$39&lt;&gt;"pvp",Inputs!$B$44&gt;0),((Skills!G8*((R140-1)*IF(Skills!H8&gt;0,Skills!I8/Skills!H8,1)+IF(Skills!H8&gt;0,MIN(Skills!I8,MAX(0,MAX(0,Inputs!$B$44-B177)-((R140-1)*IF(Inputs!$B$39="pvp",15,MAX(0.1,Skills!D8-IF(Skills!E8=TRUE,Inputs!$B$32,0))))))/Skills!H8,1)))/Inputs!$B$44),G140*Q140))*IF(Inputs!$B$39="pvp",1,1+(Inputs!$B$20+((C159=TRUE)*(F159-Calc!F27))+Skills!P8+B173)/100),0)</f>
        <v/>
      </c>
      <c r="V140">
        <f>IF(C140,(H140*N140*IF(AND(Inputs!$B$39&lt;&gt;"pvp",Inputs!$B$44&gt;0),((Skills!G8*((R140-1)*IF(Skills!H8&gt;0,Skills!I8/Skills!H8,1)+IF(Skills!H8&gt;0,MIN(Skills!I8,MAX(0,MAX(0,Inputs!$B$44-B177)-((R140-1)*IF(Inputs!$B$39="pvp",15,MAX(0.1,Skills!D8-IF(Skills!E8=TRUE,Inputs!$B$32,0))))))/Skills!H8,1)))/Inputs!$B$44),G140*Q140))*IF(Inputs!$B$39="pvp",1,(1+(Inputs!$B$21+Skills!Q8+B173)/100)*(MIN(Skills!W8,Inputs!$B$37))),0)</f>
        <v/>
      </c>
    </row>
    <row r="141">
      <c r="A141">
        <f>Skills!A9</f>
        <v/>
      </c>
      <c r="B141">
        <f>Skills!B9</f>
        <v/>
      </c>
      <c r="C141">
        <f>Inputs!$B$3&gt;=72</f>
        <v/>
      </c>
      <c r="D141">
        <f>IF(Skills!C9=1,60+Inputs!$B$25+Inputs!$B$29,IF(Skills!C9=2,90+Inputs!$B$26+Inputs!$B$29,IF(Skills!C9=3,120+Inputs!$B$27+Inputs!$B$29,MAX(0,(Inputs!$B$3-100)*3)+Inputs!$B$28+Inputs!$B$29)))</f>
        <v/>
      </c>
      <c r="E141">
        <f>INDEX(FactorTable!$B$2:$Y$301, MATCH(ROUND(MIN(300,MAX(1,D141)),0), FactorTable!$A$2:$A$301,0), Skills!M9+1)</f>
        <v/>
      </c>
      <c r="F141">
        <f>IF(Skills!N9=TRUE,(Skills!L9/10)*(E141/1000),Skills!L9/10)+Skills!O9</f>
        <v/>
      </c>
      <c r="G141">
        <f>Calc!G9</f>
        <v/>
      </c>
      <c r="H141">
        <f>Calc!H9</f>
        <v/>
      </c>
      <c r="I141">
        <f>IF(Skills!AA9&lt;&gt;"",1+(Skills!AA9/10)*(U135/1000)/100,1)</f>
        <v/>
      </c>
      <c r="J141">
        <f>((Inputs!$B$6*(1+Inputs!$B$7/100))+(((Inputs!$B$12*(1+Inputs!$B$13/100))-(Inputs!$B$12*(1+Inputs!$B$13/100)))+0.25*((Inputs!$B$14+1)-Inputs!$B$14))*(1+Inputs!$B$7/100))*(F141/100)</f>
        <v/>
      </c>
      <c r="K141">
        <f>J141*(1+((Inputs!$B$12*(1+Inputs!$B$13/100))*0.01+(Inputs!$B$14+1)*0.0025)/100)*(1+Inputs!$B$15/100)*(1+Inputs!$B$16/100)*(5000/(6000+Inputs!$B$43*(1-Inputs!$B$19/100)))*(1+(Inputs!$B$24+((C162=TRUE)*(F162-Calc!F30)))/100)*(1+Skills!R9/100)*(1+(IF(Skills!A9="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141)</f>
        <v/>
      </c>
      <c r="L141">
        <f>K141*(MIN(Inputs!$B$22+((C156=TRUE)*(F156-Calc!F24)),Inputs!$B$23)/100+Inputs!$B$23/100)/2</f>
        <v/>
      </c>
      <c r="M141">
        <f>L141*(1+(Inputs!$B$10+((C158=TRUE)*(F158-Calc!F26))+B175)/100)</f>
        <v/>
      </c>
      <c r="N141">
        <f>L141*(1-MIN((Inputs!$B$9+((C157=TRUE)*(F157-Calc!F25))+B172),100)/100)+M141*(MIN((Inputs!$B$9+((C157=TRUE)*(F157-Calc!F25))+B172),100)/100)</f>
        <v/>
      </c>
      <c r="O141">
        <f>(1-Summary!$B$55)*T141+Summary!$B$55*V141</f>
        <v/>
      </c>
      <c r="P141">
        <f>IF(B176=0,0,O141/B176)</f>
        <v/>
      </c>
      <c r="Q141">
        <f>IFERROR(1/IF(Inputs!$B$39="pvp",15,MAX(0.1,Skills!D9-IF(Skills!E9=TRUE,Inputs!$B$32,0))),0)</f>
        <v/>
      </c>
      <c r="R141">
        <f>IF(AND(Inputs!$B$39&lt;&gt;"pvp",Inputs!$B$44&gt;0),IF(MAX(0,Inputs!$B$44-B177)&lt;=0,0,(INT(MAX(0,Inputs!$B$44-B177)/IF(Inputs!$B$39="pvp",15,MAX(0.1,Skills!D9-IF(Skills!E9=TRUE,Inputs!$B$32,0))))+1)),0)</f>
        <v/>
      </c>
      <c r="S141">
        <f>IFERROR(O141/N141,0)</f>
        <v/>
      </c>
      <c r="T141">
        <f>IF(C141,(H141*N141*IF(AND(Inputs!$B$39&lt;&gt;"pvp",Inputs!$B$44&gt;0),((Skills!G9*((R141-1)*IF(Skills!H9&gt;0,Skills!I9/Skills!H9,1)+IF(Skills!H9&gt;0,MIN(Skills!I9,MAX(0,MAX(0,Inputs!$B$44-B177)-((R141-1)*IF(Inputs!$B$39="pvp",15,MAX(0.1,Skills!D9-IF(Skills!E9=TRUE,Inputs!$B$32,0))))))/Skills!H9,1)))/Inputs!$B$44),G141*Q141))*IF(Inputs!$B$39="pvp",1,1+(Inputs!$B$20+((C159=TRUE)*(F159-Calc!F27))+Skills!P9+B173)/100),0)</f>
        <v/>
      </c>
      <c r="V141">
        <f>IF(C141,(H141*N141*IF(AND(Inputs!$B$39&lt;&gt;"pvp",Inputs!$B$44&gt;0),((Skills!G9*((R141-1)*IF(Skills!H9&gt;0,Skills!I9/Skills!H9,1)+IF(Skills!H9&gt;0,MIN(Skills!I9,MAX(0,MAX(0,Inputs!$B$44-B177)-((R141-1)*IF(Inputs!$B$39="pvp",15,MAX(0.1,Skills!D9-IF(Skills!E9=TRUE,Inputs!$B$32,0))))))/Skills!H9,1)))/Inputs!$B$44),G141*Q141))*IF(Inputs!$B$39="pvp",1,(1+(Inputs!$B$21+Skills!Q9+B173)/100)*(MIN(Skills!W9,Inputs!$B$37))),0)</f>
        <v/>
      </c>
    </row>
    <row r="142">
      <c r="A142">
        <f>Skills!A10</f>
        <v/>
      </c>
      <c r="B142">
        <f>Skills!B10</f>
        <v/>
      </c>
      <c r="C142">
        <f>Inputs!$B$3&gt;=117</f>
        <v/>
      </c>
      <c r="D142">
        <f>IF(Skills!C10=1,60+Inputs!$B$25+Inputs!$B$29,IF(Skills!C10=2,90+Inputs!$B$26+Inputs!$B$29,IF(Skills!C10=3,120+Inputs!$B$27+Inputs!$B$29,MAX(0,(Inputs!$B$3-100)*3)+Inputs!$B$28+Inputs!$B$29)))</f>
        <v/>
      </c>
      <c r="E142">
        <f>INDEX(FactorTable!$B$2:$Y$301, MATCH(ROUND(MIN(300,MAX(1,D142)),0), FactorTable!$A$2:$A$301,0), Skills!M10+1)</f>
        <v/>
      </c>
      <c r="F142">
        <f>IF(Skills!N10=TRUE,(Skills!L10/10)*(E142/1000),Skills!L10/10)+Skills!O10</f>
        <v/>
      </c>
      <c r="G142">
        <f>Calc!G10</f>
        <v/>
      </c>
      <c r="H142">
        <f>Calc!H10</f>
        <v/>
      </c>
      <c r="I142">
        <f>IF(Skills!AA10&lt;&gt;"",1+(Skills!AA10/10)*(U135/1000)/100,1)</f>
        <v/>
      </c>
      <c r="J142">
        <f>((Inputs!$B$6*(1+Inputs!$B$7/100))+(((Inputs!$B$12*(1+Inputs!$B$13/100))-(Inputs!$B$12*(1+Inputs!$B$13/100)))+0.25*((Inputs!$B$14+1)-Inputs!$B$14))*(1+Inputs!$B$7/100))*(F142/100)</f>
        <v/>
      </c>
      <c r="K142">
        <f>J142*(1+((Inputs!$B$12*(1+Inputs!$B$13/100))*0.01+(Inputs!$B$14+1)*0.0025)/100)*(1+Inputs!$B$15/100)*(1+Inputs!$B$16/100)*(5000/(6000+Inputs!$B$43*(1-Inputs!$B$19/100)))*(1+(Inputs!$B$24+((C162=TRUE)*(F162-Calc!F30)))/100)*(1+Skills!R10/100)*(1+(IF(Skills!A10="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142)</f>
        <v/>
      </c>
      <c r="L142">
        <f>K142*(MIN(Inputs!$B$22+((C156=TRUE)*(F156-Calc!F24)),Inputs!$B$23)/100+Inputs!$B$23/100)/2</f>
        <v/>
      </c>
      <c r="M142">
        <f>L142*(1+(Inputs!$B$10+((C158=TRUE)*(F158-Calc!F26))+B175)/100)</f>
        <v/>
      </c>
      <c r="N142">
        <f>L142*(1-MIN((Inputs!$B$9+((C157=TRUE)*(F157-Calc!F25))+B172),100)/100)+M142*(MIN((Inputs!$B$9+((C157=TRUE)*(F157-Calc!F25))+B172),100)/100)</f>
        <v/>
      </c>
      <c r="O142">
        <f>(1-Summary!$B$55)*T142+Summary!$B$55*V142</f>
        <v/>
      </c>
      <c r="P142">
        <f>IF(B176=0,0,O142/B176)</f>
        <v/>
      </c>
      <c r="Q142" t="n">
        <v>0</v>
      </c>
      <c r="R142" t="n">
        <v>0</v>
      </c>
      <c r="S142" t="n">
        <v>0</v>
      </c>
      <c r="T142">
        <f>IF(C142,(0.2*SUMPRODUCT((Skills!Z2:Z31=TRUE)*(C134:C163=TRUE)*S134:S163)*N142)*IF(Inputs!$B$39="pvp",1,1+(Inputs!$B$20+((C159=TRUE)*(F159-Calc!F27))+Skills!P10+B173)/100),0)</f>
        <v/>
      </c>
      <c r="V142">
        <f>IF(C142,(0.2*SUMPRODUCT((Skills!Z2:Z31=TRUE)*(C134:C163=TRUE)*S134:S163)*N142)*IF(Inputs!$B$39="pvp",1,(1+(Inputs!$B$21+Skills!Q10+B173)/100)*(MIN(Skills!W10,Inputs!$B$37))),0)</f>
        <v/>
      </c>
    </row>
    <row r="143">
      <c r="A143">
        <f>Skills!A11</f>
        <v/>
      </c>
      <c r="B143">
        <f>Skills!B11</f>
        <v/>
      </c>
      <c r="C143">
        <f>Inputs!$B$3&gt;=60</f>
        <v/>
      </c>
      <c r="D143">
        <f>IF(Skills!C11=1,60+Inputs!$B$25+Inputs!$B$29,IF(Skills!C11=2,90+Inputs!$B$26+Inputs!$B$29,IF(Skills!C11=3,120+Inputs!$B$27+Inputs!$B$29,MAX(0,(Inputs!$B$3-100)*3)+Inputs!$B$28+Inputs!$B$29)))</f>
        <v/>
      </c>
      <c r="E143">
        <f>INDEX(FactorTable!$B$2:$Y$301, MATCH(ROUND(MIN(300,MAX(1,D143)),0), FactorTable!$A$2:$A$301,0), Skills!M11+1)</f>
        <v/>
      </c>
      <c r="F143">
        <f>IF(Skills!N11=TRUE,(Skills!L11/10)*(E143/1000),Skills!L11/10)+Skills!O11</f>
        <v/>
      </c>
      <c r="G143">
        <f>Calc!G11</f>
        <v/>
      </c>
      <c r="H143">
        <f>Calc!H11</f>
        <v/>
      </c>
      <c r="I143">
        <f>IF(Skills!AA11&lt;&gt;"",1+(Skills!AA11/10)*(U135/1000)/100,1)</f>
        <v/>
      </c>
      <c r="J143" t="inlineStr"/>
      <c r="K143" t="inlineStr"/>
      <c r="L143" t="inlineStr"/>
      <c r="M143" t="inlineStr"/>
      <c r="N143" t="inlineStr"/>
      <c r="O143">
        <f>(1-Summary!$B$55)*T143+Summary!$B$55*V143</f>
        <v/>
      </c>
      <c r="P143">
        <f>IF(B176=0,0,O143/B176)</f>
        <v/>
      </c>
      <c r="Q143" t="n">
        <v>0</v>
      </c>
      <c r="R143" t="n">
        <v>0</v>
      </c>
      <c r="S143">
        <f>IFERROR(O143/N143,0)</f>
        <v/>
      </c>
      <c r="T143" t="n">
        <v>0</v>
      </c>
      <c r="V143" t="n">
        <v>0</v>
      </c>
    </row>
    <row r="144">
      <c r="A144">
        <f>Skills!A12</f>
        <v/>
      </c>
      <c r="B144">
        <f>Skills!B12</f>
        <v/>
      </c>
      <c r="C144">
        <f>Inputs!$B$3&gt;=103</f>
        <v/>
      </c>
      <c r="D144">
        <f>IF(Skills!C12=1,60+Inputs!$B$25+Inputs!$B$29,IF(Skills!C12=2,90+Inputs!$B$26+Inputs!$B$29,IF(Skills!C12=3,120+Inputs!$B$27+Inputs!$B$29,MAX(0,(Inputs!$B$3-100)*3)+Inputs!$B$28+Inputs!$B$29)))</f>
        <v/>
      </c>
      <c r="E144">
        <f>INDEX(FactorTable!$B$2:$Y$301, MATCH(ROUND(MIN(300,MAX(1,D144)),0), FactorTable!$A$2:$A$301,0), Skills!M12+1)</f>
        <v/>
      </c>
      <c r="F144">
        <f>IF(Skills!N12=TRUE,(Skills!L12/10)*(E144/1000),Skills!L12/10)+Skills!O12</f>
        <v/>
      </c>
      <c r="G144">
        <f>Calc!G12</f>
        <v/>
      </c>
      <c r="H144">
        <f>Calc!H12</f>
        <v/>
      </c>
      <c r="I144">
        <f>IF(Skills!AA12&lt;&gt;"",1+(Skills!AA12/10)*(U135/1000)/100,1)</f>
        <v/>
      </c>
      <c r="J144">
        <f>((Inputs!$B$6*(1+Inputs!$B$7/100))+(((Inputs!$B$12*(1+Inputs!$B$13/100))-(Inputs!$B$12*(1+Inputs!$B$13/100)))+0.25*((Inputs!$B$14+1)-Inputs!$B$14))*(1+Inputs!$B$7/100))*(F144/100)</f>
        <v/>
      </c>
      <c r="K144">
        <f>J144*(1+((Inputs!$B$12*(1+Inputs!$B$13/100))*0.01+(Inputs!$B$14+1)*0.0025)/100)*(1+Inputs!$B$15/100)*(1+Inputs!$B$16/100)*(5000/(6000+Inputs!$B$43*(1-Inputs!$B$19/100)))*(1+(Inputs!$B$24+((C162=TRUE)*(F162-Calc!F30)))/100)*(1+Skills!R12/100)*(1+(IF(Skills!A12="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144)</f>
        <v/>
      </c>
      <c r="L144">
        <f>K144*(MIN(Inputs!$B$22+((C156=TRUE)*(F156-Calc!F24)),Inputs!$B$23)/100+Inputs!$B$23/100)/2</f>
        <v/>
      </c>
      <c r="M144">
        <f>L144*(1+(Inputs!$B$10+((C158=TRUE)*(F158-Calc!F26))+B175)/100)</f>
        <v/>
      </c>
      <c r="N144">
        <f>L144*(1-MIN((Inputs!$B$9+((C157=TRUE)*(F157-Calc!F25))+B172),100)/100)+M144*(MIN((Inputs!$B$9+((C157=TRUE)*(F157-Calc!F25))+B172),100)/100)</f>
        <v/>
      </c>
      <c r="O144">
        <f>(1-Summary!$B$55)*T144+Summary!$B$55*V144</f>
        <v/>
      </c>
      <c r="P144">
        <f>IF(B176=0,0,O144/B176)</f>
        <v/>
      </c>
      <c r="Q144">
        <f>IFERROR(1/IF(Inputs!$B$39="pvp",15,MAX(0.1,Skills!D12-IF(Skills!E12=TRUE,Inputs!$B$32,0))),0)</f>
        <v/>
      </c>
      <c r="R144">
        <f>IF(AND(Inputs!$B$39&lt;&gt;"pvp",Inputs!$B$44&gt;0),IF(MAX(0,Inputs!$B$44-B177)&lt;=0,0,(INT(MAX(0,Inputs!$B$44-B177)/IF(Inputs!$B$39="pvp",15,MAX(0.1,Skills!D12-IF(Skills!E12=TRUE,Inputs!$B$32,0))))+1)),0)</f>
        <v/>
      </c>
      <c r="S144">
        <f>IFERROR(O144/N144,0)</f>
        <v/>
      </c>
      <c r="T144">
        <f>IF(C144,(H144*N144*IF(AND(Inputs!$B$39&lt;&gt;"pvp",Inputs!$B$44&gt;0),((Skills!G12*((R144-1)*IF(Skills!H12&gt;0,Skills!I12/Skills!H12,1)+IF(Skills!H12&gt;0,MIN(Skills!I12,MAX(0,MAX(0,Inputs!$B$44-B177)-((R144-1)*IF(Inputs!$B$39="pvp",15,MAX(0.1,Skills!D12-IF(Skills!E12=TRUE,Inputs!$B$32,0))))))/Skills!H12,1)))/Inputs!$B$44),G144*Q144))*IF(Inputs!$B$39="pvp",1,1+(Inputs!$B$20+((C159=TRUE)*(F159-Calc!F27))+Skills!P12+B173)/100),0)</f>
        <v/>
      </c>
      <c r="V144">
        <f>IF(C144,(H144*N144*IF(AND(Inputs!$B$39&lt;&gt;"pvp",Inputs!$B$44&gt;0),((Skills!G12*((R144-1)*IF(Skills!H12&gt;0,Skills!I12/Skills!H12,1)+IF(Skills!H12&gt;0,MIN(Skills!I12,MAX(0,MAX(0,Inputs!$B$44-B177)-((R144-1)*IF(Inputs!$B$39="pvp",15,MAX(0.1,Skills!D12-IF(Skills!E12=TRUE,Inputs!$B$32,0))))))/Skills!H12,1)))/Inputs!$B$44),G144*Q144))*IF(Inputs!$B$39="pvp",1,(1+(Inputs!$B$21+Skills!Q12+B173)/100)*(MIN(Skills!W12,Inputs!$B$37))),0)</f>
        <v/>
      </c>
    </row>
    <row r="145">
      <c r="A145">
        <f>Skills!A13</f>
        <v/>
      </c>
      <c r="B145">
        <f>Skills!B13</f>
        <v/>
      </c>
      <c r="C145">
        <f>Inputs!$B$3&gt;=105</f>
        <v/>
      </c>
      <c r="D145">
        <f>IF(Skills!C13=1,60+Inputs!$B$25+Inputs!$B$29,IF(Skills!C13=2,90+Inputs!$B$26+Inputs!$B$29,IF(Skills!C13=3,120+Inputs!$B$27+Inputs!$B$29,MAX(0,(Inputs!$B$3-100)*3)+Inputs!$B$28+Inputs!$B$29)))</f>
        <v/>
      </c>
      <c r="E145">
        <f>INDEX(FactorTable!$B$2:$Y$301, MATCH(ROUND(MIN(300,MAX(1,D145)),0), FactorTable!$A$2:$A$301,0), Skills!M13+1)</f>
        <v/>
      </c>
      <c r="F145">
        <f>IF(Skills!N13=TRUE,(Skills!L13/10)*(E145/1000),Skills!L13/10)+Skills!O13</f>
        <v/>
      </c>
      <c r="G145">
        <f>Calc!G13</f>
        <v/>
      </c>
      <c r="H145">
        <f>Calc!H13</f>
        <v/>
      </c>
      <c r="I145">
        <f>IF(Skills!AA13&lt;&gt;"",1+(Skills!AA13/10)*(U135/1000)/100,1)</f>
        <v/>
      </c>
      <c r="J145">
        <f>((Inputs!$B$6*(1+Inputs!$B$7/100))+(((Inputs!$B$12*(1+Inputs!$B$13/100))-(Inputs!$B$12*(1+Inputs!$B$13/100)))+0.25*((Inputs!$B$14+1)-Inputs!$B$14))*(1+Inputs!$B$7/100))*(F145/100)</f>
        <v/>
      </c>
      <c r="K145">
        <f>J145*(1+((Inputs!$B$12*(1+Inputs!$B$13/100))*0.01+(Inputs!$B$14+1)*0.0025)/100)*(1+Inputs!$B$15/100)*(1+Inputs!$B$16/100)*(5000/(6000+Inputs!$B$43*(1-Inputs!$B$19/100)))*(1+(Inputs!$B$24+((C162=TRUE)*(F162-Calc!F30)))/100)*(1+Skills!R13/100)*(1+(IF(Skills!A13="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145)</f>
        <v/>
      </c>
      <c r="L145">
        <f>K145*(MIN(Inputs!$B$22+((C156=TRUE)*(F156-Calc!F24)),Inputs!$B$23)/100+Inputs!$B$23/100)/2</f>
        <v/>
      </c>
      <c r="M145">
        <f>L145*(1+(Inputs!$B$10+((C158=TRUE)*(F158-Calc!F26))+B175)/100)</f>
        <v/>
      </c>
      <c r="N145">
        <f>L145*(1-MIN((Inputs!$B$9+((C157=TRUE)*(F157-Calc!F25))+B172),100)/100)+M145*(MIN((Inputs!$B$9+((C157=TRUE)*(F157-Calc!F25))+B172),100)/100)</f>
        <v/>
      </c>
      <c r="O145">
        <f>(1-Summary!$B$55)*T145+Summary!$B$55*V145</f>
        <v/>
      </c>
      <c r="P145">
        <f>IF(B176=0,0,O145/B176)</f>
        <v/>
      </c>
      <c r="Q145">
        <f>IFERROR(1/IF(Inputs!$B$39="pvp",15,MAX(0.1,Skills!D13-IF(Skills!E13=TRUE,Inputs!$B$32,0))),0)</f>
        <v/>
      </c>
      <c r="R145">
        <f>IF(AND(Inputs!$B$39&lt;&gt;"pvp",Inputs!$B$44&gt;0),IF(MAX(0,Inputs!$B$44-B177)&lt;=0,0,(INT(MAX(0,Inputs!$B$44-B177)/IF(Inputs!$B$39="pvp",15,MAX(0.1,Skills!D13-IF(Skills!E13=TRUE,Inputs!$B$32,0))))+1)),0)</f>
        <v/>
      </c>
      <c r="S145">
        <f>IFERROR(O145/N145,0)</f>
        <v/>
      </c>
      <c r="T145">
        <f>IF(C145,(H145*N145*IF(AND(Inputs!$B$39&lt;&gt;"pvp",Inputs!$B$44&gt;0),((Skills!G13*((R145-1)*IF(Skills!H13&gt;0,Skills!I13/Skills!H13,1)+IF(Skills!H13&gt;0,MIN(Skills!I13,MAX(0,MAX(0,Inputs!$B$44-B177)-((R145-1)*IF(Inputs!$B$39="pvp",15,MAX(0.1,Skills!D13-IF(Skills!E13=TRUE,Inputs!$B$32,0))))))/Skills!H13,1)))/Inputs!$B$44),G145*Q145))*IF(Inputs!$B$39="pvp",1,1+(Inputs!$B$20+((C159=TRUE)*(F159-Calc!F27))+Skills!P13+B173)/100),0)</f>
        <v/>
      </c>
      <c r="V145">
        <f>IF(C145,(H145*N145*IF(AND(Inputs!$B$39&lt;&gt;"pvp",Inputs!$B$44&gt;0),((Skills!G13*((R145-1)*IF(Skills!H13&gt;0,Skills!I13/Skills!H13,1)+IF(Skills!H13&gt;0,MIN(Skills!I13,MAX(0,MAX(0,Inputs!$B$44-B177)-((R145-1)*IF(Inputs!$B$39="pvp",15,MAX(0.1,Skills!D13-IF(Skills!E13=TRUE,Inputs!$B$32,0))))))/Skills!H13,1)))/Inputs!$B$44),G145*Q145))*IF(Inputs!$B$39="pvp",1,(1+(Inputs!$B$21+Skills!Q13+B173)/100)*(MIN(Skills!W13,Inputs!$B$37))),0)</f>
        <v/>
      </c>
    </row>
    <row r="146">
      <c r="A146">
        <f>Skills!A14</f>
        <v/>
      </c>
      <c r="B146">
        <f>Skills!B14</f>
        <v/>
      </c>
      <c r="C146">
        <f>Inputs!$B$3&gt;=105</f>
        <v/>
      </c>
      <c r="D146">
        <f>IF(Skills!C14=1,60+Inputs!$B$25+Inputs!$B$29,IF(Skills!C14=2,90+Inputs!$B$26+Inputs!$B$29,IF(Skills!C14=3,120+Inputs!$B$27+Inputs!$B$29,MAX(0,(Inputs!$B$3-100)*3)+Inputs!$B$28+Inputs!$B$29)))</f>
        <v/>
      </c>
      <c r="E146">
        <f>INDEX(FactorTable!$B$2:$Y$301, MATCH(ROUND(MIN(300,MAX(1,D146)),0), FactorTable!$A$2:$A$301,0), Skills!M14+1)</f>
        <v/>
      </c>
      <c r="F146">
        <f>IF(Skills!N14=TRUE,(Skills!L14/10)*(E146/1000),Skills!L14/10)+Skills!O14</f>
        <v/>
      </c>
      <c r="G146">
        <f>Calc!G14</f>
        <v/>
      </c>
      <c r="H146">
        <f>Calc!H14</f>
        <v/>
      </c>
      <c r="I146">
        <f>IF(Skills!AA14&lt;&gt;"",1+(Skills!AA14/10)*(U135/1000)/100,1)</f>
        <v/>
      </c>
      <c r="J146">
        <f>((Inputs!$B$6*(1+Inputs!$B$7/100))+(((Inputs!$B$12*(1+Inputs!$B$13/100))-(Inputs!$B$12*(1+Inputs!$B$13/100)))+0.25*((Inputs!$B$14+1)-Inputs!$B$14))*(1+Inputs!$B$7/100))*(F146/100)</f>
        <v/>
      </c>
      <c r="K146">
        <f>J146*(1+((Inputs!$B$12*(1+Inputs!$B$13/100))*0.01+(Inputs!$B$14+1)*0.0025)/100)*(1+Inputs!$B$15/100)*(1+Inputs!$B$16/100)*(5000/(6000+Inputs!$B$43*(1-Inputs!$B$19/100)))*(1+(Inputs!$B$24+((C162=TRUE)*(F162-Calc!F30)))/100)*(1+Skills!R14/100)*(1+(IF(Skills!A14="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146)</f>
        <v/>
      </c>
      <c r="L146">
        <f>K146*(MIN(Inputs!$B$22+((C156=TRUE)*(F156-Calc!F24)),Inputs!$B$23)/100+Inputs!$B$23/100)/2</f>
        <v/>
      </c>
      <c r="M146">
        <f>L146*(1+(Inputs!$B$10+((C158=TRUE)*(F158-Calc!F26))+B175)/100)</f>
        <v/>
      </c>
      <c r="N146">
        <f>L146*(1-MIN((Inputs!$B$9+((C157=TRUE)*(F157-Calc!F25))+B172),100)/100)+M146*(MIN((Inputs!$B$9+((C157=TRUE)*(F157-Calc!F25))+B172),100)/100)</f>
        <v/>
      </c>
      <c r="O146">
        <f>(1-Summary!$B$55)*T146+Summary!$B$55*V146</f>
        <v/>
      </c>
      <c r="P146">
        <f>IF(B176=0,0,O146/B176)</f>
        <v/>
      </c>
      <c r="Q146">
        <f>IFERROR(1/IF(Inputs!$B$39="pvp",15,MAX(0.1,Skills!D14-IF(Skills!E14=TRUE,Inputs!$B$32,0))),0)</f>
        <v/>
      </c>
      <c r="R146">
        <f>IF(AND(Inputs!$B$39&lt;&gt;"pvp",Inputs!$B$44&gt;0),IF(MAX(0,Inputs!$B$44-B177)&lt;=0,0,(INT(MAX(0,Inputs!$B$44-B177)/IF(Inputs!$B$39="pvp",15,MAX(0.1,Skills!D14-IF(Skills!E14=TRUE,Inputs!$B$32,0))))+1)),0)</f>
        <v/>
      </c>
      <c r="S146">
        <f>IFERROR(O146/N146,0)</f>
        <v/>
      </c>
      <c r="T146">
        <f>IF(C146,(H146*N146*IF(AND(Inputs!$B$39&lt;&gt;"pvp",Inputs!$B$44&gt;0),((Skills!G14*((R146-1)*IF(Skills!H14&gt;0,Skills!I14/Skills!H14,1)+IF(Skills!H14&gt;0,MIN(Skills!I14,MAX(0,MAX(0,Inputs!$B$44-B177)-((R146-1)*IF(Inputs!$B$39="pvp",15,MAX(0.1,Skills!D14-IF(Skills!E14=TRUE,Inputs!$B$32,0))))))/Skills!H14,1)))/Inputs!$B$44),G146*Q146))*IF(Inputs!$B$39="pvp",1,1+(Inputs!$B$20+((C159=TRUE)*(F159-Calc!F27))+Skills!P14+B173)/100),0)</f>
        <v/>
      </c>
      <c r="V146">
        <f>IF(C146,(H146*N146*IF(AND(Inputs!$B$39&lt;&gt;"pvp",Inputs!$B$44&gt;0),((Skills!G14*((R146-1)*IF(Skills!H14&gt;0,Skills!I14/Skills!H14,1)+IF(Skills!H14&gt;0,MIN(Skills!I14,MAX(0,MAX(0,Inputs!$B$44-B177)-((R146-1)*IF(Inputs!$B$39="pvp",15,MAX(0.1,Skills!D14-IF(Skills!E14=TRUE,Inputs!$B$32,0))))))/Skills!H14,1)))/Inputs!$B$44),G146*Q146))*IF(Inputs!$B$39="pvp",1,(1+(Inputs!$B$21+Skills!Q14+B173)/100)*(MIN(Skills!W14,Inputs!$B$37))),0)</f>
        <v/>
      </c>
    </row>
    <row r="147">
      <c r="A147">
        <f>Skills!A15</f>
        <v/>
      </c>
      <c r="B147">
        <f>Skills!B15</f>
        <v/>
      </c>
      <c r="C147">
        <f>Inputs!$B$3&gt;=110</f>
        <v/>
      </c>
      <c r="D147">
        <f>IF(Skills!C15=1,60+Inputs!$B$25+Inputs!$B$29,IF(Skills!C15=2,90+Inputs!$B$26+Inputs!$B$29,IF(Skills!C15=3,120+Inputs!$B$27+Inputs!$B$29,MAX(0,(Inputs!$B$3-100)*3)+Inputs!$B$28+Inputs!$B$29)))</f>
        <v/>
      </c>
      <c r="E147">
        <f>INDEX(FactorTable!$B$2:$Y$301, MATCH(ROUND(MIN(300,MAX(1,D147)),0), FactorTable!$A$2:$A$301,0), Skills!M15+1)</f>
        <v/>
      </c>
      <c r="F147">
        <f>IF(Skills!N15=TRUE,(Skills!L15/10)*(E147/1000),Skills!L15/10)+Skills!O15</f>
        <v/>
      </c>
      <c r="G147">
        <f>Calc!G15</f>
        <v/>
      </c>
      <c r="H147">
        <f>Calc!H15</f>
        <v/>
      </c>
      <c r="I147">
        <f>IF(Skills!AA15&lt;&gt;"",1+(Skills!AA15/10)*(U135/1000)/100,1)</f>
        <v/>
      </c>
      <c r="J147" t="inlineStr"/>
      <c r="K147" t="inlineStr"/>
      <c r="L147" t="inlineStr"/>
      <c r="M147" t="inlineStr"/>
      <c r="N147" t="inlineStr"/>
      <c r="O147">
        <f>(1-Summary!$B$55)*T147+Summary!$B$55*V147</f>
        <v/>
      </c>
      <c r="P147">
        <f>IF(B176=0,0,O147/B176)</f>
        <v/>
      </c>
      <c r="Q147">
        <f>IFERROR(1/IF(Inputs!$B$39="pvp",15,MAX(0.1,Skills!D15-IF(Skills!E15=TRUE,Inputs!$B$32,0))),0)</f>
        <v/>
      </c>
      <c r="R147">
        <f>IF(AND(Inputs!$B$39&lt;&gt;"pvp",Inputs!$B$44&gt;0),IF(Inputs!$B$44&lt;=0,0,(INT(Inputs!$B$44/IF(Inputs!$B$39="pvp",15,MAX(0.1,Skills!D15-IF(Skills!E15=TRUE,Inputs!$B$32,0))))+1)),0)</f>
        <v/>
      </c>
      <c r="S147">
        <f>IFERROR(O147/N147,0)</f>
        <v/>
      </c>
      <c r="T147" t="n">
        <v>0</v>
      </c>
      <c r="V147" t="n">
        <v>0</v>
      </c>
    </row>
    <row r="148">
      <c r="A148">
        <f>Skills!A16</f>
        <v/>
      </c>
      <c r="B148">
        <f>Skills!B16</f>
        <v/>
      </c>
      <c r="C148">
        <f>Inputs!$B$3&gt;=110</f>
        <v/>
      </c>
      <c r="D148">
        <f>IF(Skills!C16=1,60+Inputs!$B$25+Inputs!$B$29,IF(Skills!C16=2,90+Inputs!$B$26+Inputs!$B$29,IF(Skills!C16=3,120+Inputs!$B$27+Inputs!$B$29,MAX(0,(Inputs!$B$3-100)*3)+Inputs!$B$28+Inputs!$B$29)))</f>
        <v/>
      </c>
      <c r="E148">
        <f>INDEX(FactorTable!$B$2:$Y$301, MATCH(ROUND(MIN(300,MAX(1,D148)),0), FactorTable!$A$2:$A$301,0), Skills!M16+1)</f>
        <v/>
      </c>
      <c r="F148">
        <f>IF(Skills!N16=TRUE,(Skills!L16/10)*(E148/1000),Skills!L16/10)+Skills!O16</f>
        <v/>
      </c>
      <c r="G148">
        <f>Calc!G16</f>
        <v/>
      </c>
      <c r="H148">
        <f>Calc!H16</f>
        <v/>
      </c>
      <c r="I148">
        <f>IF(Skills!AA16&lt;&gt;"",1+(Skills!AA16/10)*(U135/1000)/100,1)</f>
        <v/>
      </c>
      <c r="J148" t="inlineStr"/>
      <c r="K148" t="inlineStr"/>
      <c r="L148" t="inlineStr"/>
      <c r="M148" t="inlineStr"/>
      <c r="N148" t="inlineStr"/>
      <c r="O148">
        <f>(1-Summary!$B$55)*T148+Summary!$B$55*V148</f>
        <v/>
      </c>
      <c r="P148">
        <f>IF(B176=0,0,O148/B176)</f>
        <v/>
      </c>
      <c r="Q148">
        <f>IFERROR(1/IF(Inputs!$B$39="pvp",15,MAX(0.1,Skills!D16-IF(Skills!E16=TRUE,Inputs!$B$32,0))),0)</f>
        <v/>
      </c>
      <c r="R148">
        <f>IF(AND(Inputs!$B$39&lt;&gt;"pvp",Inputs!$B$44&gt;0),IF(Inputs!$B$44&lt;=0,0,(INT(Inputs!$B$44/IF(Inputs!$B$39="pvp",15,MAX(0.1,Skills!D16-IF(Skills!E16=TRUE,Inputs!$B$32,0))))+1)),0)</f>
        <v/>
      </c>
      <c r="S148">
        <f>IFERROR(O148/N148,0)</f>
        <v/>
      </c>
      <c r="T148" t="n">
        <v>0</v>
      </c>
      <c r="V148" t="n">
        <v>0</v>
      </c>
    </row>
    <row r="149">
      <c r="A149">
        <f>Skills!A17</f>
        <v/>
      </c>
      <c r="B149">
        <f>Skills!B17</f>
        <v/>
      </c>
      <c r="C149">
        <f>Inputs!$B$3&gt;=115</f>
        <v/>
      </c>
      <c r="D149">
        <f>IF(Skills!C17=1,60+Inputs!$B$25+Inputs!$B$29,IF(Skills!C17=2,90+Inputs!$B$26+Inputs!$B$29,IF(Skills!C17=3,120+Inputs!$B$27+Inputs!$B$29,MAX(0,(Inputs!$B$3-100)*3)+Inputs!$B$28+Inputs!$B$29)))</f>
        <v/>
      </c>
      <c r="E149">
        <f>INDEX(FactorTable!$B$2:$Y$301, MATCH(ROUND(MIN(300,MAX(1,D149)),0), FactorTable!$A$2:$A$301,0), Skills!M17+1)</f>
        <v/>
      </c>
      <c r="F149">
        <f>IF(Skills!N17=TRUE,(Skills!L17/10)*(E149/1000),Skills!L17/10)+Skills!O17</f>
        <v/>
      </c>
      <c r="G149">
        <f>Calc!G17</f>
        <v/>
      </c>
      <c r="H149">
        <f>Calc!H17</f>
        <v/>
      </c>
      <c r="I149">
        <f>IF(Skills!AA17&lt;&gt;"",1+(Skills!AA17/10)*(U135/1000)/100,1)</f>
        <v/>
      </c>
      <c r="J149">
        <f>((Inputs!$B$6*(1+Inputs!$B$7/100))+(((Inputs!$B$12*(1+Inputs!$B$13/100))-(Inputs!$B$12*(1+Inputs!$B$13/100)))+0.25*((Inputs!$B$14+1)-Inputs!$B$14))*(1+Inputs!$B$7/100))*(F149/100)</f>
        <v/>
      </c>
      <c r="K149">
        <f>J149*(1+((Inputs!$B$12*(1+Inputs!$B$13/100))*0.01+(Inputs!$B$14+1)*0.0025)/100)*(1+Inputs!$B$15/100)*(1+Inputs!$B$16/100)*(5000/(6000+Inputs!$B$43*(1-Inputs!$B$19/100)))*(1+(Inputs!$B$24+((C162=TRUE)*(F162-Calc!F30)))/100)*(1+Skills!R17/100)*(1+(IF(Skills!A17="SHOWDOWN",Inputs!$B$17+((C155=TRUE)*(F155-Calc!F23)),Inputs!$B$18+((C161=TRUE)*(F161-Calc!F29))))/100)*(((1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B174*I149)</f>
        <v/>
      </c>
      <c r="L149">
        <f>K149*(MIN(Inputs!$B$22+((C156=TRUE)*(F156-Calc!F24)),Inputs!$B$23)/100+Inputs!$B$23/100)/2</f>
        <v/>
      </c>
      <c r="M149">
        <f>L149*(1+(Inputs!$B$10+((C158=TRUE)*(F158-Calc!F26))+B175)/100)</f>
        <v/>
      </c>
      <c r="N149">
        <f>L149*(1-MIN((Inputs!$B$9+((C157=TRUE)*(F157-Calc!F25))+B172),100)/100)+M149*(MIN((Inputs!$B$9+((C157=TRUE)*(F157-Calc!F25))+B172),100)/100)</f>
        <v/>
      </c>
      <c r="O149">
        <f>(1-Summary!$B$55)*T149+Summary!$B$55*V149</f>
        <v/>
      </c>
      <c r="P149">
        <f>IF(B176=0,0,O149/B176)</f>
        <v/>
      </c>
      <c r="Q149" t="n">
        <v>0</v>
      </c>
      <c r="R149" t="n">
        <v>0</v>
      </c>
      <c r="S149">
        <f>IFERROR(O149/N149,0)</f>
        <v/>
      </c>
      <c r="T149">
        <f>IF(C149,(Inputs!$B$38*0.2*N149)*IF(Inputs!$B$39="pvp",1,1+(Inputs!$B$20+((C159=TRUE)*(F159-Calc!F27))+Skills!P17+B173)/100),0)</f>
        <v/>
      </c>
      <c r="V149">
        <f>IF(C149,(Inputs!$B$38*0.2*N149)*IF(Inputs!$B$39="pvp",1,(1+(Inputs!$B$21+Skills!Q17+B173)/100)*(MIN(Skills!W17,Inputs!$B$37))),0)</f>
        <v/>
      </c>
    </row>
    <row r="150">
      <c r="A150">
        <f>Skills!A18</f>
        <v/>
      </c>
      <c r="B150">
        <f>Skills!B18</f>
        <v/>
      </c>
      <c r="C150">
        <f>Inputs!$B$3&gt;=115</f>
        <v/>
      </c>
      <c r="D150">
        <f>IF(Skills!C18=1,60+Inputs!$B$25+Inputs!$B$29,IF(Skills!C18=2,90+Inputs!$B$26+Inputs!$B$29,IF(Skills!C18=3,120+Inputs!$B$27+Inputs!$B$29,MAX(0,(Inputs!$B$3-100)*3)+Inputs!$B$28+Inputs!$B$29)))</f>
        <v/>
      </c>
      <c r="E150">
        <f>INDEX(FactorTable!$B$2:$Y$301, MATCH(ROUND(MIN(300,MAX(1,D150)),0), FactorTable!$A$2:$A$301,0), Skills!M18+1)</f>
        <v/>
      </c>
      <c r="F150">
        <f>IF(Skills!N18=TRUE,(Skills!L18/10)*(E150/1000),Skills!L18/10)+Skills!O18</f>
        <v/>
      </c>
      <c r="G150">
        <f>Calc!G18</f>
        <v/>
      </c>
      <c r="H150">
        <f>Calc!H18</f>
        <v/>
      </c>
      <c r="I150">
        <f>IF(Skills!AA18&lt;&gt;"",1+(Skills!AA18/10)*(U135/1000)/100,1)</f>
        <v/>
      </c>
      <c r="J150" t="inlineStr"/>
      <c r="K150" t="inlineStr"/>
      <c r="L150" t="inlineStr"/>
      <c r="M150" t="inlineStr"/>
      <c r="N150" t="inlineStr"/>
      <c r="O150">
        <f>(1-Summary!$B$55)*T150+Summary!$B$55*V150</f>
        <v/>
      </c>
      <c r="P150">
        <f>IF(B176=0,0,O150/B176)</f>
        <v/>
      </c>
      <c r="Q150" t="n">
        <v>0</v>
      </c>
      <c r="R150" t="n">
        <v>0</v>
      </c>
      <c r="S150">
        <f>IFERROR(O150/N150,0)</f>
        <v/>
      </c>
      <c r="T150" t="n">
        <v>0</v>
      </c>
      <c r="V150" t="n">
        <v>0</v>
      </c>
    </row>
    <row r="151">
      <c r="A151">
        <f>Skills!A19</f>
        <v/>
      </c>
      <c r="B151">
        <f>Skills!B19</f>
        <v/>
      </c>
      <c r="C151">
        <f>TRUE</f>
        <v/>
      </c>
      <c r="D151">
        <f>IF(Skills!C19=1,60+Inputs!$B$25+Inputs!$B$29,IF(Skills!C19=2,90+Inputs!$B$26+Inputs!$B$29,IF(Skills!C19=3,120+Inputs!$B$27+Inputs!$B$29,MAX(0,(Inputs!$B$3-100)*3)+Inputs!$B$28+Inputs!$B$29)))</f>
        <v/>
      </c>
      <c r="E151">
        <f>INDEX(FactorTable!$B$2:$Y$301, MATCH(ROUND(MIN(300,MAX(1,D151)),0), FactorTable!$A$2:$A$301,0), Skills!M19+1)</f>
        <v/>
      </c>
      <c r="F151">
        <f>IF(Skills!N19=TRUE,(Skills!L19/10)*(E151/1000),Skills!L19/10)+Skills!O19</f>
        <v/>
      </c>
      <c r="G151">
        <f>Calc!G19</f>
        <v/>
      </c>
      <c r="H151">
        <f>Calc!H19</f>
        <v/>
      </c>
      <c r="I151">
        <f>IF(Skills!AA19&lt;&gt;"",1+(Skills!AA19/10)*(U135/1000)/100,1)</f>
        <v/>
      </c>
      <c r="J151" t="inlineStr"/>
      <c r="K151" t="inlineStr"/>
      <c r="L151" t="inlineStr"/>
      <c r="M151" t="inlineStr"/>
      <c r="N151" t="inlineStr"/>
      <c r="O151">
        <f>(1-Summary!$B$55)*T151+Summary!$B$55*V151</f>
        <v/>
      </c>
      <c r="P151">
        <f>IF(B176=0,0,O151/B176)</f>
        <v/>
      </c>
      <c r="Q151">
        <f>IFERROR(1/IF(Inputs!$B$39="pvp",15,MAX(0.1,Skills!D19-IF(Skills!E19=TRUE,Inputs!$B$32,0))),0)</f>
        <v/>
      </c>
      <c r="R151">
        <f>IF(AND(Inputs!$B$39&lt;&gt;"pvp",Inputs!$B$44&gt;0),IF(Inputs!$B$44&lt;=0,0,(INT(Inputs!$B$44/IF(Inputs!$B$39="pvp",15,MAX(0.1,Skills!D19-IF(Skills!E19=TRUE,Inputs!$B$32,0))))+1)),0)</f>
        <v/>
      </c>
      <c r="S151">
        <f>IFERROR(O151/N151,0)</f>
        <v/>
      </c>
      <c r="T151" t="n">
        <v>0</v>
      </c>
      <c r="V151" t="n">
        <v>0</v>
      </c>
    </row>
    <row r="152">
      <c r="A152">
        <f>Skills!A20</f>
        <v/>
      </c>
      <c r="B152">
        <f>Skills!B20</f>
        <v/>
      </c>
      <c r="C152">
        <f>Inputs!$B$3&gt;=15</f>
        <v/>
      </c>
      <c r="D152">
        <f>IF(Skills!C20=1,60+Inputs!$B$25+Inputs!$B$29,IF(Skills!C20=2,90+Inputs!$B$26+Inputs!$B$29,IF(Skills!C20=3,120+Inputs!$B$27+Inputs!$B$29,MAX(0,(Inputs!$B$3-100)*3)+Inputs!$B$28+Inputs!$B$29)))</f>
        <v/>
      </c>
      <c r="E152">
        <f>INDEX(FactorTable!$B$2:$Y$301, MATCH(ROUND(MIN(300,MAX(1,D152)),0), FactorTable!$A$2:$A$301,0), Skills!M20+1)</f>
        <v/>
      </c>
      <c r="F152">
        <f>IF(Skills!N20=TRUE,(Skills!L20/10)*(E152/1000),Skills!L20/10)+Skills!O20</f>
        <v/>
      </c>
      <c r="G152">
        <f>Calc!G20</f>
        <v/>
      </c>
      <c r="H152">
        <f>Calc!H20</f>
        <v/>
      </c>
      <c r="I152">
        <f>IF(Skills!AA20&lt;&gt;"",1+(Skills!AA20/10)*(U135/1000)/100,1)</f>
        <v/>
      </c>
      <c r="J152" t="inlineStr"/>
      <c r="K152" t="inlineStr"/>
      <c r="L152" t="inlineStr"/>
      <c r="M152" t="inlineStr"/>
      <c r="N152" t="inlineStr"/>
      <c r="O152">
        <f>(1-Summary!$B$55)*T152+Summary!$B$55*V152</f>
        <v/>
      </c>
      <c r="P152">
        <f>IF(B176=0,0,O152/B176)</f>
        <v/>
      </c>
      <c r="Q152">
        <f>IFERROR(1/IF(Inputs!$B$39="pvp",15,MAX(0.1,Skills!D20-IF(Skills!E20=TRUE,Inputs!$B$32,0))),0)</f>
        <v/>
      </c>
      <c r="R152">
        <f>IF(AND(Inputs!$B$39&lt;&gt;"pvp",Inputs!$B$44&gt;0),IF(Inputs!$B$44&lt;=0,0,(INT(Inputs!$B$44/IF(Inputs!$B$39="pvp",15,MAX(0.1,Skills!D20-IF(Skills!E20=TRUE,Inputs!$B$32,0))))+1)),0)</f>
        <v/>
      </c>
      <c r="S152">
        <f>IFERROR(O152/N152,0)</f>
        <v/>
      </c>
      <c r="T152" t="n">
        <v>0</v>
      </c>
      <c r="V152" t="n">
        <v>0</v>
      </c>
    </row>
    <row r="153">
      <c r="A153">
        <f>Skills!A21</f>
        <v/>
      </c>
      <c r="B153">
        <f>Skills!B21</f>
        <v/>
      </c>
      <c r="C153">
        <f>Inputs!$B$3&gt;=15</f>
        <v/>
      </c>
      <c r="D153">
        <f>IF(Skills!C21=1,60+Inputs!$B$25+Inputs!$B$29,IF(Skills!C21=2,90+Inputs!$B$26+Inputs!$B$29,IF(Skills!C21=3,120+Inputs!$B$27+Inputs!$B$29,MAX(0,(Inputs!$B$3-100)*3)+Inputs!$B$28+Inputs!$B$29)))</f>
        <v/>
      </c>
      <c r="E153">
        <f>INDEX(FactorTable!$B$2:$Y$301, MATCH(ROUND(MIN(300,MAX(1,D153)),0), FactorTable!$A$2:$A$301,0), Skills!M21+1)</f>
        <v/>
      </c>
      <c r="F153">
        <f>IF(Skills!N21=TRUE,(Skills!L21/10)*(E153/1000),Skills!L21/10)+Skills!O21</f>
        <v/>
      </c>
      <c r="G153">
        <f>Calc!G21</f>
        <v/>
      </c>
      <c r="H153">
        <f>Calc!H21</f>
        <v/>
      </c>
      <c r="I153">
        <f>IF(Skills!AA21&lt;&gt;"",1+(Skills!AA21/10)*(U135/1000)/100,1)</f>
        <v/>
      </c>
      <c r="J153" t="inlineStr"/>
      <c r="K153" t="inlineStr"/>
      <c r="L153" t="inlineStr"/>
      <c r="M153" t="inlineStr"/>
      <c r="N153" t="inlineStr"/>
      <c r="O153">
        <f>(1-Summary!$B$55)*T153+Summary!$B$55*V153</f>
        <v/>
      </c>
      <c r="P153">
        <f>IF(B176=0,0,O153/B176)</f>
        <v/>
      </c>
      <c r="Q153">
        <f>IFERROR(1/IF(Inputs!$B$39="pvp",15,MAX(0.1,Skills!D21-IF(Skills!E21=TRUE,Inputs!$B$32,0))),0)</f>
        <v/>
      </c>
      <c r="R153">
        <f>IF(AND(Inputs!$B$39&lt;&gt;"pvp",Inputs!$B$44&gt;0),IF(Inputs!$B$44&lt;=0,0,(INT(Inputs!$B$44/IF(Inputs!$B$39="pvp",15,MAX(0.1,Skills!D21-IF(Skills!E21=TRUE,Inputs!$B$32,0))))+1)),0)</f>
        <v/>
      </c>
      <c r="S153">
        <f>IFERROR(O153/N153,0)</f>
        <v/>
      </c>
      <c r="T153" t="n">
        <v>0</v>
      </c>
      <c r="V153" t="n">
        <v>0</v>
      </c>
    </row>
    <row r="154">
      <c r="A154">
        <f>Skills!A22</f>
        <v/>
      </c>
      <c r="B154">
        <f>Skills!B22</f>
        <v/>
      </c>
      <c r="C154">
        <f>Inputs!$B$3&gt;=33</f>
        <v/>
      </c>
      <c r="D154">
        <f>IF(Skills!C22=1,60+Inputs!$B$25+Inputs!$B$29,IF(Skills!C22=2,90+Inputs!$B$26+Inputs!$B$29,IF(Skills!C22=3,120+Inputs!$B$27+Inputs!$B$29,MAX(0,(Inputs!$B$3-100)*3)+Inputs!$B$28+Inputs!$B$29)))</f>
        <v/>
      </c>
      <c r="E154">
        <f>INDEX(FactorTable!$B$2:$Y$301, MATCH(ROUND(MIN(300,MAX(1,D154)),0), FactorTable!$A$2:$A$301,0), Skills!M22+1)</f>
        <v/>
      </c>
      <c r="F154">
        <f>IF(Skills!N22=TRUE,(Skills!L22/10)*(E154/1000),Skills!L22/10)+Skills!O22</f>
        <v/>
      </c>
      <c r="G154">
        <f>Calc!G22</f>
        <v/>
      </c>
      <c r="H154">
        <f>Calc!H22</f>
        <v/>
      </c>
      <c r="I154">
        <f>IF(Skills!AA22&lt;&gt;"",1+(Skills!AA22/10)*(U135/1000)/100,1)</f>
        <v/>
      </c>
      <c r="J154" t="inlineStr"/>
      <c r="K154" t="inlineStr"/>
      <c r="L154" t="inlineStr"/>
      <c r="M154" t="inlineStr"/>
      <c r="N154" t="inlineStr"/>
      <c r="O154">
        <f>(1-Summary!$B$55)*T154+Summary!$B$55*V154</f>
        <v/>
      </c>
      <c r="P154">
        <f>IF(B176=0,0,O154/B176)</f>
        <v/>
      </c>
      <c r="Q154" t="n">
        <v>0</v>
      </c>
      <c r="R154" t="n">
        <v>0</v>
      </c>
      <c r="S154">
        <f>IFERROR(O154/N154,0)</f>
        <v/>
      </c>
      <c r="T154" t="n">
        <v>0</v>
      </c>
      <c r="V154" t="n">
        <v>0</v>
      </c>
    </row>
    <row r="155">
      <c r="A155">
        <f>Skills!A23</f>
        <v/>
      </c>
      <c r="B155">
        <f>Skills!B23</f>
        <v/>
      </c>
      <c r="C155">
        <f>Inputs!$B$3&gt;=38</f>
        <v/>
      </c>
      <c r="D155">
        <f>IF(Skills!C23=1,60+Inputs!$B$25+Inputs!$B$29,IF(Skills!C23=2,90+Inputs!$B$26+Inputs!$B$29,IF(Skills!C23=3,120+Inputs!$B$27+Inputs!$B$29,MAX(0,(Inputs!$B$3-100)*3)+Inputs!$B$28+Inputs!$B$29)))</f>
        <v/>
      </c>
      <c r="E155">
        <f>INDEX(FactorTable!$B$2:$Y$301, MATCH(ROUND(MIN(300,MAX(1,D155)),0), FactorTable!$A$2:$A$301,0), Skills!M23+1)</f>
        <v/>
      </c>
      <c r="F155">
        <f>IF(Skills!N23=TRUE,(Skills!L23/10)*(E155/1000),Skills!L23/10)+Skills!O23</f>
        <v/>
      </c>
      <c r="G155">
        <f>Calc!G23</f>
        <v/>
      </c>
      <c r="H155">
        <f>Calc!H23</f>
        <v/>
      </c>
      <c r="I155">
        <f>IF(Skills!AA23&lt;&gt;"",1+(Skills!AA23/10)*(U135/1000)/100,1)</f>
        <v/>
      </c>
      <c r="J155" t="inlineStr"/>
      <c r="K155" t="inlineStr"/>
      <c r="L155" t="inlineStr"/>
      <c r="M155" t="inlineStr"/>
      <c r="N155" t="inlineStr"/>
      <c r="O155">
        <f>(1-Summary!$B$55)*T155+Summary!$B$55*V155</f>
        <v/>
      </c>
      <c r="P155">
        <f>IF(B176=0,0,O155/B176)</f>
        <v/>
      </c>
      <c r="Q155" t="n">
        <v>0</v>
      </c>
      <c r="R155" t="n">
        <v>0</v>
      </c>
      <c r="S155">
        <f>IFERROR(O155/N155,0)</f>
        <v/>
      </c>
      <c r="T155" t="n">
        <v>0</v>
      </c>
      <c r="V155" t="n">
        <v>0</v>
      </c>
    </row>
    <row r="156">
      <c r="A156">
        <f>Skills!A24</f>
        <v/>
      </c>
      <c r="B156">
        <f>Skills!B24</f>
        <v/>
      </c>
      <c r="C156">
        <f>Inputs!$B$3&gt;=40</f>
        <v/>
      </c>
      <c r="D156">
        <f>IF(Skills!C24=1,60+Inputs!$B$25+Inputs!$B$29,IF(Skills!C24=2,90+Inputs!$B$26+Inputs!$B$29,IF(Skills!C24=3,120+Inputs!$B$27+Inputs!$B$29,MAX(0,(Inputs!$B$3-100)*3)+Inputs!$B$28+Inputs!$B$29)))</f>
        <v/>
      </c>
      <c r="E156">
        <f>INDEX(FactorTable!$B$2:$Y$301, MATCH(ROUND(MIN(300,MAX(1,D156)),0), FactorTable!$A$2:$A$301,0), Skills!M24+1)</f>
        <v/>
      </c>
      <c r="F156">
        <f>IF(Skills!N24=TRUE,(Skills!L24/10)*(E156/1000),Skills!L24/10)+Skills!O24</f>
        <v/>
      </c>
      <c r="G156">
        <f>Calc!G24</f>
        <v/>
      </c>
      <c r="H156">
        <f>Calc!H24</f>
        <v/>
      </c>
      <c r="I156">
        <f>IF(Skills!AA24&lt;&gt;"",1+(Skills!AA24/10)*(U135/1000)/100,1)</f>
        <v/>
      </c>
      <c r="J156" t="inlineStr"/>
      <c r="K156" t="inlineStr"/>
      <c r="L156" t="inlineStr"/>
      <c r="M156" t="inlineStr"/>
      <c r="N156" t="inlineStr"/>
      <c r="O156">
        <f>(1-Summary!$B$55)*T156+Summary!$B$55*V156</f>
        <v/>
      </c>
      <c r="P156">
        <f>IF(B176=0,0,O156/B176)</f>
        <v/>
      </c>
      <c r="Q156" t="n">
        <v>0</v>
      </c>
      <c r="R156" t="n">
        <v>0</v>
      </c>
      <c r="S156">
        <f>IFERROR(O156/N156,0)</f>
        <v/>
      </c>
      <c r="T156" t="n">
        <v>0</v>
      </c>
      <c r="V156" t="n">
        <v>0</v>
      </c>
    </row>
    <row r="157">
      <c r="A157">
        <f>Skills!A25</f>
        <v/>
      </c>
      <c r="B157">
        <f>Skills!B25</f>
        <v/>
      </c>
      <c r="C157">
        <f>Inputs!$B$3&gt;=45</f>
        <v/>
      </c>
      <c r="D157">
        <f>IF(Skills!C25=1,60+Inputs!$B$25+Inputs!$B$29,IF(Skills!C25=2,90+Inputs!$B$26+Inputs!$B$29,IF(Skills!C25=3,120+Inputs!$B$27+Inputs!$B$29,MAX(0,(Inputs!$B$3-100)*3)+Inputs!$B$28+Inputs!$B$29)))</f>
        <v/>
      </c>
      <c r="E157">
        <f>INDEX(FactorTable!$B$2:$Y$301, MATCH(ROUND(MIN(300,MAX(1,D157)),0), FactorTable!$A$2:$A$301,0), Skills!M25+1)</f>
        <v/>
      </c>
      <c r="F157">
        <f>IF(Skills!N25=TRUE,(Skills!L25/10)*(E157/1000),Skills!L25/10)+Skills!O25</f>
        <v/>
      </c>
      <c r="G157">
        <f>Calc!G25</f>
        <v/>
      </c>
      <c r="H157">
        <f>Calc!H25</f>
        <v/>
      </c>
      <c r="I157">
        <f>IF(Skills!AA25&lt;&gt;"",1+(Skills!AA25/10)*(U135/1000)/100,1)</f>
        <v/>
      </c>
      <c r="J157" t="inlineStr"/>
      <c r="K157" t="inlineStr"/>
      <c r="L157" t="inlineStr"/>
      <c r="M157" t="inlineStr"/>
      <c r="N157" t="inlineStr"/>
      <c r="O157">
        <f>(1-Summary!$B$55)*T157+Summary!$B$55*V157</f>
        <v/>
      </c>
      <c r="P157">
        <f>IF(B176=0,0,O157/B176)</f>
        <v/>
      </c>
      <c r="Q157" t="n">
        <v>0</v>
      </c>
      <c r="R157" t="n">
        <v>0</v>
      </c>
      <c r="S157">
        <f>IFERROR(O157/N157,0)</f>
        <v/>
      </c>
      <c r="T157" t="n">
        <v>0</v>
      </c>
      <c r="V157" t="n">
        <v>0</v>
      </c>
    </row>
    <row r="158">
      <c r="A158">
        <f>Skills!A26</f>
        <v/>
      </c>
      <c r="B158">
        <f>Skills!B26</f>
        <v/>
      </c>
      <c r="C158">
        <f>Inputs!$B$3&gt;=45</f>
        <v/>
      </c>
      <c r="D158">
        <f>IF(Skills!C26=1,60+Inputs!$B$25+Inputs!$B$29,IF(Skills!C26=2,90+Inputs!$B$26+Inputs!$B$29,IF(Skills!C26=3,120+Inputs!$B$27+Inputs!$B$29,MAX(0,(Inputs!$B$3-100)*3)+Inputs!$B$28+Inputs!$B$29)))</f>
        <v/>
      </c>
      <c r="E158">
        <f>INDEX(FactorTable!$B$2:$Y$301, MATCH(ROUND(MIN(300,MAX(1,D158)),0), FactorTable!$A$2:$A$301,0), Skills!M26+1)</f>
        <v/>
      </c>
      <c r="F158">
        <f>IF(Skills!N26=TRUE,(Skills!L26/10)*(E158/1000),Skills!L26/10)+Skills!O26</f>
        <v/>
      </c>
      <c r="G158">
        <f>Calc!G26</f>
        <v/>
      </c>
      <c r="H158">
        <f>Calc!H26</f>
        <v/>
      </c>
      <c r="I158">
        <f>IF(Skills!AA26&lt;&gt;"",1+(Skills!AA26/10)*(U135/1000)/100,1)</f>
        <v/>
      </c>
      <c r="J158" t="inlineStr"/>
      <c r="K158" t="inlineStr"/>
      <c r="L158" t="inlineStr"/>
      <c r="M158" t="inlineStr"/>
      <c r="N158" t="inlineStr"/>
      <c r="O158">
        <f>(1-Summary!$B$55)*T158+Summary!$B$55*V158</f>
        <v/>
      </c>
      <c r="P158">
        <f>IF(B176=0,0,O158/B176)</f>
        <v/>
      </c>
      <c r="Q158" t="n">
        <v>0</v>
      </c>
      <c r="R158" t="n">
        <v>0</v>
      </c>
      <c r="S158">
        <f>IFERROR(O158/N158,0)</f>
        <v/>
      </c>
      <c r="T158" t="n">
        <v>0</v>
      </c>
      <c r="V158" t="n">
        <v>0</v>
      </c>
    </row>
    <row r="159">
      <c r="A159">
        <f>Skills!A27</f>
        <v/>
      </c>
      <c r="B159">
        <f>Skills!B27</f>
        <v/>
      </c>
      <c r="C159">
        <f>Inputs!$B$3&gt;=72</f>
        <v/>
      </c>
      <c r="D159">
        <f>IF(Skills!C27=1,60+Inputs!$B$25+Inputs!$B$29,IF(Skills!C27=2,90+Inputs!$B$26+Inputs!$B$29,IF(Skills!C27=3,120+Inputs!$B$27+Inputs!$B$29,MAX(0,(Inputs!$B$3-100)*3)+Inputs!$B$28+Inputs!$B$29)))</f>
        <v/>
      </c>
      <c r="E159">
        <f>INDEX(FactorTable!$B$2:$Y$301, MATCH(ROUND(MIN(300,MAX(1,D159)),0), FactorTable!$A$2:$A$301,0), Skills!M27+1)</f>
        <v/>
      </c>
      <c r="F159">
        <f>IF(Skills!N27=TRUE,(Skills!L27/10)*(E159/1000),Skills!L27/10)+Skills!O27</f>
        <v/>
      </c>
      <c r="G159">
        <f>Calc!G27</f>
        <v/>
      </c>
      <c r="H159">
        <f>Calc!H27</f>
        <v/>
      </c>
      <c r="I159">
        <f>IF(Skills!AA27&lt;&gt;"",1+(Skills!AA27/10)*(U135/1000)/100,1)</f>
        <v/>
      </c>
      <c r="J159" t="inlineStr"/>
      <c r="K159" t="inlineStr"/>
      <c r="L159" t="inlineStr"/>
      <c r="M159" t="inlineStr"/>
      <c r="N159" t="inlineStr"/>
      <c r="O159">
        <f>(1-Summary!$B$55)*T159+Summary!$B$55*V159</f>
        <v/>
      </c>
      <c r="P159">
        <f>IF(B176=0,0,O159/B176)</f>
        <v/>
      </c>
      <c r="Q159" t="n">
        <v>0</v>
      </c>
      <c r="R159" t="n">
        <v>0</v>
      </c>
      <c r="S159">
        <f>IFERROR(O159/N159,0)</f>
        <v/>
      </c>
      <c r="T159" t="n">
        <v>0</v>
      </c>
      <c r="V159" t="n">
        <v>0</v>
      </c>
    </row>
    <row r="160">
      <c r="A160">
        <f>Skills!A28</f>
        <v/>
      </c>
      <c r="B160">
        <f>Skills!B28</f>
        <v/>
      </c>
      <c r="C160">
        <f>Inputs!$B$3&gt;=75</f>
        <v/>
      </c>
      <c r="D160">
        <f>IF(Skills!C28=1,60+Inputs!$B$25+Inputs!$B$29,IF(Skills!C28=2,90+Inputs!$B$26+Inputs!$B$29,IF(Skills!C28=3,120+Inputs!$B$27+Inputs!$B$29,MAX(0,(Inputs!$B$3-100)*3)+Inputs!$B$28+Inputs!$B$29)))</f>
        <v/>
      </c>
      <c r="E160">
        <f>INDEX(FactorTable!$B$2:$Y$301, MATCH(ROUND(MIN(300,MAX(1,D160)),0), FactorTable!$A$2:$A$301,0), Skills!M28+1)</f>
        <v/>
      </c>
      <c r="F160">
        <f>IF(Skills!N28=TRUE,(Skills!L28/10)*(E160/1000),Skills!L28/10)+Skills!O28</f>
        <v/>
      </c>
      <c r="G160">
        <f>Calc!G28</f>
        <v/>
      </c>
      <c r="H160">
        <f>Calc!H28</f>
        <v/>
      </c>
      <c r="I160">
        <f>IF(Skills!AA28&lt;&gt;"",1+(Skills!AA28/10)*(U135/1000)/100,1)</f>
        <v/>
      </c>
      <c r="J160" t="inlineStr"/>
      <c r="K160" t="inlineStr"/>
      <c r="L160" t="inlineStr"/>
      <c r="M160" t="inlineStr"/>
      <c r="N160" t="inlineStr"/>
      <c r="O160">
        <f>(1-Summary!$B$55)*T160+Summary!$B$55*V160</f>
        <v/>
      </c>
      <c r="P160">
        <f>IF(B176=0,0,O160/B176)</f>
        <v/>
      </c>
      <c r="Q160" t="n">
        <v>0</v>
      </c>
      <c r="R160" t="n">
        <v>0</v>
      </c>
      <c r="S160">
        <f>IFERROR(O160/N160,0)</f>
        <v/>
      </c>
      <c r="T160" t="n">
        <v>0</v>
      </c>
      <c r="V160" t="n">
        <v>0</v>
      </c>
    </row>
    <row r="161">
      <c r="A161">
        <f>Skills!A29</f>
        <v/>
      </c>
      <c r="B161">
        <f>Skills!B29</f>
        <v/>
      </c>
      <c r="C161">
        <f>Inputs!$B$3&gt;=120</f>
        <v/>
      </c>
      <c r="D161">
        <f>IF(Skills!C29=1,60+Inputs!$B$25+Inputs!$B$29,IF(Skills!C29=2,90+Inputs!$B$26+Inputs!$B$29,IF(Skills!C29=3,120+Inputs!$B$27+Inputs!$B$29,MAX(0,(Inputs!$B$3-100)*3)+Inputs!$B$28+Inputs!$B$29)))</f>
        <v/>
      </c>
      <c r="E161">
        <f>INDEX(FactorTable!$B$2:$Y$301, MATCH(ROUND(MIN(300,MAX(1,D161)),0), FactorTable!$A$2:$A$301,0), Skills!M29+1)</f>
        <v/>
      </c>
      <c r="F161">
        <f>IF(Skills!N29=TRUE,(Skills!L29/10)*(E161/1000),Skills!L29/10)+Skills!O29</f>
        <v/>
      </c>
      <c r="G161">
        <f>Calc!G29</f>
        <v/>
      </c>
      <c r="H161">
        <f>Calc!H29</f>
        <v/>
      </c>
      <c r="I161">
        <f>IF(Skills!AA29&lt;&gt;"",1+(Skills!AA29/10)*(U135/1000)/100,1)</f>
        <v/>
      </c>
      <c r="J161" t="inlineStr"/>
      <c r="K161" t="inlineStr"/>
      <c r="L161" t="inlineStr"/>
      <c r="M161" t="inlineStr"/>
      <c r="N161" t="inlineStr"/>
      <c r="O161">
        <f>(1-Summary!$B$55)*T161+Summary!$B$55*V161</f>
        <v/>
      </c>
      <c r="P161">
        <f>IF(B176=0,0,O161/B176)</f>
        <v/>
      </c>
      <c r="Q161" t="n">
        <v>0</v>
      </c>
      <c r="R161" t="n">
        <v>0</v>
      </c>
      <c r="S161">
        <f>IFERROR(O161/N161,0)</f>
        <v/>
      </c>
      <c r="T161" t="n">
        <v>0</v>
      </c>
      <c r="V161" t="n">
        <v>0</v>
      </c>
    </row>
    <row r="162">
      <c r="A162">
        <f>Skills!A30</f>
        <v/>
      </c>
      <c r="B162">
        <f>Skills!B30</f>
        <v/>
      </c>
      <c r="C162">
        <f>Inputs!$B$3&gt;=125</f>
        <v/>
      </c>
      <c r="D162">
        <f>IF(Skills!C30=1,60+Inputs!$B$25+Inputs!$B$29,IF(Skills!C30=2,90+Inputs!$B$26+Inputs!$B$29,IF(Skills!C30=3,120+Inputs!$B$27+Inputs!$B$29,MAX(0,(Inputs!$B$3-100)*3)+Inputs!$B$28+Inputs!$B$29)))</f>
        <v/>
      </c>
      <c r="E162">
        <f>INDEX(FactorTable!$B$2:$Y$301, MATCH(ROUND(MIN(300,MAX(1,D162)),0), FactorTable!$A$2:$A$301,0), Skills!M30+1)</f>
        <v/>
      </c>
      <c r="F162">
        <f>IF(Skills!N30=TRUE,(Skills!L30/10)*(E162/1000),Skills!L30/10)+Skills!O30</f>
        <v/>
      </c>
      <c r="G162">
        <f>Calc!G30</f>
        <v/>
      </c>
      <c r="H162">
        <f>Calc!H30</f>
        <v/>
      </c>
      <c r="I162">
        <f>IF(Skills!AA30&lt;&gt;"",1+(Skills!AA30/10)*(U135/1000)/100,1)</f>
        <v/>
      </c>
      <c r="J162" t="inlineStr"/>
      <c r="K162" t="inlineStr"/>
      <c r="L162" t="inlineStr"/>
      <c r="M162" t="inlineStr"/>
      <c r="N162" t="inlineStr"/>
      <c r="O162">
        <f>(1-Summary!$B$55)*T162+Summary!$B$55*V162</f>
        <v/>
      </c>
      <c r="P162">
        <f>IF(B176=0,0,O162/B176)</f>
        <v/>
      </c>
      <c r="Q162" t="n">
        <v>0</v>
      </c>
      <c r="R162" t="n">
        <v>0</v>
      </c>
      <c r="S162">
        <f>IFERROR(O162/N162,0)</f>
        <v/>
      </c>
      <c r="T162" t="n">
        <v>0</v>
      </c>
      <c r="V162" t="n">
        <v>0</v>
      </c>
    </row>
    <row r="163">
      <c r="A163">
        <f>Skills!A31</f>
        <v/>
      </c>
      <c r="B163">
        <f>Skills!B31</f>
        <v/>
      </c>
      <c r="C163">
        <f>Inputs!$B$3&gt;=107</f>
        <v/>
      </c>
      <c r="D163">
        <f>IF(Skills!C31=1,60+Inputs!$B$25+Inputs!$B$29,IF(Skills!C31=2,90+Inputs!$B$26+Inputs!$B$29,IF(Skills!C31=3,120+Inputs!$B$27+Inputs!$B$29,MAX(0,(Inputs!$B$3-100)*3)+Inputs!$B$28+Inputs!$B$29)))</f>
        <v/>
      </c>
      <c r="E163">
        <f>INDEX(FactorTable!$B$2:$Y$301, MATCH(ROUND(MIN(300,MAX(1,D163)),0), FactorTable!$A$2:$A$301,0), Skills!M31+1)</f>
        <v/>
      </c>
      <c r="F163">
        <f>IF(Skills!N31=TRUE,(Skills!L31/10)*(E163/1000),Skills!L31/10)+Skills!O31</f>
        <v/>
      </c>
      <c r="G163">
        <f>Calc!G31</f>
        <v/>
      </c>
      <c r="H163">
        <f>Calc!H31</f>
        <v/>
      </c>
      <c r="I163">
        <f>IF(Skills!AA31&lt;&gt;"",1+(Skills!AA31/10)*(U135/1000)/100,1)</f>
        <v/>
      </c>
      <c r="J163" t="inlineStr"/>
      <c r="K163" t="inlineStr"/>
      <c r="L163" t="inlineStr"/>
      <c r="M163" t="inlineStr"/>
      <c r="N163" t="inlineStr"/>
      <c r="O163">
        <f>(1-Summary!$B$55)*T163+Summary!$B$55*V163</f>
        <v/>
      </c>
      <c r="P163">
        <f>IF(B176=0,0,O163/B176)</f>
        <v/>
      </c>
      <c r="Q163" t="n">
        <v>0</v>
      </c>
      <c r="R163" t="n">
        <v>0</v>
      </c>
      <c r="S163">
        <f>IFERROR(O163/N163,0)</f>
        <v/>
      </c>
      <c r="T163" t="n">
        <v>0</v>
      </c>
      <c r="V163" t="n">
        <v>0</v>
      </c>
    </row>
    <row r="165">
      <c r="A165" t="inlineStr">
        <is>
          <t>Actions Per Second (pre-Adrenalin)</t>
        </is>
      </c>
      <c r="B165">
        <f>1+MIN(150,150*(1-(1-(Inputs!$B$11+((C154=TRUE)*(F154-Calc!F22)))/150)*(1-((C151=TRUE)*F151*IF(AND(Inputs!$B$39&lt;&gt;"pvp",Inputs!$B$44&gt;0),(((R151-1)*(Skills!Y19*(1+Inputs!$B$34/100))+MIN((Skills!Y19*(1+Inputs!$B$34/100)),MAX(0,Inputs!$B$44-((R151-1)*Skills!D19))))/Inputs!$B$44),IF(Inputs!$B$39="pvp",MIN((Skills!Y19*(1+Inputs!$B$34/100)),15)/15,(Skills!Y19*(1+Inputs!$B$34/100))/Skills!D19)))/150)))/100</f>
        <v/>
      </c>
    </row>
    <row r="166">
      <c r="A166" t="inlineStr">
        <is>
          <t>Alchemic Adrenaline Uptime</t>
        </is>
      </c>
      <c r="B166">
        <f>(Skills!Y6*(1+Inputs!$B$34/100))/((Skills!Y6*(1+Inputs!$B$34/100))+(5/B165))</f>
        <v/>
      </c>
    </row>
    <row r="167">
      <c r="A167" t="inlineStr">
        <is>
          <t>Attack Speed Buff Bonus %</t>
        </is>
      </c>
      <c r="B167">
        <f>((C151=TRUE)*F151*IF(AND(Inputs!$B$39&lt;&gt;"pvp",Inputs!$B$44&gt;0),(((R151-1)*(Skills!Y19*(1+Inputs!$B$34/100))+MIN((Skills!Y19*(1+Inputs!$B$34/100)),MAX(0,Inputs!$B$44-((R151-1)*Skills!D19))))/Inputs!$B$44),IF(Inputs!$B$39="pvp",MIN((Skills!Y19*(1+Inputs!$B$34/100)),15)/15,(Skills!Y19*(1+Inputs!$B$34/100))/Skills!D19)))+((C139=TRUE)*F139*B166)</f>
        <v/>
      </c>
    </row>
    <row r="168">
      <c r="A168" t="inlineStr">
        <is>
          <t>Actions Per Second (final)</t>
        </is>
      </c>
      <c r="B168">
        <f>1+MIN(150,150*(1-(1-(Inputs!$B$11+((C154=TRUE)*(F154-Calc!F22)))/150)*(1-B167/150)))/100</f>
        <v/>
      </c>
    </row>
    <row r="169">
      <c r="A169" t="inlineStr">
        <is>
          <t>Skill + Buff Cast Rate</t>
        </is>
      </c>
      <c r="B169">
        <f>IF(AND(Inputs!$B$39&lt;&gt;"pvp",Inputs!$B$44&gt;0),SUMPRODUCT((Skills!E2:E31=TRUE)*(C134:C163=TRUE)*R134:R163*Skills!F2:F31)/Inputs!$B$44,SUMPRODUCT((Skills!E2:E31=TRUE)*(C134:C163=TRUE)*Q134:Q163*Skills!F2:F31))</f>
        <v/>
      </c>
    </row>
    <row r="170">
      <c r="A170" t="inlineStr">
        <is>
          <t>Showdown Casts Per Second</t>
        </is>
      </c>
      <c r="B170">
        <f>MAX(0,B168-B169)</f>
        <v/>
      </c>
    </row>
    <row r="171">
      <c r="A171" t="inlineStr">
        <is>
          <t>Average Buff Multiplier</t>
        </is>
      </c>
      <c r="B171">
        <f>(1+(((C153=TRUE)*F153*IF(AND(Inputs!$B$39&lt;&gt;"pvp",Inputs!$B$44&gt;0),(((R153-1)*(Skills!Y21*(1+Inputs!$B$34/100))+MIN((Skills!Y21*(1+Inputs!$B$34/100)),MAX(0,Inputs!$B$44-((R153-1)*Skills!D21))))/Inputs!$B$44),IF(Inputs!$B$39="pvp",MIN((Skills!Y21*(1+Inputs!$B$34/100)),15)/15,(Skills!Y21*(1+Inputs!$B$34/100))/Skills!D21)))+((C160=TRUE)*(F160-Calc!F28))+((C150=TRUE)*(F150-Calc!F18)))/100)*(1+((C147=TRUE)*F147*IF(AND(Inputs!$B$39&lt;&gt;"pvp",Inputs!$B$44&gt;0),(((R147-1)*(Skills!Y15*(1+Inputs!$B$34/100))+MIN((Skills!Y15*(1+Inputs!$B$34/100)),MAX(0,Inputs!$B$44-((R147-1)*Skills!D15))))/Inputs!$B$44),IF(Inputs!$B$39="pvp",MIN((Skills!Y15*(1+Inputs!$B$34/100)),15)/15,(Skills!Y15*(1+Inputs!$B$34/100))/Skills!D15)))/100)*(1+((C138=TRUE)*F138*B166)/100)</f>
        <v/>
      </c>
    </row>
    <row r="172">
      <c r="A172" t="inlineStr">
        <is>
          <t>Global Crit Rate Bonus %</t>
        </is>
      </c>
      <c r="B172">
        <f>IF(Inputs!$B$3&gt;=47,8,0)+((C152=TRUE)*F152*IF(AND(Inputs!$B$39&lt;&gt;"pvp",Inputs!$B$44&gt;0),(((R152-1)*(Skills!Y20*(1+Inputs!$B$34/100))+MIN((Skills!Y20*(1+Inputs!$B$34/100)),MAX(0,Inputs!$B$44-((R152-1)*Skills!D20))))/Inputs!$B$44),IF(Inputs!$B$39="pvp",MIN((Skills!Y20*(1+Inputs!$B$34/100)),15)/15,(Skills!Y20*(1+Inputs!$B$34/100))/Skills!D20)))</f>
        <v/>
      </c>
    </row>
    <row r="173">
      <c r="A173" t="inlineStr">
        <is>
          <t>Global Monster Damage-Taken Bonus %</t>
        </is>
      </c>
      <c r="B173">
        <f>IF(Inputs!$B$3&gt;=82,15,0)+((C148=TRUE)*F148*IF(AND(Inputs!$B$39&lt;&gt;"pvp",Inputs!$B$44&gt;0),(((R148-1)*(Skills!Y16*(1+Inputs!$B$34/100))+MIN((Skills!Y16*(1+Inputs!$B$34/100)),MAX(0,Inputs!$B$44-((R148-1)*Skills!D16))))/Inputs!$B$44),IF(Inputs!$B$39="pvp",MIN((Skills!Y16*(1+Inputs!$B$34/100)),15)/15,(Skills!Y16*(1+Inputs!$B$34/100))/Skills!D16)))</f>
        <v/>
      </c>
    </row>
    <row r="174">
      <c r="A174" t="inlineStr">
        <is>
          <t>Shadow Partner Average Multiplier</t>
        </is>
      </c>
      <c r="B174">
        <f>1+((C143=TRUE)*F143*I143*Skills!J11/100)/100</f>
        <v/>
      </c>
    </row>
    <row r="175">
      <c r="A175" t="inlineStr">
        <is>
          <t>Global Critical Damage Bonus % (Frailty Curse Mastery Lv.111)</t>
        </is>
      </c>
      <c r="B175">
        <f>IF(Inputs!$B$3&gt;=111,30,0)*IF(AND(Inputs!$B$39&lt;&gt;"pvp",Inputs!$B$44&gt;0),(((R148-1)*(Skills!Y16*(1+Inputs!$B$34/100))+MIN((Skills!Y16*(1+Inputs!$B$34/100)),MAX(0,Inputs!$B$44-((R148-1)*Skills!D16))))/Inputs!$B$44),IF(Inputs!$B$39="pvp",MIN((Skills!Y16*(1+Inputs!$B$34/100)),15)/15,(Skills!Y16*(1+Inputs!$B$34/100))/Skills!D16))</f>
        <v/>
      </c>
    </row>
    <row r="176">
      <c r="A176" s="5" t="inlineStr">
        <is>
          <t>TOTAL DPS</t>
        </is>
      </c>
      <c r="B176" s="5">
        <f>SUM(O134:O163)</f>
        <v/>
      </c>
    </row>
    <row r="177">
      <c r="A177" t="inlineStr">
        <is>
          <t>Buff-Casting Startup Delay (s, fixed-duration only)</t>
        </is>
      </c>
      <c r="B177">
        <f>IF(AND(Inputs!$B$39&lt;&gt;"pvp",Inputs!$B$44&gt;0),SUMPRODUCT((Skills!Y2:Y31&gt;0)*(Skills!E2:E31=TRUE)*(C134:C163=TRUE))/B168,0)</f>
        <v/>
      </c>
    </row>
    <row r="178">
      <c r="A178" t="inlineStr">
        <is>
          <t>Boss-Only Total DPS (this block's swept value)</t>
        </is>
      </c>
      <c r="B178">
        <f>SUM(T134:T163)</f>
        <v/>
      </c>
    </row>
    <row r="179">
      <c r="A179" t="inlineStr">
        <is>
          <t>Normal-Only Total DPS (this block's swept value)</t>
        </is>
      </c>
      <c r="B179">
        <f>SUM(V134:V163)</f>
        <v/>
      </c>
    </row>
    <row r="181">
      <c r="A181" s="5" t="inlineStr">
        <is>
          <t>Stat: DAMAGE %</t>
        </is>
      </c>
    </row>
    <row r="182">
      <c r="A182" s="9" t="inlineStr">
        <is>
          <t>Key</t>
        </is>
      </c>
      <c r="B182" s="9" t="inlineStr">
        <is>
          <t>Name</t>
        </is>
      </c>
      <c r="C182" s="9" t="inlineStr">
        <is>
          <t>Unlocked</t>
        </is>
      </c>
      <c r="D182" s="9" t="inlineStr">
        <is>
          <t>InputLevel</t>
        </is>
      </c>
      <c r="E182" s="9" t="inlineStr">
        <is>
          <t>Factor</t>
        </is>
      </c>
      <c r="F182" s="9" t="inlineStr">
        <is>
          <t>CoefficientPercent</t>
        </is>
      </c>
      <c r="G182" s="9" t="inlineStr">
        <is>
          <t>EffectiveHits</t>
        </is>
      </c>
      <c r="H182" s="9" t="inlineStr">
        <is>
          <t>ProcProbability</t>
        </is>
      </c>
      <c r="I182" s="9" t="inlineStr">
        <is>
          <t>MapleHeroMultiplier</t>
        </is>
      </c>
      <c r="J182" s="9" t="inlineStr">
        <is>
          <t>BaseDamage</t>
        </is>
      </c>
      <c r="K182" s="9" t="inlineStr">
        <is>
          <t>BaseHitDamage</t>
        </is>
      </c>
      <c r="L182" s="9" t="inlineStr">
        <is>
          <t>NonCritAvg</t>
        </is>
      </c>
      <c r="M182" s="9" t="inlineStr">
        <is>
          <t>CritAvg</t>
        </is>
      </c>
      <c r="N182" s="9" t="inlineStr">
        <is>
          <t>ExpectedDamage(perHit)</t>
        </is>
      </c>
      <c r="O182" s="9" t="inlineStr">
        <is>
          <t>DPS</t>
        </is>
      </c>
      <c r="P182" s="9" t="inlineStr">
        <is>
          <t>% of Total</t>
        </is>
      </c>
      <c r="Q182" s="9" t="inlineStr">
        <is>
          <t>InvCooldown</t>
        </is>
      </c>
      <c r="R182" s="9" t="inlineStr">
        <is>
          <t>CastsInFight</t>
        </is>
      </c>
      <c r="S182" s="9" t="inlineStr">
        <is>
          <t>HitRate(perSec)</t>
        </is>
      </c>
      <c r="U182" t="inlineStr">
        <is>
          <t>helpers</t>
        </is>
      </c>
    </row>
    <row r="183">
      <c r="A183">
        <f>Skills!A2</f>
        <v/>
      </c>
      <c r="B183">
        <f>Skills!B2</f>
        <v/>
      </c>
      <c r="C183">
        <f>Inputs!$B$3&gt;=100</f>
        <v/>
      </c>
      <c r="D183" t="inlineStr"/>
      <c r="E183" t="inlineStr"/>
      <c r="F183">
        <f>U187+Skills!O2</f>
        <v/>
      </c>
      <c r="G183">
        <f>Calc!G2</f>
        <v/>
      </c>
      <c r="H183">
        <f>Calc!H2</f>
        <v/>
      </c>
      <c r="I183">
        <f>IF(Skills!AA2&lt;&gt;"",1+(Skills!AA2/10)*(U184/1000)/100,1)</f>
        <v/>
      </c>
      <c r="J183">
        <f>((Inputs!$B$6*(1+Inputs!$B$7/100))+(((Inputs!$B$12*(1+Inputs!$B$13/100))-(Inputs!$B$12*(1+Inputs!$B$13/100)))+0.25*(Inputs!$B$14-Inputs!$B$14))*(1+Inputs!$B$7/100))*(F183/100)</f>
        <v/>
      </c>
      <c r="K183">
        <f>J183*(1+((Inputs!$B$12*(1+Inputs!$B$13/100))*0.01+Inputs!$B$14*0.0025)/100)*(1+(Inputs!$B$15+1)/100)*(1+Inputs!$B$16/100)*(5000/(6000+Inputs!$B$43*(1-Inputs!$B$19/100)))*(1+(Inputs!$B$24+((C211=TRUE)*(F211-Calc!F30)))/100)*(1+Skills!R2/100)*(1+(IF(Skills!A2="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183)</f>
        <v/>
      </c>
      <c r="L183">
        <f>K183*(MIN(Inputs!$B$22+((C205=TRUE)*(F205-Calc!F24)),Inputs!$B$23)/100+Inputs!$B$23/100)/2</f>
        <v/>
      </c>
      <c r="M183">
        <f>L183*(1+(Inputs!$B$10+((C207=TRUE)*(F207-Calc!F26))+B224)/100)</f>
        <v/>
      </c>
      <c r="N183">
        <f>L183*(1-MIN((Inputs!$B$9+((C206=TRUE)*(F206-Calc!F25))+B221),100)/100)+M183*(MIN((Inputs!$B$9+((C206=TRUE)*(F206-Calc!F25))+B221),100)/100)</f>
        <v/>
      </c>
      <c r="O183">
        <f>(1-Summary!$B$55)*T183+Summary!$B$55*V183</f>
        <v/>
      </c>
      <c r="P183">
        <f>IF(B225=0,0,O183/B225)</f>
        <v/>
      </c>
      <c r="Q183" t="n">
        <v>0</v>
      </c>
      <c r="R183" t="n">
        <v>0</v>
      </c>
      <c r="S183">
        <f>IFERROR(O183/N183,0)</f>
        <v/>
      </c>
      <c r="T183">
        <f>IF(C183,(Skills!G2*N183*B219)*IF(Inputs!$B$39="pvp",1,1+(Inputs!$B$20+((C208=TRUE)*(F208-Calc!F27))+Skills!P2+B222)/100),0)</f>
        <v/>
      </c>
      <c r="U183">
        <f>MAX(0,(Inputs!$B$3-100)*3)+Inputs!$B$28+Inputs!$B$29</f>
        <v/>
      </c>
      <c r="V183">
        <f>IF(C183,(Skills!G2*N183*B219)*IF(Inputs!$B$39="pvp",1,(1+(Inputs!$B$21+Skills!Q2+B222)/100)*(MIN((6+Inputs!$B$33),Inputs!$B$37))),0)</f>
        <v/>
      </c>
    </row>
    <row r="184">
      <c r="A184">
        <f>Skills!A3</f>
        <v/>
      </c>
      <c r="B184">
        <f>Skills!B3</f>
        <v/>
      </c>
      <c r="C184">
        <f>Inputs!$B$3&gt;=35</f>
        <v/>
      </c>
      <c r="D184">
        <f>IF(Skills!C3=1,60+Inputs!$B$25+Inputs!$B$29,IF(Skills!C3=2,90+Inputs!$B$26+Inputs!$B$29,IF(Skills!C3=3,120+Inputs!$B$27+Inputs!$B$29,MAX(0,(Inputs!$B$3-100)*3)+Inputs!$B$28+Inputs!$B$29)))</f>
        <v/>
      </c>
      <c r="E184">
        <f>INDEX(FactorTable!$B$2:$Y$301, MATCH(ROUND(MIN(300,MAX(1,D184)),0), FactorTable!$A$2:$A$301,0), Skills!M3+1)</f>
        <v/>
      </c>
      <c r="F184">
        <f>IF(Skills!N3=TRUE,(Skills!L3/10)*(E184/1000),Skills!L3/10)+Skills!O3</f>
        <v/>
      </c>
      <c r="G184">
        <f>Calc!G3</f>
        <v/>
      </c>
      <c r="H184">
        <f>Calc!H3</f>
        <v/>
      </c>
      <c r="I184">
        <f>IF(Skills!AA3&lt;&gt;"",1+(Skills!AA3/10)*(U184/1000)/100,1)</f>
        <v/>
      </c>
      <c r="J184">
        <f>((Inputs!$B$6*(1+Inputs!$B$7/100))+(((Inputs!$B$12*(1+Inputs!$B$13/100))-(Inputs!$B$12*(1+Inputs!$B$13/100)))+0.25*(Inputs!$B$14-Inputs!$B$14))*(1+Inputs!$B$7/100))*(F184/100)</f>
        <v/>
      </c>
      <c r="K184">
        <f>J184*(1+((Inputs!$B$12*(1+Inputs!$B$13/100))*0.01+Inputs!$B$14*0.0025)/100)*(1+(Inputs!$B$15+1)/100)*(1+Inputs!$B$16/100)*(5000/(6000+Inputs!$B$43*(1-Inputs!$B$19/100)))*(1+(Inputs!$B$24+((C211=TRUE)*(F211-Calc!F30)))/100)*(1+Skills!R3/100)*(1+(IF(Skills!A3="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184)</f>
        <v/>
      </c>
      <c r="L184">
        <f>K184*(MIN(Inputs!$B$22+((C205=TRUE)*(F205-Calc!F24)),Inputs!$B$23)/100+Inputs!$B$23/100)/2</f>
        <v/>
      </c>
      <c r="M184">
        <f>L184*(1+(Inputs!$B$10+((C207=TRUE)*(F207-Calc!F26))+B224)/100)</f>
        <v/>
      </c>
      <c r="N184">
        <f>L184*(1-MIN((Inputs!$B$9+((C206=TRUE)*(F206-Calc!F25))+B221),100)/100)+M184*(MIN((Inputs!$B$9+((C206=TRUE)*(F206-Calc!F25))+B221),100)/100)</f>
        <v/>
      </c>
      <c r="O184">
        <f>(1-Summary!$B$55)*T184+Summary!$B$55*V184</f>
        <v/>
      </c>
      <c r="P184">
        <f>IF(B225=0,0,O184/B225)</f>
        <v/>
      </c>
      <c r="Q184">
        <f>IFERROR(1/IF(Inputs!$B$39="pvp",15,MAX(0.1,Skills!D3-IF(Skills!E3=TRUE,Inputs!$B$32,0))),0)</f>
        <v/>
      </c>
      <c r="R184">
        <f>IF(AND(Inputs!$B$39&lt;&gt;"pvp",Inputs!$B$44&gt;0),IF(MAX(0,Inputs!$B$44-B226)&lt;=0,0,(INT(MAX(0,Inputs!$B$44-B226)/IF(Inputs!$B$39="pvp",15,MAX(0.1,Skills!D3-IF(Skills!E3=TRUE,Inputs!$B$32,0))))+1)),0)</f>
        <v/>
      </c>
      <c r="S184">
        <f>IFERROR(O184/N184,0)</f>
        <v/>
      </c>
      <c r="T184">
        <f>IF(C184,(H184*N184*IF(AND(Inputs!$B$39&lt;&gt;"pvp",Inputs!$B$44&gt;0),((Skills!G3*((R184-1)*IF(Skills!H3&gt;0,Skills!I3/Skills!H3,1)+IF(Skills!H3&gt;0,MIN(Skills!I3,MAX(0,MAX(0,Inputs!$B$44-B226)-((R184-1)*IF(Inputs!$B$39="pvp",15,MAX(0.1,Skills!D3-IF(Skills!E3=TRUE,Inputs!$B$32,0))))))/Skills!H3,1)))/Inputs!$B$44),G184*Q184))*IF(Inputs!$B$39="pvp",1,1+(Inputs!$B$20+((C208=TRUE)*(F208-Calc!F27))+Skills!P3+B222)/100),0)</f>
        <v/>
      </c>
      <c r="U184">
        <f>INDEX(FactorTable!$B$2:$Y$301, MATCH(ROUND(MIN(300,MAX(1,U183)),0), FactorTable!$A$2:$A$301,0), 24)</f>
        <v/>
      </c>
      <c r="V184">
        <f>IF(C184,(H184*N184*IF(AND(Inputs!$B$39&lt;&gt;"pvp",Inputs!$B$44&gt;0),((Skills!G3*((R184-1)*IF(Skills!H3&gt;0,Skills!I3/Skills!H3,1)+IF(Skills!H3&gt;0,MIN(Skills!I3,MAX(0,MAX(0,Inputs!$B$44-B226)-((R184-1)*IF(Inputs!$B$39="pvp",15,MAX(0.1,Skills!D3-IF(Skills!E3=TRUE,Inputs!$B$32,0))))))/Skills!H3,1)))/Inputs!$B$44),G184*Q184))*IF(Inputs!$B$39="pvp",1,(1+(Inputs!$B$21+Skills!Q3+B222)/100)*(MIN(Skills!W3,Inputs!$B$37))),0)</f>
        <v/>
      </c>
    </row>
    <row r="185">
      <c r="A185">
        <f>Skills!A4</f>
        <v/>
      </c>
      <c r="B185">
        <f>Skills!B4</f>
        <v/>
      </c>
      <c r="C185">
        <f>Inputs!$B$3&gt;=40</f>
        <v/>
      </c>
      <c r="D185">
        <f>IF(Skills!C4=1,60+Inputs!$B$25+Inputs!$B$29,IF(Skills!C4=2,90+Inputs!$B$26+Inputs!$B$29,IF(Skills!C4=3,120+Inputs!$B$27+Inputs!$B$29,MAX(0,(Inputs!$B$3-100)*3)+Inputs!$B$28+Inputs!$B$29)))</f>
        <v/>
      </c>
      <c r="E185">
        <f>INDEX(FactorTable!$B$2:$Y$301, MATCH(ROUND(MIN(300,MAX(1,D185)),0), FactorTable!$A$2:$A$301,0), Skills!M4+1)</f>
        <v/>
      </c>
      <c r="F185">
        <f>IF(Skills!N4=TRUE,(Skills!L4/10)*(E185/1000),Skills!L4/10)+Skills!O4</f>
        <v/>
      </c>
      <c r="G185">
        <f>Calc!G4</f>
        <v/>
      </c>
      <c r="H185">
        <f>Calc!H4</f>
        <v/>
      </c>
      <c r="I185">
        <f>IF(Skills!AA4&lt;&gt;"",1+(Skills!AA4/10)*(U184/1000)/100,1)</f>
        <v/>
      </c>
      <c r="J185">
        <f>((Inputs!$B$6*(1+Inputs!$B$7/100))+(((Inputs!$B$12*(1+Inputs!$B$13/100))-(Inputs!$B$12*(1+Inputs!$B$13/100)))+0.25*(Inputs!$B$14-Inputs!$B$14))*(1+Inputs!$B$7/100))*(F185/100)</f>
        <v/>
      </c>
      <c r="K185">
        <f>J185*(1+((Inputs!$B$12*(1+Inputs!$B$13/100))*0.01+Inputs!$B$14*0.0025)/100)*(1+(Inputs!$B$15+1)/100)*(1+Inputs!$B$16/100)*(5000/(6000+Inputs!$B$43*(1-Inputs!$B$19/100)))*(1+(Inputs!$B$24+((C211=TRUE)*(F211-Calc!F30)))/100)*(1+Skills!R4/100)*(1+(IF(Skills!A4="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185)</f>
        <v/>
      </c>
      <c r="L185">
        <f>K185*(MIN(Inputs!$B$22+((C205=TRUE)*(F205-Calc!F24)),Inputs!$B$23)/100+Inputs!$B$23/100)/2</f>
        <v/>
      </c>
      <c r="M185">
        <f>L185*(1+(Inputs!$B$10+((C207=TRUE)*(F207-Calc!F26))+B224)/100)</f>
        <v/>
      </c>
      <c r="N185">
        <f>L185*(1-MIN((Inputs!$B$9+((C206=TRUE)*(F206-Calc!F25))+B221),100)/100)+M185*(MIN((Inputs!$B$9+((C206=TRUE)*(F206-Calc!F25))+B221),100)/100)</f>
        <v/>
      </c>
      <c r="O185">
        <f>(1-Summary!$B$55)*T185+Summary!$B$55*V185</f>
        <v/>
      </c>
      <c r="P185">
        <f>IF(B225=0,0,O185/B225)</f>
        <v/>
      </c>
      <c r="Q185">
        <f>IFERROR(1/IF(Inputs!$B$39="pvp",15,MAX(0.1,Skills!D4-IF(Skills!E4=TRUE,Inputs!$B$32,0))),0)</f>
        <v/>
      </c>
      <c r="R185">
        <f>IF(AND(Inputs!$B$39&lt;&gt;"pvp",Inputs!$B$44&gt;0),IF(MAX(0,Inputs!$B$44-B226)&lt;=0,0,(INT(MAX(0,Inputs!$B$44-B226)/IF(Inputs!$B$39="pvp",15,MAX(0.1,Skills!D4-IF(Skills!E4=TRUE,Inputs!$B$32,0))))+1)),0)</f>
        <v/>
      </c>
      <c r="S185">
        <f>IFERROR(O185/N185,0)</f>
        <v/>
      </c>
      <c r="T185">
        <f>IF(C185,(H185*N185*IF(AND(Inputs!$B$39&lt;&gt;"pvp",Inputs!$B$44&gt;0),((Skills!G4*((R185-1)*IF(Skills!H4&gt;0,Skills!I4/Skills!H4,1)+IF(Skills!H4&gt;0,MIN(Skills!I4,MAX(0,MAX(0,Inputs!$B$44-B226)-((R185-1)*IF(Inputs!$B$39="pvp",15,MAX(0.1,Skills!D4-IF(Skills!E4=TRUE,Inputs!$B$32,0))))))/Skills!H4,1)))/Inputs!$B$44),G185*Q185))*IF(Inputs!$B$39="pvp",1,1+(Inputs!$B$20+((C208=TRUE)*(F208-Calc!F27))+Skills!P4+B222)/100),0)</f>
        <v/>
      </c>
      <c r="U185">
        <f>MAX(0,(Inputs!$B$3-100)*3)+Inputs!$B$28+Inputs!$B$29</f>
        <v/>
      </c>
      <c r="V185">
        <f>IF(C185,(H185*N185*IF(AND(Inputs!$B$39&lt;&gt;"pvp",Inputs!$B$44&gt;0),((Skills!G4*((R185-1)*IF(Skills!H4&gt;0,Skills!I4/Skills!H4,1)+IF(Skills!H4&gt;0,MIN(Skills!I4,MAX(0,MAX(0,Inputs!$B$44-B226)-((R185-1)*IF(Inputs!$B$39="pvp",15,MAX(0.1,Skills!D4-IF(Skills!E4=TRUE,Inputs!$B$32,0))))))/Skills!H4,1)))/Inputs!$B$44),G185*Q185))*IF(Inputs!$B$39="pvp",1,(1+(Inputs!$B$21+Skills!Q4+B222)/100)*(MIN(Skills!W4,Inputs!$B$37))),0)</f>
        <v/>
      </c>
    </row>
    <row r="186">
      <c r="A186">
        <f>Skills!A5</f>
        <v/>
      </c>
      <c r="B186">
        <f>Skills!B5</f>
        <v/>
      </c>
      <c r="C186">
        <f>Inputs!$B$3&gt;=63</f>
        <v/>
      </c>
      <c r="D186">
        <f>IF(Skills!C5=1,60+Inputs!$B$25+Inputs!$B$29,IF(Skills!C5=2,90+Inputs!$B$26+Inputs!$B$29,IF(Skills!C5=3,120+Inputs!$B$27+Inputs!$B$29,MAX(0,(Inputs!$B$3-100)*3)+Inputs!$B$28+Inputs!$B$29)))</f>
        <v/>
      </c>
      <c r="E186">
        <f>INDEX(FactorTable!$B$2:$Y$301, MATCH(ROUND(MIN(300,MAX(1,D186)),0), FactorTable!$A$2:$A$301,0), Skills!M5+1)</f>
        <v/>
      </c>
      <c r="F186">
        <f>IF(Skills!N5=TRUE,(Skills!L5/10)*(E186/1000),Skills!L5/10)+Skills!O5</f>
        <v/>
      </c>
      <c r="G186">
        <f>Calc!G5</f>
        <v/>
      </c>
      <c r="H186">
        <f>Calc!H5</f>
        <v/>
      </c>
      <c r="I186">
        <f>IF(Skills!AA5&lt;&gt;"",1+(Skills!AA5/10)*(U184/1000)/100,1)</f>
        <v/>
      </c>
      <c r="J186">
        <f>((Inputs!$B$6*(1+Inputs!$B$7/100))+(((Inputs!$B$12*(1+Inputs!$B$13/100))-(Inputs!$B$12*(1+Inputs!$B$13/100)))+0.25*(Inputs!$B$14-Inputs!$B$14))*(1+Inputs!$B$7/100))*(F186/100)</f>
        <v/>
      </c>
      <c r="K186">
        <f>J186*(1+((Inputs!$B$12*(1+Inputs!$B$13/100))*0.01+Inputs!$B$14*0.0025)/100)*(1+(Inputs!$B$15+1)/100)*(1+Inputs!$B$16/100)*(5000/(6000+Inputs!$B$43*(1-Inputs!$B$19/100)))*(1+(Inputs!$B$24+((C211=TRUE)*(F211-Calc!F30)))/100)*(1+Skills!R5/100)*(1+(IF(Skills!A5="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186)</f>
        <v/>
      </c>
      <c r="L186">
        <f>K186*(MIN(Inputs!$B$22+((C205=TRUE)*(F205-Calc!F24)),Inputs!$B$23)/100+Inputs!$B$23/100)/2</f>
        <v/>
      </c>
      <c r="M186">
        <f>L186*(1+(Inputs!$B$10+((C207=TRUE)*(F207-Calc!F26))+B224)/100)</f>
        <v/>
      </c>
      <c r="N186">
        <f>L186*(1-MIN((Inputs!$B$9+((C206=TRUE)*(F206-Calc!F25))+B221),100)/100)+M186*(MIN((Inputs!$B$9+((C206=TRUE)*(F206-Calc!F25))+B221),100)/100)</f>
        <v/>
      </c>
      <c r="O186">
        <f>(1-Summary!$B$55)*T186+Summary!$B$55*V186</f>
        <v/>
      </c>
      <c r="P186">
        <f>IF(B225=0,0,O186/B225)</f>
        <v/>
      </c>
      <c r="Q186">
        <f>IFERROR(1/IF(Inputs!$B$39="pvp",15,MAX(0.1,Skills!D5-IF(Skills!E5=TRUE,Inputs!$B$32,0))),0)</f>
        <v/>
      </c>
      <c r="R186">
        <f>IF(AND(Inputs!$B$39&lt;&gt;"pvp",Inputs!$B$44&gt;0),IF(MAX(0,Inputs!$B$44-B226)&lt;=0,0,(INT(MAX(0,Inputs!$B$44-B226)/IF(Inputs!$B$39="pvp",15,MAX(0.1,Skills!D5-IF(Skills!E5=TRUE,Inputs!$B$32,0))))+1)),0)</f>
        <v/>
      </c>
      <c r="S186">
        <f>IFERROR(O186/N186,0)</f>
        <v/>
      </c>
      <c r="T186">
        <f>IF(C186,(H186*N186*IF(AND(Inputs!$B$39&lt;&gt;"pvp",Inputs!$B$44&gt;0),((Skills!G5*((R186-1)*IF(Skills!H5&gt;0,Skills!I5/Skills!H5,1)+IF(Skills!H5&gt;0,MIN(Skills!I5,MAX(0,MAX(0,Inputs!$B$44-B226)-((R186-1)*IF(Inputs!$B$39="pvp",15,MAX(0.1,Skills!D5-IF(Skills!E5=TRUE,Inputs!$B$32,0))))))/Skills!H5,1)))/Inputs!$B$44),G186*Q186))*IF(Inputs!$B$39="pvp",1,1+(Inputs!$B$20+((C208=TRUE)*(F208-Calc!F27))+Skills!P5+B222)/100),0)</f>
        <v/>
      </c>
      <c r="U186">
        <f>INDEX(FactorTable!$B$2:$Y$301, MATCH(ROUND(MIN(300,MAX(1,U185)),0), FactorTable!$A$2:$A$301,0), 22)</f>
        <v/>
      </c>
      <c r="V186">
        <f>IF(C186,(H186*N186*IF(AND(Inputs!$B$39&lt;&gt;"pvp",Inputs!$B$44&gt;0),((Skills!G5*((R186-1)*IF(Skills!H5&gt;0,Skills!I5/Skills!H5,1)+IF(Skills!H5&gt;0,MIN(Skills!I5,MAX(0,MAX(0,Inputs!$B$44-B226)-((R186-1)*IF(Inputs!$B$39="pvp",15,MAX(0.1,Skills!D5-IF(Skills!E5=TRUE,Inputs!$B$32,0))))))/Skills!H5,1)))/Inputs!$B$44),G186*Q186))*IF(Inputs!$B$39="pvp",1,(1+(Inputs!$B$21+Skills!Q5+B222)/100)*(MIN(Skills!W5,Inputs!$B$37))),0)</f>
        <v/>
      </c>
    </row>
    <row r="187">
      <c r="A187">
        <f>Skills!A6</f>
        <v/>
      </c>
      <c r="B187">
        <f>Skills!B6</f>
        <v/>
      </c>
      <c r="C187">
        <f>Inputs!$B$3&gt;=66</f>
        <v/>
      </c>
      <c r="D187">
        <f>IF(Skills!C6=1,60+Inputs!$B$25+Inputs!$B$29,IF(Skills!C6=2,90+Inputs!$B$26+Inputs!$B$29,IF(Skills!C6=3,120+Inputs!$B$27+Inputs!$B$29,MAX(0,(Inputs!$B$3-100)*3)+Inputs!$B$28+Inputs!$B$29)))</f>
        <v/>
      </c>
      <c r="E187">
        <f>INDEX(FactorTable!$B$2:$Y$301, MATCH(ROUND(MIN(300,MAX(1,D187)),0), FactorTable!$A$2:$A$301,0), Skills!M6+1)</f>
        <v/>
      </c>
      <c r="F187">
        <f>IF(Skills!N6=TRUE,(Skills!L6/10)*(E187/1000),Skills!L6/10)+Skills!O6</f>
        <v/>
      </c>
      <c r="G187">
        <f>Calc!G6</f>
        <v/>
      </c>
      <c r="H187">
        <f>Calc!H6</f>
        <v/>
      </c>
      <c r="I187">
        <f>IF(Skills!AA6&lt;&gt;"",1+(Skills!AA6/10)*(U184/1000)/100,1)</f>
        <v/>
      </c>
      <c r="J187" t="inlineStr"/>
      <c r="K187" t="inlineStr"/>
      <c r="L187" t="inlineStr"/>
      <c r="M187" t="inlineStr"/>
      <c r="N187" t="inlineStr"/>
      <c r="O187">
        <f>(1-Summary!$B$55)*T187+Summary!$B$55*V187</f>
        <v/>
      </c>
      <c r="P187">
        <f>IF(B225=0,0,O187/B225)</f>
        <v/>
      </c>
      <c r="Q187" t="n">
        <v>0</v>
      </c>
      <c r="R187" t="n">
        <v>0</v>
      </c>
      <c r="S187">
        <f>IFERROR(O187/N187,0)</f>
        <v/>
      </c>
      <c r="T187" t="n">
        <v>0</v>
      </c>
      <c r="U187">
        <f>290*U186/1000</f>
        <v/>
      </c>
      <c r="V187" t="n">
        <v>0</v>
      </c>
    </row>
    <row r="188">
      <c r="A188">
        <f>Skills!A7</f>
        <v/>
      </c>
      <c r="B188">
        <f>Skills!B7</f>
        <v/>
      </c>
      <c r="C188">
        <f>Inputs!$B$3&gt;=66</f>
        <v/>
      </c>
      <c r="D188">
        <f>IF(Skills!C7=1,60+Inputs!$B$25+Inputs!$B$29,IF(Skills!C7=2,90+Inputs!$B$26+Inputs!$B$29,IF(Skills!C7=3,120+Inputs!$B$27+Inputs!$B$29,MAX(0,(Inputs!$B$3-100)*3)+Inputs!$B$28+Inputs!$B$29)))</f>
        <v/>
      </c>
      <c r="E188">
        <f>INDEX(FactorTable!$B$2:$Y$301, MATCH(ROUND(MIN(300,MAX(1,D188)),0), FactorTable!$A$2:$A$301,0), Skills!M7+1)</f>
        <v/>
      </c>
      <c r="F188">
        <f>IF(Skills!N7=TRUE,(Skills!L7/10)*(E188/1000),Skills!L7/10)+Skills!O7</f>
        <v/>
      </c>
      <c r="G188">
        <f>Calc!G7</f>
        <v/>
      </c>
      <c r="H188">
        <f>Calc!H7</f>
        <v/>
      </c>
      <c r="I188">
        <f>IF(Skills!AA7&lt;&gt;"",1+(Skills!AA7/10)*(U184/1000)/100,1)</f>
        <v/>
      </c>
      <c r="J188" t="inlineStr"/>
      <c r="K188" t="inlineStr"/>
      <c r="L188" t="inlineStr"/>
      <c r="M188" t="inlineStr"/>
      <c r="N188" t="inlineStr"/>
      <c r="O188">
        <f>(1-Summary!$B$55)*T188+Summary!$B$55*V188</f>
        <v/>
      </c>
      <c r="P188">
        <f>IF(B225=0,0,O188/B225)</f>
        <v/>
      </c>
      <c r="Q188" t="n">
        <v>0</v>
      </c>
      <c r="R188" t="n">
        <v>0</v>
      </c>
      <c r="S188">
        <f>IFERROR(O188/N188,0)</f>
        <v/>
      </c>
      <c r="T188" t="n">
        <v>0</v>
      </c>
      <c r="V188" t="n">
        <v>0</v>
      </c>
    </row>
    <row r="189">
      <c r="A189">
        <f>Skills!A8</f>
        <v/>
      </c>
      <c r="B189">
        <f>Skills!B8</f>
        <v/>
      </c>
      <c r="C189">
        <f>Inputs!$B$3&gt;=69</f>
        <v/>
      </c>
      <c r="D189">
        <f>IF(Skills!C8=1,60+Inputs!$B$25+Inputs!$B$29,IF(Skills!C8=2,90+Inputs!$B$26+Inputs!$B$29,IF(Skills!C8=3,120+Inputs!$B$27+Inputs!$B$29,MAX(0,(Inputs!$B$3-100)*3)+Inputs!$B$28+Inputs!$B$29)))</f>
        <v/>
      </c>
      <c r="E189">
        <f>INDEX(FactorTable!$B$2:$Y$301, MATCH(ROUND(MIN(300,MAX(1,D189)),0), FactorTable!$A$2:$A$301,0), Skills!M8+1)</f>
        <v/>
      </c>
      <c r="F189">
        <f>IF(Skills!N8=TRUE,(Skills!L8/10)*(E189/1000),Skills!L8/10)+Skills!O8</f>
        <v/>
      </c>
      <c r="G189">
        <f>Calc!G8</f>
        <v/>
      </c>
      <c r="H189">
        <f>Calc!H8</f>
        <v/>
      </c>
      <c r="I189">
        <f>IF(Skills!AA8&lt;&gt;"",1+(Skills!AA8/10)*(U184/1000)/100,1)</f>
        <v/>
      </c>
      <c r="J189">
        <f>((Inputs!$B$6*(1+Inputs!$B$7/100))+(((Inputs!$B$12*(1+Inputs!$B$13/100))-(Inputs!$B$12*(1+Inputs!$B$13/100)))+0.25*(Inputs!$B$14-Inputs!$B$14))*(1+Inputs!$B$7/100))*(F189/100)</f>
        <v/>
      </c>
      <c r="K189">
        <f>J189*(1+((Inputs!$B$12*(1+Inputs!$B$13/100))*0.01+Inputs!$B$14*0.0025)/100)*(1+(Inputs!$B$15+1)/100)*(1+Inputs!$B$16/100)*(5000/(6000+Inputs!$B$43*(1-Inputs!$B$19/100)))*(1+(Inputs!$B$24+((C211=TRUE)*(F211-Calc!F30)))/100)*(1+Skills!R8/100)*(1+(IF(Skills!A8="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189)</f>
        <v/>
      </c>
      <c r="L189">
        <f>K189*(MIN(Inputs!$B$22+((C205=TRUE)*(F205-Calc!F24)),Inputs!$B$23)/100+Inputs!$B$23/100)/2</f>
        <v/>
      </c>
      <c r="M189">
        <f>L189*(1+(Inputs!$B$10+((C207=TRUE)*(F207-Calc!F26))+B224)/100)</f>
        <v/>
      </c>
      <c r="N189">
        <f>L189*(1-MIN((Inputs!$B$9+((C206=TRUE)*(F206-Calc!F25))+B221),100)/100)+M189*(MIN((Inputs!$B$9+((C206=TRUE)*(F206-Calc!F25))+B221),100)/100)</f>
        <v/>
      </c>
      <c r="O189">
        <f>(1-Summary!$B$55)*T189+Summary!$B$55*V189</f>
        <v/>
      </c>
      <c r="P189">
        <f>IF(B225=0,0,O189/B225)</f>
        <v/>
      </c>
      <c r="Q189">
        <f>IFERROR(1/IF(Inputs!$B$39="pvp",15,MAX(0.1,Skills!D8-IF(Skills!E8=TRUE,Inputs!$B$32,0))),0)</f>
        <v/>
      </c>
      <c r="R189">
        <f>IF(AND(Inputs!$B$39&lt;&gt;"pvp",Inputs!$B$44&gt;0),IF(MAX(0,Inputs!$B$44-B226)&lt;=0,0,(INT(MAX(0,Inputs!$B$44-B226)/IF(Inputs!$B$39="pvp",15,MAX(0.1,Skills!D8-IF(Skills!E8=TRUE,Inputs!$B$32,0))))+1)),0)</f>
        <v/>
      </c>
      <c r="S189">
        <f>IFERROR(O189/N189,0)</f>
        <v/>
      </c>
      <c r="T189">
        <f>IF(C189,(H189*N189*IF(AND(Inputs!$B$39&lt;&gt;"pvp",Inputs!$B$44&gt;0),((Skills!G8*((R189-1)*IF(Skills!H8&gt;0,Skills!I8/Skills!H8,1)+IF(Skills!H8&gt;0,MIN(Skills!I8,MAX(0,MAX(0,Inputs!$B$44-B226)-((R189-1)*IF(Inputs!$B$39="pvp",15,MAX(0.1,Skills!D8-IF(Skills!E8=TRUE,Inputs!$B$32,0))))))/Skills!H8,1)))/Inputs!$B$44),G189*Q189))*IF(Inputs!$B$39="pvp",1,1+(Inputs!$B$20+((C208=TRUE)*(F208-Calc!F27))+Skills!P8+B222)/100),0)</f>
        <v/>
      </c>
      <c r="V189">
        <f>IF(C189,(H189*N189*IF(AND(Inputs!$B$39&lt;&gt;"pvp",Inputs!$B$44&gt;0),((Skills!G8*((R189-1)*IF(Skills!H8&gt;0,Skills!I8/Skills!H8,1)+IF(Skills!H8&gt;0,MIN(Skills!I8,MAX(0,MAX(0,Inputs!$B$44-B226)-((R189-1)*IF(Inputs!$B$39="pvp",15,MAX(0.1,Skills!D8-IF(Skills!E8=TRUE,Inputs!$B$32,0))))))/Skills!H8,1)))/Inputs!$B$44),G189*Q189))*IF(Inputs!$B$39="pvp",1,(1+(Inputs!$B$21+Skills!Q8+B222)/100)*(MIN(Skills!W8,Inputs!$B$37))),0)</f>
        <v/>
      </c>
    </row>
    <row r="190">
      <c r="A190">
        <f>Skills!A9</f>
        <v/>
      </c>
      <c r="B190">
        <f>Skills!B9</f>
        <v/>
      </c>
      <c r="C190">
        <f>Inputs!$B$3&gt;=72</f>
        <v/>
      </c>
      <c r="D190">
        <f>IF(Skills!C9=1,60+Inputs!$B$25+Inputs!$B$29,IF(Skills!C9=2,90+Inputs!$B$26+Inputs!$B$29,IF(Skills!C9=3,120+Inputs!$B$27+Inputs!$B$29,MAX(0,(Inputs!$B$3-100)*3)+Inputs!$B$28+Inputs!$B$29)))</f>
        <v/>
      </c>
      <c r="E190">
        <f>INDEX(FactorTable!$B$2:$Y$301, MATCH(ROUND(MIN(300,MAX(1,D190)),0), FactorTable!$A$2:$A$301,0), Skills!M9+1)</f>
        <v/>
      </c>
      <c r="F190">
        <f>IF(Skills!N9=TRUE,(Skills!L9/10)*(E190/1000),Skills!L9/10)+Skills!O9</f>
        <v/>
      </c>
      <c r="G190">
        <f>Calc!G9</f>
        <v/>
      </c>
      <c r="H190">
        <f>Calc!H9</f>
        <v/>
      </c>
      <c r="I190">
        <f>IF(Skills!AA9&lt;&gt;"",1+(Skills!AA9/10)*(U184/1000)/100,1)</f>
        <v/>
      </c>
      <c r="J190">
        <f>((Inputs!$B$6*(1+Inputs!$B$7/100))+(((Inputs!$B$12*(1+Inputs!$B$13/100))-(Inputs!$B$12*(1+Inputs!$B$13/100)))+0.25*(Inputs!$B$14-Inputs!$B$14))*(1+Inputs!$B$7/100))*(F190/100)</f>
        <v/>
      </c>
      <c r="K190">
        <f>J190*(1+((Inputs!$B$12*(1+Inputs!$B$13/100))*0.01+Inputs!$B$14*0.0025)/100)*(1+(Inputs!$B$15+1)/100)*(1+Inputs!$B$16/100)*(5000/(6000+Inputs!$B$43*(1-Inputs!$B$19/100)))*(1+(Inputs!$B$24+((C211=TRUE)*(F211-Calc!F30)))/100)*(1+Skills!R9/100)*(1+(IF(Skills!A9="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190)</f>
        <v/>
      </c>
      <c r="L190">
        <f>K190*(MIN(Inputs!$B$22+((C205=TRUE)*(F205-Calc!F24)),Inputs!$B$23)/100+Inputs!$B$23/100)/2</f>
        <v/>
      </c>
      <c r="M190">
        <f>L190*(1+(Inputs!$B$10+((C207=TRUE)*(F207-Calc!F26))+B224)/100)</f>
        <v/>
      </c>
      <c r="N190">
        <f>L190*(1-MIN((Inputs!$B$9+((C206=TRUE)*(F206-Calc!F25))+B221),100)/100)+M190*(MIN((Inputs!$B$9+((C206=TRUE)*(F206-Calc!F25))+B221),100)/100)</f>
        <v/>
      </c>
      <c r="O190">
        <f>(1-Summary!$B$55)*T190+Summary!$B$55*V190</f>
        <v/>
      </c>
      <c r="P190">
        <f>IF(B225=0,0,O190/B225)</f>
        <v/>
      </c>
      <c r="Q190">
        <f>IFERROR(1/IF(Inputs!$B$39="pvp",15,MAX(0.1,Skills!D9-IF(Skills!E9=TRUE,Inputs!$B$32,0))),0)</f>
        <v/>
      </c>
      <c r="R190">
        <f>IF(AND(Inputs!$B$39&lt;&gt;"pvp",Inputs!$B$44&gt;0),IF(MAX(0,Inputs!$B$44-B226)&lt;=0,0,(INT(MAX(0,Inputs!$B$44-B226)/IF(Inputs!$B$39="pvp",15,MAX(0.1,Skills!D9-IF(Skills!E9=TRUE,Inputs!$B$32,0))))+1)),0)</f>
        <v/>
      </c>
      <c r="S190">
        <f>IFERROR(O190/N190,0)</f>
        <v/>
      </c>
      <c r="T190">
        <f>IF(C190,(H190*N190*IF(AND(Inputs!$B$39&lt;&gt;"pvp",Inputs!$B$44&gt;0),((Skills!G9*((R190-1)*IF(Skills!H9&gt;0,Skills!I9/Skills!H9,1)+IF(Skills!H9&gt;0,MIN(Skills!I9,MAX(0,MAX(0,Inputs!$B$44-B226)-((R190-1)*IF(Inputs!$B$39="pvp",15,MAX(0.1,Skills!D9-IF(Skills!E9=TRUE,Inputs!$B$32,0))))))/Skills!H9,1)))/Inputs!$B$44),G190*Q190))*IF(Inputs!$B$39="pvp",1,1+(Inputs!$B$20+((C208=TRUE)*(F208-Calc!F27))+Skills!P9+B222)/100),0)</f>
        <v/>
      </c>
      <c r="V190">
        <f>IF(C190,(H190*N190*IF(AND(Inputs!$B$39&lt;&gt;"pvp",Inputs!$B$44&gt;0),((Skills!G9*((R190-1)*IF(Skills!H9&gt;0,Skills!I9/Skills!H9,1)+IF(Skills!H9&gt;0,MIN(Skills!I9,MAX(0,MAX(0,Inputs!$B$44-B226)-((R190-1)*IF(Inputs!$B$39="pvp",15,MAX(0.1,Skills!D9-IF(Skills!E9=TRUE,Inputs!$B$32,0))))))/Skills!H9,1)))/Inputs!$B$44),G190*Q190))*IF(Inputs!$B$39="pvp",1,(1+(Inputs!$B$21+Skills!Q9+B222)/100)*(MIN(Skills!W9,Inputs!$B$37))),0)</f>
        <v/>
      </c>
    </row>
    <row r="191">
      <c r="A191">
        <f>Skills!A10</f>
        <v/>
      </c>
      <c r="B191">
        <f>Skills!B10</f>
        <v/>
      </c>
      <c r="C191">
        <f>Inputs!$B$3&gt;=117</f>
        <v/>
      </c>
      <c r="D191">
        <f>IF(Skills!C10=1,60+Inputs!$B$25+Inputs!$B$29,IF(Skills!C10=2,90+Inputs!$B$26+Inputs!$B$29,IF(Skills!C10=3,120+Inputs!$B$27+Inputs!$B$29,MAX(0,(Inputs!$B$3-100)*3)+Inputs!$B$28+Inputs!$B$29)))</f>
        <v/>
      </c>
      <c r="E191">
        <f>INDEX(FactorTable!$B$2:$Y$301, MATCH(ROUND(MIN(300,MAX(1,D191)),0), FactorTable!$A$2:$A$301,0), Skills!M10+1)</f>
        <v/>
      </c>
      <c r="F191">
        <f>IF(Skills!N10=TRUE,(Skills!L10/10)*(E191/1000),Skills!L10/10)+Skills!O10</f>
        <v/>
      </c>
      <c r="G191">
        <f>Calc!G10</f>
        <v/>
      </c>
      <c r="H191">
        <f>Calc!H10</f>
        <v/>
      </c>
      <c r="I191">
        <f>IF(Skills!AA10&lt;&gt;"",1+(Skills!AA10/10)*(U184/1000)/100,1)</f>
        <v/>
      </c>
      <c r="J191">
        <f>((Inputs!$B$6*(1+Inputs!$B$7/100))+(((Inputs!$B$12*(1+Inputs!$B$13/100))-(Inputs!$B$12*(1+Inputs!$B$13/100)))+0.25*(Inputs!$B$14-Inputs!$B$14))*(1+Inputs!$B$7/100))*(F191/100)</f>
        <v/>
      </c>
      <c r="K191">
        <f>J191*(1+((Inputs!$B$12*(1+Inputs!$B$13/100))*0.01+Inputs!$B$14*0.0025)/100)*(1+(Inputs!$B$15+1)/100)*(1+Inputs!$B$16/100)*(5000/(6000+Inputs!$B$43*(1-Inputs!$B$19/100)))*(1+(Inputs!$B$24+((C211=TRUE)*(F211-Calc!F30)))/100)*(1+Skills!R10/100)*(1+(IF(Skills!A10="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191)</f>
        <v/>
      </c>
      <c r="L191">
        <f>K191*(MIN(Inputs!$B$22+((C205=TRUE)*(F205-Calc!F24)),Inputs!$B$23)/100+Inputs!$B$23/100)/2</f>
        <v/>
      </c>
      <c r="M191">
        <f>L191*(1+(Inputs!$B$10+((C207=TRUE)*(F207-Calc!F26))+B224)/100)</f>
        <v/>
      </c>
      <c r="N191">
        <f>L191*(1-MIN((Inputs!$B$9+((C206=TRUE)*(F206-Calc!F25))+B221),100)/100)+M191*(MIN((Inputs!$B$9+((C206=TRUE)*(F206-Calc!F25))+B221),100)/100)</f>
        <v/>
      </c>
      <c r="O191">
        <f>(1-Summary!$B$55)*T191+Summary!$B$55*V191</f>
        <v/>
      </c>
      <c r="P191">
        <f>IF(B225=0,0,O191/B225)</f>
        <v/>
      </c>
      <c r="Q191" t="n">
        <v>0</v>
      </c>
      <c r="R191" t="n">
        <v>0</v>
      </c>
      <c r="S191" t="n">
        <v>0</v>
      </c>
      <c r="T191">
        <f>IF(C191,(0.2*SUMPRODUCT((Skills!Z2:Z31=TRUE)*(C183:C212=TRUE)*S183:S212)*N191)*IF(Inputs!$B$39="pvp",1,1+(Inputs!$B$20+((C208=TRUE)*(F208-Calc!F27))+Skills!P10+B222)/100),0)</f>
        <v/>
      </c>
      <c r="V191">
        <f>IF(C191,(0.2*SUMPRODUCT((Skills!Z2:Z31=TRUE)*(C183:C212=TRUE)*S183:S212)*N191)*IF(Inputs!$B$39="pvp",1,(1+(Inputs!$B$21+Skills!Q10+B222)/100)*(MIN(Skills!W10,Inputs!$B$37))),0)</f>
        <v/>
      </c>
    </row>
    <row r="192">
      <c r="A192">
        <f>Skills!A11</f>
        <v/>
      </c>
      <c r="B192">
        <f>Skills!B11</f>
        <v/>
      </c>
      <c r="C192">
        <f>Inputs!$B$3&gt;=60</f>
        <v/>
      </c>
      <c r="D192">
        <f>IF(Skills!C11=1,60+Inputs!$B$25+Inputs!$B$29,IF(Skills!C11=2,90+Inputs!$B$26+Inputs!$B$29,IF(Skills!C11=3,120+Inputs!$B$27+Inputs!$B$29,MAX(0,(Inputs!$B$3-100)*3)+Inputs!$B$28+Inputs!$B$29)))</f>
        <v/>
      </c>
      <c r="E192">
        <f>INDEX(FactorTable!$B$2:$Y$301, MATCH(ROUND(MIN(300,MAX(1,D192)),0), FactorTable!$A$2:$A$301,0), Skills!M11+1)</f>
        <v/>
      </c>
      <c r="F192">
        <f>IF(Skills!N11=TRUE,(Skills!L11/10)*(E192/1000),Skills!L11/10)+Skills!O11</f>
        <v/>
      </c>
      <c r="G192">
        <f>Calc!G11</f>
        <v/>
      </c>
      <c r="H192">
        <f>Calc!H11</f>
        <v/>
      </c>
      <c r="I192">
        <f>IF(Skills!AA11&lt;&gt;"",1+(Skills!AA11/10)*(U184/1000)/100,1)</f>
        <v/>
      </c>
      <c r="J192" t="inlineStr"/>
      <c r="K192" t="inlineStr"/>
      <c r="L192" t="inlineStr"/>
      <c r="M192" t="inlineStr"/>
      <c r="N192" t="inlineStr"/>
      <c r="O192">
        <f>(1-Summary!$B$55)*T192+Summary!$B$55*V192</f>
        <v/>
      </c>
      <c r="P192">
        <f>IF(B225=0,0,O192/B225)</f>
        <v/>
      </c>
      <c r="Q192" t="n">
        <v>0</v>
      </c>
      <c r="R192" t="n">
        <v>0</v>
      </c>
      <c r="S192">
        <f>IFERROR(O192/N192,0)</f>
        <v/>
      </c>
      <c r="T192" t="n">
        <v>0</v>
      </c>
      <c r="V192" t="n">
        <v>0</v>
      </c>
    </row>
    <row r="193">
      <c r="A193">
        <f>Skills!A12</f>
        <v/>
      </c>
      <c r="B193">
        <f>Skills!B12</f>
        <v/>
      </c>
      <c r="C193">
        <f>Inputs!$B$3&gt;=103</f>
        <v/>
      </c>
      <c r="D193">
        <f>IF(Skills!C12=1,60+Inputs!$B$25+Inputs!$B$29,IF(Skills!C12=2,90+Inputs!$B$26+Inputs!$B$29,IF(Skills!C12=3,120+Inputs!$B$27+Inputs!$B$29,MAX(0,(Inputs!$B$3-100)*3)+Inputs!$B$28+Inputs!$B$29)))</f>
        <v/>
      </c>
      <c r="E193">
        <f>INDEX(FactorTable!$B$2:$Y$301, MATCH(ROUND(MIN(300,MAX(1,D193)),0), FactorTable!$A$2:$A$301,0), Skills!M12+1)</f>
        <v/>
      </c>
      <c r="F193">
        <f>IF(Skills!N12=TRUE,(Skills!L12/10)*(E193/1000),Skills!L12/10)+Skills!O12</f>
        <v/>
      </c>
      <c r="G193">
        <f>Calc!G12</f>
        <v/>
      </c>
      <c r="H193">
        <f>Calc!H12</f>
        <v/>
      </c>
      <c r="I193">
        <f>IF(Skills!AA12&lt;&gt;"",1+(Skills!AA12/10)*(U184/1000)/100,1)</f>
        <v/>
      </c>
      <c r="J193">
        <f>((Inputs!$B$6*(1+Inputs!$B$7/100))+(((Inputs!$B$12*(1+Inputs!$B$13/100))-(Inputs!$B$12*(1+Inputs!$B$13/100)))+0.25*(Inputs!$B$14-Inputs!$B$14))*(1+Inputs!$B$7/100))*(F193/100)</f>
        <v/>
      </c>
      <c r="K193">
        <f>J193*(1+((Inputs!$B$12*(1+Inputs!$B$13/100))*0.01+Inputs!$B$14*0.0025)/100)*(1+(Inputs!$B$15+1)/100)*(1+Inputs!$B$16/100)*(5000/(6000+Inputs!$B$43*(1-Inputs!$B$19/100)))*(1+(Inputs!$B$24+((C211=TRUE)*(F211-Calc!F30)))/100)*(1+Skills!R12/100)*(1+(IF(Skills!A12="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193)</f>
        <v/>
      </c>
      <c r="L193">
        <f>K193*(MIN(Inputs!$B$22+((C205=TRUE)*(F205-Calc!F24)),Inputs!$B$23)/100+Inputs!$B$23/100)/2</f>
        <v/>
      </c>
      <c r="M193">
        <f>L193*(1+(Inputs!$B$10+((C207=TRUE)*(F207-Calc!F26))+B224)/100)</f>
        <v/>
      </c>
      <c r="N193">
        <f>L193*(1-MIN((Inputs!$B$9+((C206=TRUE)*(F206-Calc!F25))+B221),100)/100)+M193*(MIN((Inputs!$B$9+((C206=TRUE)*(F206-Calc!F25))+B221),100)/100)</f>
        <v/>
      </c>
      <c r="O193">
        <f>(1-Summary!$B$55)*T193+Summary!$B$55*V193</f>
        <v/>
      </c>
      <c r="P193">
        <f>IF(B225=0,0,O193/B225)</f>
        <v/>
      </c>
      <c r="Q193">
        <f>IFERROR(1/IF(Inputs!$B$39="pvp",15,MAX(0.1,Skills!D12-IF(Skills!E12=TRUE,Inputs!$B$32,0))),0)</f>
        <v/>
      </c>
      <c r="R193">
        <f>IF(AND(Inputs!$B$39&lt;&gt;"pvp",Inputs!$B$44&gt;0),IF(MAX(0,Inputs!$B$44-B226)&lt;=0,0,(INT(MAX(0,Inputs!$B$44-B226)/IF(Inputs!$B$39="pvp",15,MAX(0.1,Skills!D12-IF(Skills!E12=TRUE,Inputs!$B$32,0))))+1)),0)</f>
        <v/>
      </c>
      <c r="S193">
        <f>IFERROR(O193/N193,0)</f>
        <v/>
      </c>
      <c r="T193">
        <f>IF(C193,(H193*N193*IF(AND(Inputs!$B$39&lt;&gt;"pvp",Inputs!$B$44&gt;0),((Skills!G12*((R193-1)*IF(Skills!H12&gt;0,Skills!I12/Skills!H12,1)+IF(Skills!H12&gt;0,MIN(Skills!I12,MAX(0,MAX(0,Inputs!$B$44-B226)-((R193-1)*IF(Inputs!$B$39="pvp",15,MAX(0.1,Skills!D12-IF(Skills!E12=TRUE,Inputs!$B$32,0))))))/Skills!H12,1)))/Inputs!$B$44),G193*Q193))*IF(Inputs!$B$39="pvp",1,1+(Inputs!$B$20+((C208=TRUE)*(F208-Calc!F27))+Skills!P12+B222)/100),0)</f>
        <v/>
      </c>
      <c r="V193">
        <f>IF(C193,(H193*N193*IF(AND(Inputs!$B$39&lt;&gt;"pvp",Inputs!$B$44&gt;0),((Skills!G12*((R193-1)*IF(Skills!H12&gt;0,Skills!I12/Skills!H12,1)+IF(Skills!H12&gt;0,MIN(Skills!I12,MAX(0,MAX(0,Inputs!$B$44-B226)-((R193-1)*IF(Inputs!$B$39="pvp",15,MAX(0.1,Skills!D12-IF(Skills!E12=TRUE,Inputs!$B$32,0))))))/Skills!H12,1)))/Inputs!$B$44),G193*Q193))*IF(Inputs!$B$39="pvp",1,(1+(Inputs!$B$21+Skills!Q12+B222)/100)*(MIN(Skills!W12,Inputs!$B$37))),0)</f>
        <v/>
      </c>
    </row>
    <row r="194">
      <c r="A194">
        <f>Skills!A13</f>
        <v/>
      </c>
      <c r="B194">
        <f>Skills!B13</f>
        <v/>
      </c>
      <c r="C194">
        <f>Inputs!$B$3&gt;=105</f>
        <v/>
      </c>
      <c r="D194">
        <f>IF(Skills!C13=1,60+Inputs!$B$25+Inputs!$B$29,IF(Skills!C13=2,90+Inputs!$B$26+Inputs!$B$29,IF(Skills!C13=3,120+Inputs!$B$27+Inputs!$B$29,MAX(0,(Inputs!$B$3-100)*3)+Inputs!$B$28+Inputs!$B$29)))</f>
        <v/>
      </c>
      <c r="E194">
        <f>INDEX(FactorTable!$B$2:$Y$301, MATCH(ROUND(MIN(300,MAX(1,D194)),0), FactorTable!$A$2:$A$301,0), Skills!M13+1)</f>
        <v/>
      </c>
      <c r="F194">
        <f>IF(Skills!N13=TRUE,(Skills!L13/10)*(E194/1000),Skills!L13/10)+Skills!O13</f>
        <v/>
      </c>
      <c r="G194">
        <f>Calc!G13</f>
        <v/>
      </c>
      <c r="H194">
        <f>Calc!H13</f>
        <v/>
      </c>
      <c r="I194">
        <f>IF(Skills!AA13&lt;&gt;"",1+(Skills!AA13/10)*(U184/1000)/100,1)</f>
        <v/>
      </c>
      <c r="J194">
        <f>((Inputs!$B$6*(1+Inputs!$B$7/100))+(((Inputs!$B$12*(1+Inputs!$B$13/100))-(Inputs!$B$12*(1+Inputs!$B$13/100)))+0.25*(Inputs!$B$14-Inputs!$B$14))*(1+Inputs!$B$7/100))*(F194/100)</f>
        <v/>
      </c>
      <c r="K194">
        <f>J194*(1+((Inputs!$B$12*(1+Inputs!$B$13/100))*0.01+Inputs!$B$14*0.0025)/100)*(1+(Inputs!$B$15+1)/100)*(1+Inputs!$B$16/100)*(5000/(6000+Inputs!$B$43*(1-Inputs!$B$19/100)))*(1+(Inputs!$B$24+((C211=TRUE)*(F211-Calc!F30)))/100)*(1+Skills!R13/100)*(1+(IF(Skills!A13="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194)</f>
        <v/>
      </c>
      <c r="L194">
        <f>K194*(MIN(Inputs!$B$22+((C205=TRUE)*(F205-Calc!F24)),Inputs!$B$23)/100+Inputs!$B$23/100)/2</f>
        <v/>
      </c>
      <c r="M194">
        <f>L194*(1+(Inputs!$B$10+((C207=TRUE)*(F207-Calc!F26))+B224)/100)</f>
        <v/>
      </c>
      <c r="N194">
        <f>L194*(1-MIN((Inputs!$B$9+((C206=TRUE)*(F206-Calc!F25))+B221),100)/100)+M194*(MIN((Inputs!$B$9+((C206=TRUE)*(F206-Calc!F25))+B221),100)/100)</f>
        <v/>
      </c>
      <c r="O194">
        <f>(1-Summary!$B$55)*T194+Summary!$B$55*V194</f>
        <v/>
      </c>
      <c r="P194">
        <f>IF(B225=0,0,O194/B225)</f>
        <v/>
      </c>
      <c r="Q194">
        <f>IFERROR(1/IF(Inputs!$B$39="pvp",15,MAX(0.1,Skills!D13-IF(Skills!E13=TRUE,Inputs!$B$32,0))),0)</f>
        <v/>
      </c>
      <c r="R194">
        <f>IF(AND(Inputs!$B$39&lt;&gt;"pvp",Inputs!$B$44&gt;0),IF(MAX(0,Inputs!$B$44-B226)&lt;=0,0,(INT(MAX(0,Inputs!$B$44-B226)/IF(Inputs!$B$39="pvp",15,MAX(0.1,Skills!D13-IF(Skills!E13=TRUE,Inputs!$B$32,0))))+1)),0)</f>
        <v/>
      </c>
      <c r="S194">
        <f>IFERROR(O194/N194,0)</f>
        <v/>
      </c>
      <c r="T194">
        <f>IF(C194,(H194*N194*IF(AND(Inputs!$B$39&lt;&gt;"pvp",Inputs!$B$44&gt;0),((Skills!G13*((R194-1)*IF(Skills!H13&gt;0,Skills!I13/Skills!H13,1)+IF(Skills!H13&gt;0,MIN(Skills!I13,MAX(0,MAX(0,Inputs!$B$44-B226)-((R194-1)*IF(Inputs!$B$39="pvp",15,MAX(0.1,Skills!D13-IF(Skills!E13=TRUE,Inputs!$B$32,0))))))/Skills!H13,1)))/Inputs!$B$44),G194*Q194))*IF(Inputs!$B$39="pvp",1,1+(Inputs!$B$20+((C208=TRUE)*(F208-Calc!F27))+Skills!P13+B222)/100),0)</f>
        <v/>
      </c>
      <c r="V194">
        <f>IF(C194,(H194*N194*IF(AND(Inputs!$B$39&lt;&gt;"pvp",Inputs!$B$44&gt;0),((Skills!G13*((R194-1)*IF(Skills!H13&gt;0,Skills!I13/Skills!H13,1)+IF(Skills!H13&gt;0,MIN(Skills!I13,MAX(0,MAX(0,Inputs!$B$44-B226)-((R194-1)*IF(Inputs!$B$39="pvp",15,MAX(0.1,Skills!D13-IF(Skills!E13=TRUE,Inputs!$B$32,0))))))/Skills!H13,1)))/Inputs!$B$44),G194*Q194))*IF(Inputs!$B$39="pvp",1,(1+(Inputs!$B$21+Skills!Q13+B222)/100)*(MIN(Skills!W13,Inputs!$B$37))),0)</f>
        <v/>
      </c>
    </row>
    <row r="195">
      <c r="A195">
        <f>Skills!A14</f>
        <v/>
      </c>
      <c r="B195">
        <f>Skills!B14</f>
        <v/>
      </c>
      <c r="C195">
        <f>Inputs!$B$3&gt;=105</f>
        <v/>
      </c>
      <c r="D195">
        <f>IF(Skills!C14=1,60+Inputs!$B$25+Inputs!$B$29,IF(Skills!C14=2,90+Inputs!$B$26+Inputs!$B$29,IF(Skills!C14=3,120+Inputs!$B$27+Inputs!$B$29,MAX(0,(Inputs!$B$3-100)*3)+Inputs!$B$28+Inputs!$B$29)))</f>
        <v/>
      </c>
      <c r="E195">
        <f>INDEX(FactorTable!$B$2:$Y$301, MATCH(ROUND(MIN(300,MAX(1,D195)),0), FactorTable!$A$2:$A$301,0), Skills!M14+1)</f>
        <v/>
      </c>
      <c r="F195">
        <f>IF(Skills!N14=TRUE,(Skills!L14/10)*(E195/1000),Skills!L14/10)+Skills!O14</f>
        <v/>
      </c>
      <c r="G195">
        <f>Calc!G14</f>
        <v/>
      </c>
      <c r="H195">
        <f>Calc!H14</f>
        <v/>
      </c>
      <c r="I195">
        <f>IF(Skills!AA14&lt;&gt;"",1+(Skills!AA14/10)*(U184/1000)/100,1)</f>
        <v/>
      </c>
      <c r="J195">
        <f>((Inputs!$B$6*(1+Inputs!$B$7/100))+(((Inputs!$B$12*(1+Inputs!$B$13/100))-(Inputs!$B$12*(1+Inputs!$B$13/100)))+0.25*(Inputs!$B$14-Inputs!$B$14))*(1+Inputs!$B$7/100))*(F195/100)</f>
        <v/>
      </c>
      <c r="K195">
        <f>J195*(1+((Inputs!$B$12*(1+Inputs!$B$13/100))*0.01+Inputs!$B$14*0.0025)/100)*(1+(Inputs!$B$15+1)/100)*(1+Inputs!$B$16/100)*(5000/(6000+Inputs!$B$43*(1-Inputs!$B$19/100)))*(1+(Inputs!$B$24+((C211=TRUE)*(F211-Calc!F30)))/100)*(1+Skills!R14/100)*(1+(IF(Skills!A14="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195)</f>
        <v/>
      </c>
      <c r="L195">
        <f>K195*(MIN(Inputs!$B$22+((C205=TRUE)*(F205-Calc!F24)),Inputs!$B$23)/100+Inputs!$B$23/100)/2</f>
        <v/>
      </c>
      <c r="M195">
        <f>L195*(1+(Inputs!$B$10+((C207=TRUE)*(F207-Calc!F26))+B224)/100)</f>
        <v/>
      </c>
      <c r="N195">
        <f>L195*(1-MIN((Inputs!$B$9+((C206=TRUE)*(F206-Calc!F25))+B221),100)/100)+M195*(MIN((Inputs!$B$9+((C206=TRUE)*(F206-Calc!F25))+B221),100)/100)</f>
        <v/>
      </c>
      <c r="O195">
        <f>(1-Summary!$B$55)*T195+Summary!$B$55*V195</f>
        <v/>
      </c>
      <c r="P195">
        <f>IF(B225=0,0,O195/B225)</f>
        <v/>
      </c>
      <c r="Q195">
        <f>IFERROR(1/IF(Inputs!$B$39="pvp",15,MAX(0.1,Skills!D14-IF(Skills!E14=TRUE,Inputs!$B$32,0))),0)</f>
        <v/>
      </c>
      <c r="R195">
        <f>IF(AND(Inputs!$B$39&lt;&gt;"pvp",Inputs!$B$44&gt;0),IF(MAX(0,Inputs!$B$44-B226)&lt;=0,0,(INT(MAX(0,Inputs!$B$44-B226)/IF(Inputs!$B$39="pvp",15,MAX(0.1,Skills!D14-IF(Skills!E14=TRUE,Inputs!$B$32,0))))+1)),0)</f>
        <v/>
      </c>
      <c r="S195">
        <f>IFERROR(O195/N195,0)</f>
        <v/>
      </c>
      <c r="T195">
        <f>IF(C195,(H195*N195*IF(AND(Inputs!$B$39&lt;&gt;"pvp",Inputs!$B$44&gt;0),((Skills!G14*((R195-1)*IF(Skills!H14&gt;0,Skills!I14/Skills!H14,1)+IF(Skills!H14&gt;0,MIN(Skills!I14,MAX(0,MAX(0,Inputs!$B$44-B226)-((R195-1)*IF(Inputs!$B$39="pvp",15,MAX(0.1,Skills!D14-IF(Skills!E14=TRUE,Inputs!$B$32,0))))))/Skills!H14,1)))/Inputs!$B$44),G195*Q195))*IF(Inputs!$B$39="pvp",1,1+(Inputs!$B$20+((C208=TRUE)*(F208-Calc!F27))+Skills!P14+B222)/100),0)</f>
        <v/>
      </c>
      <c r="V195">
        <f>IF(C195,(H195*N195*IF(AND(Inputs!$B$39&lt;&gt;"pvp",Inputs!$B$44&gt;0),((Skills!G14*((R195-1)*IF(Skills!H14&gt;0,Skills!I14/Skills!H14,1)+IF(Skills!H14&gt;0,MIN(Skills!I14,MAX(0,MAX(0,Inputs!$B$44-B226)-((R195-1)*IF(Inputs!$B$39="pvp",15,MAX(0.1,Skills!D14-IF(Skills!E14=TRUE,Inputs!$B$32,0))))))/Skills!H14,1)))/Inputs!$B$44),G195*Q195))*IF(Inputs!$B$39="pvp",1,(1+(Inputs!$B$21+Skills!Q14+B222)/100)*(MIN(Skills!W14,Inputs!$B$37))),0)</f>
        <v/>
      </c>
    </row>
    <row r="196">
      <c r="A196">
        <f>Skills!A15</f>
        <v/>
      </c>
      <c r="B196">
        <f>Skills!B15</f>
        <v/>
      </c>
      <c r="C196">
        <f>Inputs!$B$3&gt;=110</f>
        <v/>
      </c>
      <c r="D196">
        <f>IF(Skills!C15=1,60+Inputs!$B$25+Inputs!$B$29,IF(Skills!C15=2,90+Inputs!$B$26+Inputs!$B$29,IF(Skills!C15=3,120+Inputs!$B$27+Inputs!$B$29,MAX(0,(Inputs!$B$3-100)*3)+Inputs!$B$28+Inputs!$B$29)))</f>
        <v/>
      </c>
      <c r="E196">
        <f>INDEX(FactorTable!$B$2:$Y$301, MATCH(ROUND(MIN(300,MAX(1,D196)),0), FactorTable!$A$2:$A$301,0), Skills!M15+1)</f>
        <v/>
      </c>
      <c r="F196">
        <f>IF(Skills!N15=TRUE,(Skills!L15/10)*(E196/1000),Skills!L15/10)+Skills!O15</f>
        <v/>
      </c>
      <c r="G196">
        <f>Calc!G15</f>
        <v/>
      </c>
      <c r="H196">
        <f>Calc!H15</f>
        <v/>
      </c>
      <c r="I196">
        <f>IF(Skills!AA15&lt;&gt;"",1+(Skills!AA15/10)*(U184/1000)/100,1)</f>
        <v/>
      </c>
      <c r="J196" t="inlineStr"/>
      <c r="K196" t="inlineStr"/>
      <c r="L196" t="inlineStr"/>
      <c r="M196" t="inlineStr"/>
      <c r="N196" t="inlineStr"/>
      <c r="O196">
        <f>(1-Summary!$B$55)*T196+Summary!$B$55*V196</f>
        <v/>
      </c>
      <c r="P196">
        <f>IF(B225=0,0,O196/B225)</f>
        <v/>
      </c>
      <c r="Q196">
        <f>IFERROR(1/IF(Inputs!$B$39="pvp",15,MAX(0.1,Skills!D15-IF(Skills!E15=TRUE,Inputs!$B$32,0))),0)</f>
        <v/>
      </c>
      <c r="R196">
        <f>IF(AND(Inputs!$B$39&lt;&gt;"pvp",Inputs!$B$44&gt;0),IF(Inputs!$B$44&lt;=0,0,(INT(Inputs!$B$44/IF(Inputs!$B$39="pvp",15,MAX(0.1,Skills!D15-IF(Skills!E15=TRUE,Inputs!$B$32,0))))+1)),0)</f>
        <v/>
      </c>
      <c r="S196">
        <f>IFERROR(O196/N196,0)</f>
        <v/>
      </c>
      <c r="T196" t="n">
        <v>0</v>
      </c>
      <c r="V196" t="n">
        <v>0</v>
      </c>
    </row>
    <row r="197">
      <c r="A197">
        <f>Skills!A16</f>
        <v/>
      </c>
      <c r="B197">
        <f>Skills!B16</f>
        <v/>
      </c>
      <c r="C197">
        <f>Inputs!$B$3&gt;=110</f>
        <v/>
      </c>
      <c r="D197">
        <f>IF(Skills!C16=1,60+Inputs!$B$25+Inputs!$B$29,IF(Skills!C16=2,90+Inputs!$B$26+Inputs!$B$29,IF(Skills!C16=3,120+Inputs!$B$27+Inputs!$B$29,MAX(0,(Inputs!$B$3-100)*3)+Inputs!$B$28+Inputs!$B$29)))</f>
        <v/>
      </c>
      <c r="E197">
        <f>INDEX(FactorTable!$B$2:$Y$301, MATCH(ROUND(MIN(300,MAX(1,D197)),0), FactorTable!$A$2:$A$301,0), Skills!M16+1)</f>
        <v/>
      </c>
      <c r="F197">
        <f>IF(Skills!N16=TRUE,(Skills!L16/10)*(E197/1000),Skills!L16/10)+Skills!O16</f>
        <v/>
      </c>
      <c r="G197">
        <f>Calc!G16</f>
        <v/>
      </c>
      <c r="H197">
        <f>Calc!H16</f>
        <v/>
      </c>
      <c r="I197">
        <f>IF(Skills!AA16&lt;&gt;"",1+(Skills!AA16/10)*(U184/1000)/100,1)</f>
        <v/>
      </c>
      <c r="J197" t="inlineStr"/>
      <c r="K197" t="inlineStr"/>
      <c r="L197" t="inlineStr"/>
      <c r="M197" t="inlineStr"/>
      <c r="N197" t="inlineStr"/>
      <c r="O197">
        <f>(1-Summary!$B$55)*T197+Summary!$B$55*V197</f>
        <v/>
      </c>
      <c r="P197">
        <f>IF(B225=0,0,O197/B225)</f>
        <v/>
      </c>
      <c r="Q197">
        <f>IFERROR(1/IF(Inputs!$B$39="pvp",15,MAX(0.1,Skills!D16-IF(Skills!E16=TRUE,Inputs!$B$32,0))),0)</f>
        <v/>
      </c>
      <c r="R197">
        <f>IF(AND(Inputs!$B$39&lt;&gt;"pvp",Inputs!$B$44&gt;0),IF(Inputs!$B$44&lt;=0,0,(INT(Inputs!$B$44/IF(Inputs!$B$39="pvp",15,MAX(0.1,Skills!D16-IF(Skills!E16=TRUE,Inputs!$B$32,0))))+1)),0)</f>
        <v/>
      </c>
      <c r="S197">
        <f>IFERROR(O197/N197,0)</f>
        <v/>
      </c>
      <c r="T197" t="n">
        <v>0</v>
      </c>
      <c r="V197" t="n">
        <v>0</v>
      </c>
    </row>
    <row r="198">
      <c r="A198">
        <f>Skills!A17</f>
        <v/>
      </c>
      <c r="B198">
        <f>Skills!B17</f>
        <v/>
      </c>
      <c r="C198">
        <f>Inputs!$B$3&gt;=115</f>
        <v/>
      </c>
      <c r="D198">
        <f>IF(Skills!C17=1,60+Inputs!$B$25+Inputs!$B$29,IF(Skills!C17=2,90+Inputs!$B$26+Inputs!$B$29,IF(Skills!C17=3,120+Inputs!$B$27+Inputs!$B$29,MAX(0,(Inputs!$B$3-100)*3)+Inputs!$B$28+Inputs!$B$29)))</f>
        <v/>
      </c>
      <c r="E198">
        <f>INDEX(FactorTable!$B$2:$Y$301, MATCH(ROUND(MIN(300,MAX(1,D198)),0), FactorTable!$A$2:$A$301,0), Skills!M17+1)</f>
        <v/>
      </c>
      <c r="F198">
        <f>IF(Skills!N17=TRUE,(Skills!L17/10)*(E198/1000),Skills!L17/10)+Skills!O17</f>
        <v/>
      </c>
      <c r="G198">
        <f>Calc!G17</f>
        <v/>
      </c>
      <c r="H198">
        <f>Calc!H17</f>
        <v/>
      </c>
      <c r="I198">
        <f>IF(Skills!AA17&lt;&gt;"",1+(Skills!AA17/10)*(U184/1000)/100,1)</f>
        <v/>
      </c>
      <c r="J198">
        <f>((Inputs!$B$6*(1+Inputs!$B$7/100))+(((Inputs!$B$12*(1+Inputs!$B$13/100))-(Inputs!$B$12*(1+Inputs!$B$13/100)))+0.25*(Inputs!$B$14-Inputs!$B$14))*(1+Inputs!$B$7/100))*(F198/100)</f>
        <v/>
      </c>
      <c r="K198">
        <f>J198*(1+((Inputs!$B$12*(1+Inputs!$B$13/100))*0.01+Inputs!$B$14*0.0025)/100)*(1+(Inputs!$B$15+1)/100)*(1+Inputs!$B$16/100)*(5000/(6000+Inputs!$B$43*(1-Inputs!$B$19/100)))*(1+(Inputs!$B$24+((C211=TRUE)*(F211-Calc!F30)))/100)*(1+Skills!R17/100)*(1+(IF(Skills!A17="SHOWDOWN",Inputs!$B$17+((C204=TRUE)*(F204-Calc!F23)),Inputs!$B$18+((C210=TRUE)*(F210-Calc!F29))))/100)*(((1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B223*I198)</f>
        <v/>
      </c>
      <c r="L198">
        <f>K198*(MIN(Inputs!$B$22+((C205=TRUE)*(F205-Calc!F24)),Inputs!$B$23)/100+Inputs!$B$23/100)/2</f>
        <v/>
      </c>
      <c r="M198">
        <f>L198*(1+(Inputs!$B$10+((C207=TRUE)*(F207-Calc!F26))+B224)/100)</f>
        <v/>
      </c>
      <c r="N198">
        <f>L198*(1-MIN((Inputs!$B$9+((C206=TRUE)*(F206-Calc!F25))+B221),100)/100)+M198*(MIN((Inputs!$B$9+((C206=TRUE)*(F206-Calc!F25))+B221),100)/100)</f>
        <v/>
      </c>
      <c r="O198">
        <f>(1-Summary!$B$55)*T198+Summary!$B$55*V198</f>
        <v/>
      </c>
      <c r="P198">
        <f>IF(B225=0,0,O198/B225)</f>
        <v/>
      </c>
      <c r="Q198" t="n">
        <v>0</v>
      </c>
      <c r="R198" t="n">
        <v>0</v>
      </c>
      <c r="S198">
        <f>IFERROR(O198/N198,0)</f>
        <v/>
      </c>
      <c r="T198">
        <f>IF(C198,(Inputs!$B$38*0.2*N198)*IF(Inputs!$B$39="pvp",1,1+(Inputs!$B$20+((C208=TRUE)*(F208-Calc!F27))+Skills!P17+B222)/100),0)</f>
        <v/>
      </c>
      <c r="V198">
        <f>IF(C198,(Inputs!$B$38*0.2*N198)*IF(Inputs!$B$39="pvp",1,(1+(Inputs!$B$21+Skills!Q17+B222)/100)*(MIN(Skills!W17,Inputs!$B$37))),0)</f>
        <v/>
      </c>
    </row>
    <row r="199">
      <c r="A199">
        <f>Skills!A18</f>
        <v/>
      </c>
      <c r="B199">
        <f>Skills!B18</f>
        <v/>
      </c>
      <c r="C199">
        <f>Inputs!$B$3&gt;=115</f>
        <v/>
      </c>
      <c r="D199">
        <f>IF(Skills!C18=1,60+Inputs!$B$25+Inputs!$B$29,IF(Skills!C18=2,90+Inputs!$B$26+Inputs!$B$29,IF(Skills!C18=3,120+Inputs!$B$27+Inputs!$B$29,MAX(0,(Inputs!$B$3-100)*3)+Inputs!$B$28+Inputs!$B$29)))</f>
        <v/>
      </c>
      <c r="E199">
        <f>INDEX(FactorTable!$B$2:$Y$301, MATCH(ROUND(MIN(300,MAX(1,D199)),0), FactorTable!$A$2:$A$301,0), Skills!M18+1)</f>
        <v/>
      </c>
      <c r="F199">
        <f>IF(Skills!N18=TRUE,(Skills!L18/10)*(E199/1000),Skills!L18/10)+Skills!O18</f>
        <v/>
      </c>
      <c r="G199">
        <f>Calc!G18</f>
        <v/>
      </c>
      <c r="H199">
        <f>Calc!H18</f>
        <v/>
      </c>
      <c r="I199">
        <f>IF(Skills!AA18&lt;&gt;"",1+(Skills!AA18/10)*(U184/1000)/100,1)</f>
        <v/>
      </c>
      <c r="J199" t="inlineStr"/>
      <c r="K199" t="inlineStr"/>
      <c r="L199" t="inlineStr"/>
      <c r="M199" t="inlineStr"/>
      <c r="N199" t="inlineStr"/>
      <c r="O199">
        <f>(1-Summary!$B$55)*T199+Summary!$B$55*V199</f>
        <v/>
      </c>
      <c r="P199">
        <f>IF(B225=0,0,O199/B225)</f>
        <v/>
      </c>
      <c r="Q199" t="n">
        <v>0</v>
      </c>
      <c r="R199" t="n">
        <v>0</v>
      </c>
      <c r="S199">
        <f>IFERROR(O199/N199,0)</f>
        <v/>
      </c>
      <c r="T199" t="n">
        <v>0</v>
      </c>
      <c r="V199" t="n">
        <v>0</v>
      </c>
    </row>
    <row r="200">
      <c r="A200">
        <f>Skills!A19</f>
        <v/>
      </c>
      <c r="B200">
        <f>Skills!B19</f>
        <v/>
      </c>
      <c r="C200">
        <f>TRUE</f>
        <v/>
      </c>
      <c r="D200">
        <f>IF(Skills!C19=1,60+Inputs!$B$25+Inputs!$B$29,IF(Skills!C19=2,90+Inputs!$B$26+Inputs!$B$29,IF(Skills!C19=3,120+Inputs!$B$27+Inputs!$B$29,MAX(0,(Inputs!$B$3-100)*3)+Inputs!$B$28+Inputs!$B$29)))</f>
        <v/>
      </c>
      <c r="E200">
        <f>INDEX(FactorTable!$B$2:$Y$301, MATCH(ROUND(MIN(300,MAX(1,D200)),0), FactorTable!$A$2:$A$301,0), Skills!M19+1)</f>
        <v/>
      </c>
      <c r="F200">
        <f>IF(Skills!N19=TRUE,(Skills!L19/10)*(E200/1000),Skills!L19/10)+Skills!O19</f>
        <v/>
      </c>
      <c r="G200">
        <f>Calc!G19</f>
        <v/>
      </c>
      <c r="H200">
        <f>Calc!H19</f>
        <v/>
      </c>
      <c r="I200">
        <f>IF(Skills!AA19&lt;&gt;"",1+(Skills!AA19/10)*(U184/1000)/100,1)</f>
        <v/>
      </c>
      <c r="J200" t="inlineStr"/>
      <c r="K200" t="inlineStr"/>
      <c r="L200" t="inlineStr"/>
      <c r="M200" t="inlineStr"/>
      <c r="N200" t="inlineStr"/>
      <c r="O200">
        <f>(1-Summary!$B$55)*T200+Summary!$B$55*V200</f>
        <v/>
      </c>
      <c r="P200">
        <f>IF(B225=0,0,O200/B225)</f>
        <v/>
      </c>
      <c r="Q200">
        <f>IFERROR(1/IF(Inputs!$B$39="pvp",15,MAX(0.1,Skills!D19-IF(Skills!E19=TRUE,Inputs!$B$32,0))),0)</f>
        <v/>
      </c>
      <c r="R200">
        <f>IF(AND(Inputs!$B$39&lt;&gt;"pvp",Inputs!$B$44&gt;0),IF(Inputs!$B$44&lt;=0,0,(INT(Inputs!$B$44/IF(Inputs!$B$39="pvp",15,MAX(0.1,Skills!D19-IF(Skills!E19=TRUE,Inputs!$B$32,0))))+1)),0)</f>
        <v/>
      </c>
      <c r="S200">
        <f>IFERROR(O200/N200,0)</f>
        <v/>
      </c>
      <c r="T200" t="n">
        <v>0</v>
      </c>
      <c r="V200" t="n">
        <v>0</v>
      </c>
    </row>
    <row r="201">
      <c r="A201">
        <f>Skills!A20</f>
        <v/>
      </c>
      <c r="B201">
        <f>Skills!B20</f>
        <v/>
      </c>
      <c r="C201">
        <f>Inputs!$B$3&gt;=15</f>
        <v/>
      </c>
      <c r="D201">
        <f>IF(Skills!C20=1,60+Inputs!$B$25+Inputs!$B$29,IF(Skills!C20=2,90+Inputs!$B$26+Inputs!$B$29,IF(Skills!C20=3,120+Inputs!$B$27+Inputs!$B$29,MAX(0,(Inputs!$B$3-100)*3)+Inputs!$B$28+Inputs!$B$29)))</f>
        <v/>
      </c>
      <c r="E201">
        <f>INDEX(FactorTable!$B$2:$Y$301, MATCH(ROUND(MIN(300,MAX(1,D201)),0), FactorTable!$A$2:$A$301,0), Skills!M20+1)</f>
        <v/>
      </c>
      <c r="F201">
        <f>IF(Skills!N20=TRUE,(Skills!L20/10)*(E201/1000),Skills!L20/10)+Skills!O20</f>
        <v/>
      </c>
      <c r="G201">
        <f>Calc!G20</f>
        <v/>
      </c>
      <c r="H201">
        <f>Calc!H20</f>
        <v/>
      </c>
      <c r="I201">
        <f>IF(Skills!AA20&lt;&gt;"",1+(Skills!AA20/10)*(U184/1000)/100,1)</f>
        <v/>
      </c>
      <c r="J201" t="inlineStr"/>
      <c r="K201" t="inlineStr"/>
      <c r="L201" t="inlineStr"/>
      <c r="M201" t="inlineStr"/>
      <c r="N201" t="inlineStr"/>
      <c r="O201">
        <f>(1-Summary!$B$55)*T201+Summary!$B$55*V201</f>
        <v/>
      </c>
      <c r="P201">
        <f>IF(B225=0,0,O201/B225)</f>
        <v/>
      </c>
      <c r="Q201">
        <f>IFERROR(1/IF(Inputs!$B$39="pvp",15,MAX(0.1,Skills!D20-IF(Skills!E20=TRUE,Inputs!$B$32,0))),0)</f>
        <v/>
      </c>
      <c r="R201">
        <f>IF(AND(Inputs!$B$39&lt;&gt;"pvp",Inputs!$B$44&gt;0),IF(Inputs!$B$44&lt;=0,0,(INT(Inputs!$B$44/IF(Inputs!$B$39="pvp",15,MAX(0.1,Skills!D20-IF(Skills!E20=TRUE,Inputs!$B$32,0))))+1)),0)</f>
        <v/>
      </c>
      <c r="S201">
        <f>IFERROR(O201/N201,0)</f>
        <v/>
      </c>
      <c r="T201" t="n">
        <v>0</v>
      </c>
      <c r="V201" t="n">
        <v>0</v>
      </c>
    </row>
    <row r="202">
      <c r="A202">
        <f>Skills!A21</f>
        <v/>
      </c>
      <c r="B202">
        <f>Skills!B21</f>
        <v/>
      </c>
      <c r="C202">
        <f>Inputs!$B$3&gt;=15</f>
        <v/>
      </c>
      <c r="D202">
        <f>IF(Skills!C21=1,60+Inputs!$B$25+Inputs!$B$29,IF(Skills!C21=2,90+Inputs!$B$26+Inputs!$B$29,IF(Skills!C21=3,120+Inputs!$B$27+Inputs!$B$29,MAX(0,(Inputs!$B$3-100)*3)+Inputs!$B$28+Inputs!$B$29)))</f>
        <v/>
      </c>
      <c r="E202">
        <f>INDEX(FactorTable!$B$2:$Y$301, MATCH(ROUND(MIN(300,MAX(1,D202)),0), FactorTable!$A$2:$A$301,0), Skills!M21+1)</f>
        <v/>
      </c>
      <c r="F202">
        <f>IF(Skills!N21=TRUE,(Skills!L21/10)*(E202/1000),Skills!L21/10)+Skills!O21</f>
        <v/>
      </c>
      <c r="G202">
        <f>Calc!G21</f>
        <v/>
      </c>
      <c r="H202">
        <f>Calc!H21</f>
        <v/>
      </c>
      <c r="I202">
        <f>IF(Skills!AA21&lt;&gt;"",1+(Skills!AA21/10)*(U184/1000)/100,1)</f>
        <v/>
      </c>
      <c r="J202" t="inlineStr"/>
      <c r="K202" t="inlineStr"/>
      <c r="L202" t="inlineStr"/>
      <c r="M202" t="inlineStr"/>
      <c r="N202" t="inlineStr"/>
      <c r="O202">
        <f>(1-Summary!$B$55)*T202+Summary!$B$55*V202</f>
        <v/>
      </c>
      <c r="P202">
        <f>IF(B225=0,0,O202/B225)</f>
        <v/>
      </c>
      <c r="Q202">
        <f>IFERROR(1/IF(Inputs!$B$39="pvp",15,MAX(0.1,Skills!D21-IF(Skills!E21=TRUE,Inputs!$B$32,0))),0)</f>
        <v/>
      </c>
      <c r="R202">
        <f>IF(AND(Inputs!$B$39&lt;&gt;"pvp",Inputs!$B$44&gt;0),IF(Inputs!$B$44&lt;=0,0,(INT(Inputs!$B$44/IF(Inputs!$B$39="pvp",15,MAX(0.1,Skills!D21-IF(Skills!E21=TRUE,Inputs!$B$32,0))))+1)),0)</f>
        <v/>
      </c>
      <c r="S202">
        <f>IFERROR(O202/N202,0)</f>
        <v/>
      </c>
      <c r="T202" t="n">
        <v>0</v>
      </c>
      <c r="V202" t="n">
        <v>0</v>
      </c>
    </row>
    <row r="203">
      <c r="A203">
        <f>Skills!A22</f>
        <v/>
      </c>
      <c r="B203">
        <f>Skills!B22</f>
        <v/>
      </c>
      <c r="C203">
        <f>Inputs!$B$3&gt;=33</f>
        <v/>
      </c>
      <c r="D203">
        <f>IF(Skills!C22=1,60+Inputs!$B$25+Inputs!$B$29,IF(Skills!C22=2,90+Inputs!$B$26+Inputs!$B$29,IF(Skills!C22=3,120+Inputs!$B$27+Inputs!$B$29,MAX(0,(Inputs!$B$3-100)*3)+Inputs!$B$28+Inputs!$B$29)))</f>
        <v/>
      </c>
      <c r="E203">
        <f>INDEX(FactorTable!$B$2:$Y$301, MATCH(ROUND(MIN(300,MAX(1,D203)),0), FactorTable!$A$2:$A$301,0), Skills!M22+1)</f>
        <v/>
      </c>
      <c r="F203">
        <f>IF(Skills!N22=TRUE,(Skills!L22/10)*(E203/1000),Skills!L22/10)+Skills!O22</f>
        <v/>
      </c>
      <c r="G203">
        <f>Calc!G22</f>
        <v/>
      </c>
      <c r="H203">
        <f>Calc!H22</f>
        <v/>
      </c>
      <c r="I203">
        <f>IF(Skills!AA22&lt;&gt;"",1+(Skills!AA22/10)*(U184/1000)/100,1)</f>
        <v/>
      </c>
      <c r="J203" t="inlineStr"/>
      <c r="K203" t="inlineStr"/>
      <c r="L203" t="inlineStr"/>
      <c r="M203" t="inlineStr"/>
      <c r="N203" t="inlineStr"/>
      <c r="O203">
        <f>(1-Summary!$B$55)*T203+Summary!$B$55*V203</f>
        <v/>
      </c>
      <c r="P203">
        <f>IF(B225=0,0,O203/B225)</f>
        <v/>
      </c>
      <c r="Q203" t="n">
        <v>0</v>
      </c>
      <c r="R203" t="n">
        <v>0</v>
      </c>
      <c r="S203">
        <f>IFERROR(O203/N203,0)</f>
        <v/>
      </c>
      <c r="T203" t="n">
        <v>0</v>
      </c>
      <c r="V203" t="n">
        <v>0</v>
      </c>
    </row>
    <row r="204">
      <c r="A204">
        <f>Skills!A23</f>
        <v/>
      </c>
      <c r="B204">
        <f>Skills!B23</f>
        <v/>
      </c>
      <c r="C204">
        <f>Inputs!$B$3&gt;=38</f>
        <v/>
      </c>
      <c r="D204">
        <f>IF(Skills!C23=1,60+Inputs!$B$25+Inputs!$B$29,IF(Skills!C23=2,90+Inputs!$B$26+Inputs!$B$29,IF(Skills!C23=3,120+Inputs!$B$27+Inputs!$B$29,MAX(0,(Inputs!$B$3-100)*3)+Inputs!$B$28+Inputs!$B$29)))</f>
        <v/>
      </c>
      <c r="E204">
        <f>INDEX(FactorTable!$B$2:$Y$301, MATCH(ROUND(MIN(300,MAX(1,D204)),0), FactorTable!$A$2:$A$301,0), Skills!M23+1)</f>
        <v/>
      </c>
      <c r="F204">
        <f>IF(Skills!N23=TRUE,(Skills!L23/10)*(E204/1000),Skills!L23/10)+Skills!O23</f>
        <v/>
      </c>
      <c r="G204">
        <f>Calc!G23</f>
        <v/>
      </c>
      <c r="H204">
        <f>Calc!H23</f>
        <v/>
      </c>
      <c r="I204">
        <f>IF(Skills!AA23&lt;&gt;"",1+(Skills!AA23/10)*(U184/1000)/100,1)</f>
        <v/>
      </c>
      <c r="J204" t="inlineStr"/>
      <c r="K204" t="inlineStr"/>
      <c r="L204" t="inlineStr"/>
      <c r="M204" t="inlineStr"/>
      <c r="N204" t="inlineStr"/>
      <c r="O204">
        <f>(1-Summary!$B$55)*T204+Summary!$B$55*V204</f>
        <v/>
      </c>
      <c r="P204">
        <f>IF(B225=0,0,O204/B225)</f>
        <v/>
      </c>
      <c r="Q204" t="n">
        <v>0</v>
      </c>
      <c r="R204" t="n">
        <v>0</v>
      </c>
      <c r="S204">
        <f>IFERROR(O204/N204,0)</f>
        <v/>
      </c>
      <c r="T204" t="n">
        <v>0</v>
      </c>
      <c r="V204" t="n">
        <v>0</v>
      </c>
    </row>
    <row r="205">
      <c r="A205">
        <f>Skills!A24</f>
        <v/>
      </c>
      <c r="B205">
        <f>Skills!B24</f>
        <v/>
      </c>
      <c r="C205">
        <f>Inputs!$B$3&gt;=40</f>
        <v/>
      </c>
      <c r="D205">
        <f>IF(Skills!C24=1,60+Inputs!$B$25+Inputs!$B$29,IF(Skills!C24=2,90+Inputs!$B$26+Inputs!$B$29,IF(Skills!C24=3,120+Inputs!$B$27+Inputs!$B$29,MAX(0,(Inputs!$B$3-100)*3)+Inputs!$B$28+Inputs!$B$29)))</f>
        <v/>
      </c>
      <c r="E205">
        <f>INDEX(FactorTable!$B$2:$Y$301, MATCH(ROUND(MIN(300,MAX(1,D205)),0), FactorTable!$A$2:$A$301,0), Skills!M24+1)</f>
        <v/>
      </c>
      <c r="F205">
        <f>IF(Skills!N24=TRUE,(Skills!L24/10)*(E205/1000),Skills!L24/10)+Skills!O24</f>
        <v/>
      </c>
      <c r="G205">
        <f>Calc!G24</f>
        <v/>
      </c>
      <c r="H205">
        <f>Calc!H24</f>
        <v/>
      </c>
      <c r="I205">
        <f>IF(Skills!AA24&lt;&gt;"",1+(Skills!AA24/10)*(U184/1000)/100,1)</f>
        <v/>
      </c>
      <c r="J205" t="inlineStr"/>
      <c r="K205" t="inlineStr"/>
      <c r="L205" t="inlineStr"/>
      <c r="M205" t="inlineStr"/>
      <c r="N205" t="inlineStr"/>
      <c r="O205">
        <f>(1-Summary!$B$55)*T205+Summary!$B$55*V205</f>
        <v/>
      </c>
      <c r="P205">
        <f>IF(B225=0,0,O205/B225)</f>
        <v/>
      </c>
      <c r="Q205" t="n">
        <v>0</v>
      </c>
      <c r="R205" t="n">
        <v>0</v>
      </c>
      <c r="S205">
        <f>IFERROR(O205/N205,0)</f>
        <v/>
      </c>
      <c r="T205" t="n">
        <v>0</v>
      </c>
      <c r="V205" t="n">
        <v>0</v>
      </c>
    </row>
    <row r="206">
      <c r="A206">
        <f>Skills!A25</f>
        <v/>
      </c>
      <c r="B206">
        <f>Skills!B25</f>
        <v/>
      </c>
      <c r="C206">
        <f>Inputs!$B$3&gt;=45</f>
        <v/>
      </c>
      <c r="D206">
        <f>IF(Skills!C25=1,60+Inputs!$B$25+Inputs!$B$29,IF(Skills!C25=2,90+Inputs!$B$26+Inputs!$B$29,IF(Skills!C25=3,120+Inputs!$B$27+Inputs!$B$29,MAX(0,(Inputs!$B$3-100)*3)+Inputs!$B$28+Inputs!$B$29)))</f>
        <v/>
      </c>
      <c r="E206">
        <f>INDEX(FactorTable!$B$2:$Y$301, MATCH(ROUND(MIN(300,MAX(1,D206)),0), FactorTable!$A$2:$A$301,0), Skills!M25+1)</f>
        <v/>
      </c>
      <c r="F206">
        <f>IF(Skills!N25=TRUE,(Skills!L25/10)*(E206/1000),Skills!L25/10)+Skills!O25</f>
        <v/>
      </c>
      <c r="G206">
        <f>Calc!G25</f>
        <v/>
      </c>
      <c r="H206">
        <f>Calc!H25</f>
        <v/>
      </c>
      <c r="I206">
        <f>IF(Skills!AA25&lt;&gt;"",1+(Skills!AA25/10)*(U184/1000)/100,1)</f>
        <v/>
      </c>
      <c r="J206" t="inlineStr"/>
      <c r="K206" t="inlineStr"/>
      <c r="L206" t="inlineStr"/>
      <c r="M206" t="inlineStr"/>
      <c r="N206" t="inlineStr"/>
      <c r="O206">
        <f>(1-Summary!$B$55)*T206+Summary!$B$55*V206</f>
        <v/>
      </c>
      <c r="P206">
        <f>IF(B225=0,0,O206/B225)</f>
        <v/>
      </c>
      <c r="Q206" t="n">
        <v>0</v>
      </c>
      <c r="R206" t="n">
        <v>0</v>
      </c>
      <c r="S206">
        <f>IFERROR(O206/N206,0)</f>
        <v/>
      </c>
      <c r="T206" t="n">
        <v>0</v>
      </c>
      <c r="V206" t="n">
        <v>0</v>
      </c>
    </row>
    <row r="207">
      <c r="A207">
        <f>Skills!A26</f>
        <v/>
      </c>
      <c r="B207">
        <f>Skills!B26</f>
        <v/>
      </c>
      <c r="C207">
        <f>Inputs!$B$3&gt;=45</f>
        <v/>
      </c>
      <c r="D207">
        <f>IF(Skills!C26=1,60+Inputs!$B$25+Inputs!$B$29,IF(Skills!C26=2,90+Inputs!$B$26+Inputs!$B$29,IF(Skills!C26=3,120+Inputs!$B$27+Inputs!$B$29,MAX(0,(Inputs!$B$3-100)*3)+Inputs!$B$28+Inputs!$B$29)))</f>
        <v/>
      </c>
      <c r="E207">
        <f>INDEX(FactorTable!$B$2:$Y$301, MATCH(ROUND(MIN(300,MAX(1,D207)),0), FactorTable!$A$2:$A$301,0), Skills!M26+1)</f>
        <v/>
      </c>
      <c r="F207">
        <f>IF(Skills!N26=TRUE,(Skills!L26/10)*(E207/1000),Skills!L26/10)+Skills!O26</f>
        <v/>
      </c>
      <c r="G207">
        <f>Calc!G26</f>
        <v/>
      </c>
      <c r="H207">
        <f>Calc!H26</f>
        <v/>
      </c>
      <c r="I207">
        <f>IF(Skills!AA26&lt;&gt;"",1+(Skills!AA26/10)*(U184/1000)/100,1)</f>
        <v/>
      </c>
      <c r="J207" t="inlineStr"/>
      <c r="K207" t="inlineStr"/>
      <c r="L207" t="inlineStr"/>
      <c r="M207" t="inlineStr"/>
      <c r="N207" t="inlineStr"/>
      <c r="O207">
        <f>(1-Summary!$B$55)*T207+Summary!$B$55*V207</f>
        <v/>
      </c>
      <c r="P207">
        <f>IF(B225=0,0,O207/B225)</f>
        <v/>
      </c>
      <c r="Q207" t="n">
        <v>0</v>
      </c>
      <c r="R207" t="n">
        <v>0</v>
      </c>
      <c r="S207">
        <f>IFERROR(O207/N207,0)</f>
        <v/>
      </c>
      <c r="T207" t="n">
        <v>0</v>
      </c>
      <c r="V207" t="n">
        <v>0</v>
      </c>
    </row>
    <row r="208">
      <c r="A208">
        <f>Skills!A27</f>
        <v/>
      </c>
      <c r="B208">
        <f>Skills!B27</f>
        <v/>
      </c>
      <c r="C208">
        <f>Inputs!$B$3&gt;=72</f>
        <v/>
      </c>
      <c r="D208">
        <f>IF(Skills!C27=1,60+Inputs!$B$25+Inputs!$B$29,IF(Skills!C27=2,90+Inputs!$B$26+Inputs!$B$29,IF(Skills!C27=3,120+Inputs!$B$27+Inputs!$B$29,MAX(0,(Inputs!$B$3-100)*3)+Inputs!$B$28+Inputs!$B$29)))</f>
        <v/>
      </c>
      <c r="E208">
        <f>INDEX(FactorTable!$B$2:$Y$301, MATCH(ROUND(MIN(300,MAX(1,D208)),0), FactorTable!$A$2:$A$301,0), Skills!M27+1)</f>
        <v/>
      </c>
      <c r="F208">
        <f>IF(Skills!N27=TRUE,(Skills!L27/10)*(E208/1000),Skills!L27/10)+Skills!O27</f>
        <v/>
      </c>
      <c r="G208">
        <f>Calc!G27</f>
        <v/>
      </c>
      <c r="H208">
        <f>Calc!H27</f>
        <v/>
      </c>
      <c r="I208">
        <f>IF(Skills!AA27&lt;&gt;"",1+(Skills!AA27/10)*(U184/1000)/100,1)</f>
        <v/>
      </c>
      <c r="J208" t="inlineStr"/>
      <c r="K208" t="inlineStr"/>
      <c r="L208" t="inlineStr"/>
      <c r="M208" t="inlineStr"/>
      <c r="N208" t="inlineStr"/>
      <c r="O208">
        <f>(1-Summary!$B$55)*T208+Summary!$B$55*V208</f>
        <v/>
      </c>
      <c r="P208">
        <f>IF(B225=0,0,O208/B225)</f>
        <v/>
      </c>
      <c r="Q208" t="n">
        <v>0</v>
      </c>
      <c r="R208" t="n">
        <v>0</v>
      </c>
      <c r="S208">
        <f>IFERROR(O208/N208,0)</f>
        <v/>
      </c>
      <c r="T208" t="n">
        <v>0</v>
      </c>
      <c r="V208" t="n">
        <v>0</v>
      </c>
    </row>
    <row r="209">
      <c r="A209">
        <f>Skills!A28</f>
        <v/>
      </c>
      <c r="B209">
        <f>Skills!B28</f>
        <v/>
      </c>
      <c r="C209">
        <f>Inputs!$B$3&gt;=75</f>
        <v/>
      </c>
      <c r="D209">
        <f>IF(Skills!C28=1,60+Inputs!$B$25+Inputs!$B$29,IF(Skills!C28=2,90+Inputs!$B$26+Inputs!$B$29,IF(Skills!C28=3,120+Inputs!$B$27+Inputs!$B$29,MAX(0,(Inputs!$B$3-100)*3)+Inputs!$B$28+Inputs!$B$29)))</f>
        <v/>
      </c>
      <c r="E209">
        <f>INDEX(FactorTable!$B$2:$Y$301, MATCH(ROUND(MIN(300,MAX(1,D209)),0), FactorTable!$A$2:$A$301,0), Skills!M28+1)</f>
        <v/>
      </c>
      <c r="F209">
        <f>IF(Skills!N28=TRUE,(Skills!L28/10)*(E209/1000),Skills!L28/10)+Skills!O28</f>
        <v/>
      </c>
      <c r="G209">
        <f>Calc!G28</f>
        <v/>
      </c>
      <c r="H209">
        <f>Calc!H28</f>
        <v/>
      </c>
      <c r="I209">
        <f>IF(Skills!AA28&lt;&gt;"",1+(Skills!AA28/10)*(U184/1000)/100,1)</f>
        <v/>
      </c>
      <c r="J209" t="inlineStr"/>
      <c r="K209" t="inlineStr"/>
      <c r="L209" t="inlineStr"/>
      <c r="M209" t="inlineStr"/>
      <c r="N209" t="inlineStr"/>
      <c r="O209">
        <f>(1-Summary!$B$55)*T209+Summary!$B$55*V209</f>
        <v/>
      </c>
      <c r="P209">
        <f>IF(B225=0,0,O209/B225)</f>
        <v/>
      </c>
      <c r="Q209" t="n">
        <v>0</v>
      </c>
      <c r="R209" t="n">
        <v>0</v>
      </c>
      <c r="S209">
        <f>IFERROR(O209/N209,0)</f>
        <v/>
      </c>
      <c r="T209" t="n">
        <v>0</v>
      </c>
      <c r="V209" t="n">
        <v>0</v>
      </c>
    </row>
    <row r="210">
      <c r="A210">
        <f>Skills!A29</f>
        <v/>
      </c>
      <c r="B210">
        <f>Skills!B29</f>
        <v/>
      </c>
      <c r="C210">
        <f>Inputs!$B$3&gt;=120</f>
        <v/>
      </c>
      <c r="D210">
        <f>IF(Skills!C29=1,60+Inputs!$B$25+Inputs!$B$29,IF(Skills!C29=2,90+Inputs!$B$26+Inputs!$B$29,IF(Skills!C29=3,120+Inputs!$B$27+Inputs!$B$29,MAX(0,(Inputs!$B$3-100)*3)+Inputs!$B$28+Inputs!$B$29)))</f>
        <v/>
      </c>
      <c r="E210">
        <f>INDEX(FactorTable!$B$2:$Y$301, MATCH(ROUND(MIN(300,MAX(1,D210)),0), FactorTable!$A$2:$A$301,0), Skills!M29+1)</f>
        <v/>
      </c>
      <c r="F210">
        <f>IF(Skills!N29=TRUE,(Skills!L29/10)*(E210/1000),Skills!L29/10)+Skills!O29</f>
        <v/>
      </c>
      <c r="G210">
        <f>Calc!G29</f>
        <v/>
      </c>
      <c r="H210">
        <f>Calc!H29</f>
        <v/>
      </c>
      <c r="I210">
        <f>IF(Skills!AA29&lt;&gt;"",1+(Skills!AA29/10)*(U184/1000)/100,1)</f>
        <v/>
      </c>
      <c r="J210" t="inlineStr"/>
      <c r="K210" t="inlineStr"/>
      <c r="L210" t="inlineStr"/>
      <c r="M210" t="inlineStr"/>
      <c r="N210" t="inlineStr"/>
      <c r="O210">
        <f>(1-Summary!$B$55)*T210+Summary!$B$55*V210</f>
        <v/>
      </c>
      <c r="P210">
        <f>IF(B225=0,0,O210/B225)</f>
        <v/>
      </c>
      <c r="Q210" t="n">
        <v>0</v>
      </c>
      <c r="R210" t="n">
        <v>0</v>
      </c>
      <c r="S210">
        <f>IFERROR(O210/N210,0)</f>
        <v/>
      </c>
      <c r="T210" t="n">
        <v>0</v>
      </c>
      <c r="V210" t="n">
        <v>0</v>
      </c>
    </row>
    <row r="211">
      <c r="A211">
        <f>Skills!A30</f>
        <v/>
      </c>
      <c r="B211">
        <f>Skills!B30</f>
        <v/>
      </c>
      <c r="C211">
        <f>Inputs!$B$3&gt;=125</f>
        <v/>
      </c>
      <c r="D211">
        <f>IF(Skills!C30=1,60+Inputs!$B$25+Inputs!$B$29,IF(Skills!C30=2,90+Inputs!$B$26+Inputs!$B$29,IF(Skills!C30=3,120+Inputs!$B$27+Inputs!$B$29,MAX(0,(Inputs!$B$3-100)*3)+Inputs!$B$28+Inputs!$B$29)))</f>
        <v/>
      </c>
      <c r="E211">
        <f>INDEX(FactorTable!$B$2:$Y$301, MATCH(ROUND(MIN(300,MAX(1,D211)),0), FactorTable!$A$2:$A$301,0), Skills!M30+1)</f>
        <v/>
      </c>
      <c r="F211">
        <f>IF(Skills!N30=TRUE,(Skills!L30/10)*(E211/1000),Skills!L30/10)+Skills!O30</f>
        <v/>
      </c>
      <c r="G211">
        <f>Calc!G30</f>
        <v/>
      </c>
      <c r="H211">
        <f>Calc!H30</f>
        <v/>
      </c>
      <c r="I211">
        <f>IF(Skills!AA30&lt;&gt;"",1+(Skills!AA30/10)*(U184/1000)/100,1)</f>
        <v/>
      </c>
      <c r="J211" t="inlineStr"/>
      <c r="K211" t="inlineStr"/>
      <c r="L211" t="inlineStr"/>
      <c r="M211" t="inlineStr"/>
      <c r="N211" t="inlineStr"/>
      <c r="O211">
        <f>(1-Summary!$B$55)*T211+Summary!$B$55*V211</f>
        <v/>
      </c>
      <c r="P211">
        <f>IF(B225=0,0,O211/B225)</f>
        <v/>
      </c>
      <c r="Q211" t="n">
        <v>0</v>
      </c>
      <c r="R211" t="n">
        <v>0</v>
      </c>
      <c r="S211">
        <f>IFERROR(O211/N211,0)</f>
        <v/>
      </c>
      <c r="T211" t="n">
        <v>0</v>
      </c>
      <c r="V211" t="n">
        <v>0</v>
      </c>
    </row>
    <row r="212">
      <c r="A212">
        <f>Skills!A31</f>
        <v/>
      </c>
      <c r="B212">
        <f>Skills!B31</f>
        <v/>
      </c>
      <c r="C212">
        <f>Inputs!$B$3&gt;=107</f>
        <v/>
      </c>
      <c r="D212">
        <f>IF(Skills!C31=1,60+Inputs!$B$25+Inputs!$B$29,IF(Skills!C31=2,90+Inputs!$B$26+Inputs!$B$29,IF(Skills!C31=3,120+Inputs!$B$27+Inputs!$B$29,MAX(0,(Inputs!$B$3-100)*3)+Inputs!$B$28+Inputs!$B$29)))</f>
        <v/>
      </c>
      <c r="E212">
        <f>INDEX(FactorTable!$B$2:$Y$301, MATCH(ROUND(MIN(300,MAX(1,D212)),0), FactorTable!$A$2:$A$301,0), Skills!M31+1)</f>
        <v/>
      </c>
      <c r="F212">
        <f>IF(Skills!N31=TRUE,(Skills!L31/10)*(E212/1000),Skills!L31/10)+Skills!O31</f>
        <v/>
      </c>
      <c r="G212">
        <f>Calc!G31</f>
        <v/>
      </c>
      <c r="H212">
        <f>Calc!H31</f>
        <v/>
      </c>
      <c r="I212">
        <f>IF(Skills!AA31&lt;&gt;"",1+(Skills!AA31/10)*(U184/1000)/100,1)</f>
        <v/>
      </c>
      <c r="J212" t="inlineStr"/>
      <c r="K212" t="inlineStr"/>
      <c r="L212" t="inlineStr"/>
      <c r="M212" t="inlineStr"/>
      <c r="N212" t="inlineStr"/>
      <c r="O212">
        <f>(1-Summary!$B$55)*T212+Summary!$B$55*V212</f>
        <v/>
      </c>
      <c r="P212">
        <f>IF(B225=0,0,O212/B225)</f>
        <v/>
      </c>
      <c r="Q212" t="n">
        <v>0</v>
      </c>
      <c r="R212" t="n">
        <v>0</v>
      </c>
      <c r="S212">
        <f>IFERROR(O212/N212,0)</f>
        <v/>
      </c>
      <c r="T212" t="n">
        <v>0</v>
      </c>
      <c r="V212" t="n">
        <v>0</v>
      </c>
    </row>
    <row r="214">
      <c r="A214" t="inlineStr">
        <is>
          <t>Actions Per Second (pre-Adrenalin)</t>
        </is>
      </c>
      <c r="B214">
        <f>1+MIN(150,150*(1-(1-(Inputs!$B$11+((C203=TRUE)*(F203-Calc!F22)))/150)*(1-((C200=TRUE)*F200*IF(AND(Inputs!$B$39&lt;&gt;"pvp",Inputs!$B$44&gt;0),(((R200-1)*(Skills!Y19*(1+Inputs!$B$34/100))+MIN((Skills!Y19*(1+Inputs!$B$34/100)),MAX(0,Inputs!$B$44-((R200-1)*Skills!D19))))/Inputs!$B$44),IF(Inputs!$B$39="pvp",MIN((Skills!Y19*(1+Inputs!$B$34/100)),15)/15,(Skills!Y19*(1+Inputs!$B$34/100))/Skills!D19)))/150)))/100</f>
        <v/>
      </c>
    </row>
    <row r="215">
      <c r="A215" t="inlineStr">
        <is>
          <t>Alchemic Adrenaline Uptime</t>
        </is>
      </c>
      <c r="B215">
        <f>(Skills!Y6*(1+Inputs!$B$34/100))/((Skills!Y6*(1+Inputs!$B$34/100))+(5/B214))</f>
        <v/>
      </c>
    </row>
    <row r="216">
      <c r="A216" t="inlineStr">
        <is>
          <t>Attack Speed Buff Bonus %</t>
        </is>
      </c>
      <c r="B216">
        <f>((C200=TRUE)*F200*IF(AND(Inputs!$B$39&lt;&gt;"pvp",Inputs!$B$44&gt;0),(((R200-1)*(Skills!Y19*(1+Inputs!$B$34/100))+MIN((Skills!Y19*(1+Inputs!$B$34/100)),MAX(0,Inputs!$B$44-((R200-1)*Skills!D19))))/Inputs!$B$44),IF(Inputs!$B$39="pvp",MIN((Skills!Y19*(1+Inputs!$B$34/100)),15)/15,(Skills!Y19*(1+Inputs!$B$34/100))/Skills!D19)))+((C188=TRUE)*F188*B215)</f>
        <v/>
      </c>
    </row>
    <row r="217">
      <c r="A217" t="inlineStr">
        <is>
          <t>Actions Per Second (final)</t>
        </is>
      </c>
      <c r="B217">
        <f>1+MIN(150,150*(1-(1-(Inputs!$B$11+((C203=TRUE)*(F203-Calc!F22)))/150)*(1-B216/150)))/100</f>
        <v/>
      </c>
    </row>
    <row r="218">
      <c r="A218" t="inlineStr">
        <is>
          <t>Skill + Buff Cast Rate</t>
        </is>
      </c>
      <c r="B218">
        <f>IF(AND(Inputs!$B$39&lt;&gt;"pvp",Inputs!$B$44&gt;0),SUMPRODUCT((Skills!E2:E31=TRUE)*(C183:C212=TRUE)*R183:R212*Skills!F2:F31)/Inputs!$B$44,SUMPRODUCT((Skills!E2:E31=TRUE)*(C183:C212=TRUE)*Q183:Q212*Skills!F2:F31))</f>
        <v/>
      </c>
    </row>
    <row r="219">
      <c r="A219" t="inlineStr">
        <is>
          <t>Showdown Casts Per Second</t>
        </is>
      </c>
      <c r="B219">
        <f>MAX(0,B217-B218)</f>
        <v/>
      </c>
    </row>
    <row r="220">
      <c r="A220" t="inlineStr">
        <is>
          <t>Average Buff Multiplier</t>
        </is>
      </c>
      <c r="B220">
        <f>(1+(((C202=TRUE)*F202*IF(AND(Inputs!$B$39&lt;&gt;"pvp",Inputs!$B$44&gt;0),(((R202-1)*(Skills!Y21*(1+Inputs!$B$34/100))+MIN((Skills!Y21*(1+Inputs!$B$34/100)),MAX(0,Inputs!$B$44-((R202-1)*Skills!D21))))/Inputs!$B$44),IF(Inputs!$B$39="pvp",MIN((Skills!Y21*(1+Inputs!$B$34/100)),15)/15,(Skills!Y21*(1+Inputs!$B$34/100))/Skills!D21)))+((C209=TRUE)*(F209-Calc!F28))+((C199=TRUE)*(F199-Calc!F18)))/100)*(1+((C196=TRUE)*F196*IF(AND(Inputs!$B$39&lt;&gt;"pvp",Inputs!$B$44&gt;0),(((R196-1)*(Skills!Y15*(1+Inputs!$B$34/100))+MIN((Skills!Y15*(1+Inputs!$B$34/100)),MAX(0,Inputs!$B$44-((R196-1)*Skills!D15))))/Inputs!$B$44),IF(Inputs!$B$39="pvp",MIN((Skills!Y15*(1+Inputs!$B$34/100)),15)/15,(Skills!Y15*(1+Inputs!$B$34/100))/Skills!D15)))/100)*(1+((C187=TRUE)*F187*B215)/100)</f>
        <v/>
      </c>
    </row>
    <row r="221">
      <c r="A221" t="inlineStr">
        <is>
          <t>Global Crit Rate Bonus %</t>
        </is>
      </c>
      <c r="B221">
        <f>IF(Inputs!$B$3&gt;=47,8,0)+((C201=TRUE)*F201*IF(AND(Inputs!$B$39&lt;&gt;"pvp",Inputs!$B$44&gt;0),(((R201-1)*(Skills!Y20*(1+Inputs!$B$34/100))+MIN((Skills!Y20*(1+Inputs!$B$34/100)),MAX(0,Inputs!$B$44-((R201-1)*Skills!D20))))/Inputs!$B$44),IF(Inputs!$B$39="pvp",MIN((Skills!Y20*(1+Inputs!$B$34/100)),15)/15,(Skills!Y20*(1+Inputs!$B$34/100))/Skills!D20)))</f>
        <v/>
      </c>
    </row>
    <row r="222">
      <c r="A222" t="inlineStr">
        <is>
          <t>Global Monster Damage-Taken Bonus %</t>
        </is>
      </c>
      <c r="B222">
        <f>IF(Inputs!$B$3&gt;=82,15,0)+((C197=TRUE)*F197*IF(AND(Inputs!$B$39&lt;&gt;"pvp",Inputs!$B$44&gt;0),(((R197-1)*(Skills!Y16*(1+Inputs!$B$34/100))+MIN((Skills!Y16*(1+Inputs!$B$34/100)),MAX(0,Inputs!$B$44-((R197-1)*Skills!D16))))/Inputs!$B$44),IF(Inputs!$B$39="pvp",MIN((Skills!Y16*(1+Inputs!$B$34/100)),15)/15,(Skills!Y16*(1+Inputs!$B$34/100))/Skills!D16)))</f>
        <v/>
      </c>
    </row>
    <row r="223">
      <c r="A223" t="inlineStr">
        <is>
          <t>Shadow Partner Average Multiplier</t>
        </is>
      </c>
      <c r="B223">
        <f>1+((C192=TRUE)*F192*I192*Skills!J11/100)/100</f>
        <v/>
      </c>
    </row>
    <row r="224">
      <c r="A224" t="inlineStr">
        <is>
          <t>Global Critical Damage Bonus % (Frailty Curse Mastery Lv.111)</t>
        </is>
      </c>
      <c r="B224">
        <f>IF(Inputs!$B$3&gt;=111,30,0)*IF(AND(Inputs!$B$39&lt;&gt;"pvp",Inputs!$B$44&gt;0),(((R197-1)*(Skills!Y16*(1+Inputs!$B$34/100))+MIN((Skills!Y16*(1+Inputs!$B$34/100)),MAX(0,Inputs!$B$44-((R197-1)*Skills!D16))))/Inputs!$B$44),IF(Inputs!$B$39="pvp",MIN((Skills!Y16*(1+Inputs!$B$34/100)),15)/15,(Skills!Y16*(1+Inputs!$B$34/100))/Skills!D16))</f>
        <v/>
      </c>
    </row>
    <row r="225">
      <c r="A225" s="5" t="inlineStr">
        <is>
          <t>TOTAL DPS</t>
        </is>
      </c>
      <c r="B225" s="5">
        <f>SUM(O183:O212)</f>
        <v/>
      </c>
    </row>
    <row r="226">
      <c r="A226" t="inlineStr">
        <is>
          <t>Buff-Casting Startup Delay (s, fixed-duration only)</t>
        </is>
      </c>
      <c r="B226">
        <f>IF(AND(Inputs!$B$39&lt;&gt;"pvp",Inputs!$B$44&gt;0),SUMPRODUCT((Skills!Y2:Y31&gt;0)*(Skills!E2:E31=TRUE)*(C183:C212=TRUE))/B217,0)</f>
        <v/>
      </c>
    </row>
    <row r="227">
      <c r="A227" t="inlineStr">
        <is>
          <t>Boss-Only Total DPS (this block's swept value)</t>
        </is>
      </c>
      <c r="B227">
        <f>SUM(T183:T212)</f>
        <v/>
      </c>
    </row>
    <row r="228">
      <c r="A228" t="inlineStr">
        <is>
          <t>Normal-Only Total DPS (this block's swept value)</t>
        </is>
      </c>
      <c r="B228">
        <f>SUM(V183:V212)</f>
        <v/>
      </c>
    </row>
    <row r="230">
      <c r="A230" s="5" t="inlineStr">
        <is>
          <t>Stat: DAMAGE_AMP %</t>
        </is>
      </c>
    </row>
    <row r="231">
      <c r="A231" s="9" t="inlineStr">
        <is>
          <t>Key</t>
        </is>
      </c>
      <c r="B231" s="9" t="inlineStr">
        <is>
          <t>Name</t>
        </is>
      </c>
      <c r="C231" s="9" t="inlineStr">
        <is>
          <t>Unlocked</t>
        </is>
      </c>
      <c r="D231" s="9" t="inlineStr">
        <is>
          <t>InputLevel</t>
        </is>
      </c>
      <c r="E231" s="9" t="inlineStr">
        <is>
          <t>Factor</t>
        </is>
      </c>
      <c r="F231" s="9" t="inlineStr">
        <is>
          <t>CoefficientPercent</t>
        </is>
      </c>
      <c r="G231" s="9" t="inlineStr">
        <is>
          <t>EffectiveHits</t>
        </is>
      </c>
      <c r="H231" s="9" t="inlineStr">
        <is>
          <t>ProcProbability</t>
        </is>
      </c>
      <c r="I231" s="9" t="inlineStr">
        <is>
          <t>MapleHeroMultiplier</t>
        </is>
      </c>
      <c r="J231" s="9" t="inlineStr">
        <is>
          <t>BaseDamage</t>
        </is>
      </c>
      <c r="K231" s="9" t="inlineStr">
        <is>
          <t>BaseHitDamage</t>
        </is>
      </c>
      <c r="L231" s="9" t="inlineStr">
        <is>
          <t>NonCritAvg</t>
        </is>
      </c>
      <c r="M231" s="9" t="inlineStr">
        <is>
          <t>CritAvg</t>
        </is>
      </c>
      <c r="N231" s="9" t="inlineStr">
        <is>
          <t>ExpectedDamage(perHit)</t>
        </is>
      </c>
      <c r="O231" s="9" t="inlineStr">
        <is>
          <t>DPS</t>
        </is>
      </c>
      <c r="P231" s="9" t="inlineStr">
        <is>
          <t>% of Total</t>
        </is>
      </c>
      <c r="Q231" s="9" t="inlineStr">
        <is>
          <t>InvCooldown</t>
        </is>
      </c>
      <c r="R231" s="9" t="inlineStr">
        <is>
          <t>CastsInFight</t>
        </is>
      </c>
      <c r="S231" s="9" t="inlineStr">
        <is>
          <t>HitRate(perSec)</t>
        </is>
      </c>
      <c r="U231" t="inlineStr">
        <is>
          <t>helpers</t>
        </is>
      </c>
    </row>
    <row r="232">
      <c r="A232">
        <f>Skills!A2</f>
        <v/>
      </c>
      <c r="B232">
        <f>Skills!B2</f>
        <v/>
      </c>
      <c r="C232">
        <f>Inputs!$B$3&gt;=100</f>
        <v/>
      </c>
      <c r="D232" t="inlineStr"/>
      <c r="E232" t="inlineStr"/>
      <c r="F232">
        <f>U236+Skills!O2</f>
        <v/>
      </c>
      <c r="G232">
        <f>Calc!G2</f>
        <v/>
      </c>
      <c r="H232">
        <f>Calc!H2</f>
        <v/>
      </c>
      <c r="I232">
        <f>IF(Skills!AA2&lt;&gt;"",1+(Skills!AA2/10)*(U233/1000)/100,1)</f>
        <v/>
      </c>
      <c r="J232">
        <f>((Inputs!$B$6*(1+Inputs!$B$7/100))+(((Inputs!$B$12*(1+Inputs!$B$13/100))-(Inputs!$B$12*(1+Inputs!$B$13/100)))+0.25*(Inputs!$B$14-Inputs!$B$14))*(1+Inputs!$B$7/100))*(F232/100)</f>
        <v/>
      </c>
      <c r="K232">
        <f>J232*(1+((Inputs!$B$12*(1+Inputs!$B$13/100))*0.01+Inputs!$B$14*0.0025)/100)*(1+Inputs!$B$15/100)*(1+(Inputs!$B$16+1)/100)*(5000/(6000+Inputs!$B$43*(1-Inputs!$B$19/100)))*(1+(Inputs!$B$24+((C260=TRUE)*(F260-Calc!F30)))/100)*(1+Skills!R2/100)*(1+(IF(Skills!A2="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232)</f>
        <v/>
      </c>
      <c r="L232">
        <f>K232*(MIN(Inputs!$B$22+((C254=TRUE)*(F254-Calc!F24)),Inputs!$B$23)/100+Inputs!$B$23/100)/2</f>
        <v/>
      </c>
      <c r="M232">
        <f>L232*(1+(Inputs!$B$10+((C256=TRUE)*(F256-Calc!F26))+B273)/100)</f>
        <v/>
      </c>
      <c r="N232">
        <f>L232*(1-MIN((Inputs!$B$9+((C255=TRUE)*(F255-Calc!F25))+B270),100)/100)+M232*(MIN((Inputs!$B$9+((C255=TRUE)*(F255-Calc!F25))+B270),100)/100)</f>
        <v/>
      </c>
      <c r="O232">
        <f>(1-Summary!$B$55)*T232+Summary!$B$55*V232</f>
        <v/>
      </c>
      <c r="P232">
        <f>IF(B274=0,0,O232/B274)</f>
        <v/>
      </c>
      <c r="Q232" t="n">
        <v>0</v>
      </c>
      <c r="R232" t="n">
        <v>0</v>
      </c>
      <c r="S232">
        <f>IFERROR(O232/N232,0)</f>
        <v/>
      </c>
      <c r="T232">
        <f>IF(C232,(Skills!G2*N232*B268)*IF(Inputs!$B$39="pvp",1,1+(Inputs!$B$20+((C257=TRUE)*(F257-Calc!F27))+Skills!P2+B271)/100),0)</f>
        <v/>
      </c>
      <c r="U232">
        <f>MAX(0,(Inputs!$B$3-100)*3)+Inputs!$B$28+Inputs!$B$29</f>
        <v/>
      </c>
      <c r="V232">
        <f>IF(C232,(Skills!G2*N232*B268)*IF(Inputs!$B$39="pvp",1,(1+(Inputs!$B$21+Skills!Q2+B271)/100)*(MIN((6+Inputs!$B$33),Inputs!$B$37))),0)</f>
        <v/>
      </c>
    </row>
    <row r="233">
      <c r="A233">
        <f>Skills!A3</f>
        <v/>
      </c>
      <c r="B233">
        <f>Skills!B3</f>
        <v/>
      </c>
      <c r="C233">
        <f>Inputs!$B$3&gt;=35</f>
        <v/>
      </c>
      <c r="D233">
        <f>IF(Skills!C3=1,60+Inputs!$B$25+Inputs!$B$29,IF(Skills!C3=2,90+Inputs!$B$26+Inputs!$B$29,IF(Skills!C3=3,120+Inputs!$B$27+Inputs!$B$29,MAX(0,(Inputs!$B$3-100)*3)+Inputs!$B$28+Inputs!$B$29)))</f>
        <v/>
      </c>
      <c r="E233">
        <f>INDEX(FactorTable!$B$2:$Y$301, MATCH(ROUND(MIN(300,MAX(1,D233)),0), FactorTable!$A$2:$A$301,0), Skills!M3+1)</f>
        <v/>
      </c>
      <c r="F233">
        <f>IF(Skills!N3=TRUE,(Skills!L3/10)*(E233/1000),Skills!L3/10)+Skills!O3</f>
        <v/>
      </c>
      <c r="G233">
        <f>Calc!G3</f>
        <v/>
      </c>
      <c r="H233">
        <f>Calc!H3</f>
        <v/>
      </c>
      <c r="I233">
        <f>IF(Skills!AA3&lt;&gt;"",1+(Skills!AA3/10)*(U233/1000)/100,1)</f>
        <v/>
      </c>
      <c r="J233">
        <f>((Inputs!$B$6*(1+Inputs!$B$7/100))+(((Inputs!$B$12*(1+Inputs!$B$13/100))-(Inputs!$B$12*(1+Inputs!$B$13/100)))+0.25*(Inputs!$B$14-Inputs!$B$14))*(1+Inputs!$B$7/100))*(F233/100)</f>
        <v/>
      </c>
      <c r="K233">
        <f>J233*(1+((Inputs!$B$12*(1+Inputs!$B$13/100))*0.01+Inputs!$B$14*0.0025)/100)*(1+Inputs!$B$15/100)*(1+(Inputs!$B$16+1)/100)*(5000/(6000+Inputs!$B$43*(1-Inputs!$B$19/100)))*(1+(Inputs!$B$24+((C260=TRUE)*(F260-Calc!F30)))/100)*(1+Skills!R3/100)*(1+(IF(Skills!A3="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233)</f>
        <v/>
      </c>
      <c r="L233">
        <f>K233*(MIN(Inputs!$B$22+((C254=TRUE)*(F254-Calc!F24)),Inputs!$B$23)/100+Inputs!$B$23/100)/2</f>
        <v/>
      </c>
      <c r="M233">
        <f>L233*(1+(Inputs!$B$10+((C256=TRUE)*(F256-Calc!F26))+B273)/100)</f>
        <v/>
      </c>
      <c r="N233">
        <f>L233*(1-MIN((Inputs!$B$9+((C255=TRUE)*(F255-Calc!F25))+B270),100)/100)+M233*(MIN((Inputs!$B$9+((C255=TRUE)*(F255-Calc!F25))+B270),100)/100)</f>
        <v/>
      </c>
      <c r="O233">
        <f>(1-Summary!$B$55)*T233+Summary!$B$55*V233</f>
        <v/>
      </c>
      <c r="P233">
        <f>IF(B274=0,0,O233/B274)</f>
        <v/>
      </c>
      <c r="Q233">
        <f>IFERROR(1/IF(Inputs!$B$39="pvp",15,MAX(0.1,Skills!D3-IF(Skills!E3=TRUE,Inputs!$B$32,0))),0)</f>
        <v/>
      </c>
      <c r="R233">
        <f>IF(AND(Inputs!$B$39&lt;&gt;"pvp",Inputs!$B$44&gt;0),IF(MAX(0,Inputs!$B$44-B275)&lt;=0,0,(INT(MAX(0,Inputs!$B$44-B275)/IF(Inputs!$B$39="pvp",15,MAX(0.1,Skills!D3-IF(Skills!E3=TRUE,Inputs!$B$32,0))))+1)),0)</f>
        <v/>
      </c>
      <c r="S233">
        <f>IFERROR(O233/N233,0)</f>
        <v/>
      </c>
      <c r="T233">
        <f>IF(C233,(H233*N233*IF(AND(Inputs!$B$39&lt;&gt;"pvp",Inputs!$B$44&gt;0),((Skills!G3*((R233-1)*IF(Skills!H3&gt;0,Skills!I3/Skills!H3,1)+IF(Skills!H3&gt;0,MIN(Skills!I3,MAX(0,MAX(0,Inputs!$B$44-B275)-((R233-1)*IF(Inputs!$B$39="pvp",15,MAX(0.1,Skills!D3-IF(Skills!E3=TRUE,Inputs!$B$32,0))))))/Skills!H3,1)))/Inputs!$B$44),G233*Q233))*IF(Inputs!$B$39="pvp",1,1+(Inputs!$B$20+((C257=TRUE)*(F257-Calc!F27))+Skills!P3+B271)/100),0)</f>
        <v/>
      </c>
      <c r="U233">
        <f>INDEX(FactorTable!$B$2:$Y$301, MATCH(ROUND(MIN(300,MAX(1,U232)),0), FactorTable!$A$2:$A$301,0), 24)</f>
        <v/>
      </c>
      <c r="V233">
        <f>IF(C233,(H233*N233*IF(AND(Inputs!$B$39&lt;&gt;"pvp",Inputs!$B$44&gt;0),((Skills!G3*((R233-1)*IF(Skills!H3&gt;0,Skills!I3/Skills!H3,1)+IF(Skills!H3&gt;0,MIN(Skills!I3,MAX(0,MAX(0,Inputs!$B$44-B275)-((R233-1)*IF(Inputs!$B$39="pvp",15,MAX(0.1,Skills!D3-IF(Skills!E3=TRUE,Inputs!$B$32,0))))))/Skills!H3,1)))/Inputs!$B$44),G233*Q233))*IF(Inputs!$B$39="pvp",1,(1+(Inputs!$B$21+Skills!Q3+B271)/100)*(MIN(Skills!W3,Inputs!$B$37))),0)</f>
        <v/>
      </c>
    </row>
    <row r="234">
      <c r="A234">
        <f>Skills!A4</f>
        <v/>
      </c>
      <c r="B234">
        <f>Skills!B4</f>
        <v/>
      </c>
      <c r="C234">
        <f>Inputs!$B$3&gt;=40</f>
        <v/>
      </c>
      <c r="D234">
        <f>IF(Skills!C4=1,60+Inputs!$B$25+Inputs!$B$29,IF(Skills!C4=2,90+Inputs!$B$26+Inputs!$B$29,IF(Skills!C4=3,120+Inputs!$B$27+Inputs!$B$29,MAX(0,(Inputs!$B$3-100)*3)+Inputs!$B$28+Inputs!$B$29)))</f>
        <v/>
      </c>
      <c r="E234">
        <f>INDEX(FactorTable!$B$2:$Y$301, MATCH(ROUND(MIN(300,MAX(1,D234)),0), FactorTable!$A$2:$A$301,0), Skills!M4+1)</f>
        <v/>
      </c>
      <c r="F234">
        <f>IF(Skills!N4=TRUE,(Skills!L4/10)*(E234/1000),Skills!L4/10)+Skills!O4</f>
        <v/>
      </c>
      <c r="G234">
        <f>Calc!G4</f>
        <v/>
      </c>
      <c r="H234">
        <f>Calc!H4</f>
        <v/>
      </c>
      <c r="I234">
        <f>IF(Skills!AA4&lt;&gt;"",1+(Skills!AA4/10)*(U233/1000)/100,1)</f>
        <v/>
      </c>
      <c r="J234">
        <f>((Inputs!$B$6*(1+Inputs!$B$7/100))+(((Inputs!$B$12*(1+Inputs!$B$13/100))-(Inputs!$B$12*(1+Inputs!$B$13/100)))+0.25*(Inputs!$B$14-Inputs!$B$14))*(1+Inputs!$B$7/100))*(F234/100)</f>
        <v/>
      </c>
      <c r="K234">
        <f>J234*(1+((Inputs!$B$12*(1+Inputs!$B$13/100))*0.01+Inputs!$B$14*0.0025)/100)*(1+Inputs!$B$15/100)*(1+(Inputs!$B$16+1)/100)*(5000/(6000+Inputs!$B$43*(1-Inputs!$B$19/100)))*(1+(Inputs!$B$24+((C260=TRUE)*(F260-Calc!F30)))/100)*(1+Skills!R4/100)*(1+(IF(Skills!A4="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234)</f>
        <v/>
      </c>
      <c r="L234">
        <f>K234*(MIN(Inputs!$B$22+((C254=TRUE)*(F254-Calc!F24)),Inputs!$B$23)/100+Inputs!$B$23/100)/2</f>
        <v/>
      </c>
      <c r="M234">
        <f>L234*(1+(Inputs!$B$10+((C256=TRUE)*(F256-Calc!F26))+B273)/100)</f>
        <v/>
      </c>
      <c r="N234">
        <f>L234*(1-MIN((Inputs!$B$9+((C255=TRUE)*(F255-Calc!F25))+B270),100)/100)+M234*(MIN((Inputs!$B$9+((C255=TRUE)*(F255-Calc!F25))+B270),100)/100)</f>
        <v/>
      </c>
      <c r="O234">
        <f>(1-Summary!$B$55)*T234+Summary!$B$55*V234</f>
        <v/>
      </c>
      <c r="P234">
        <f>IF(B274=0,0,O234/B274)</f>
        <v/>
      </c>
      <c r="Q234">
        <f>IFERROR(1/IF(Inputs!$B$39="pvp",15,MAX(0.1,Skills!D4-IF(Skills!E4=TRUE,Inputs!$B$32,0))),0)</f>
        <v/>
      </c>
      <c r="R234">
        <f>IF(AND(Inputs!$B$39&lt;&gt;"pvp",Inputs!$B$44&gt;0),IF(MAX(0,Inputs!$B$44-B275)&lt;=0,0,(INT(MAX(0,Inputs!$B$44-B275)/IF(Inputs!$B$39="pvp",15,MAX(0.1,Skills!D4-IF(Skills!E4=TRUE,Inputs!$B$32,0))))+1)),0)</f>
        <v/>
      </c>
      <c r="S234">
        <f>IFERROR(O234/N234,0)</f>
        <v/>
      </c>
      <c r="T234">
        <f>IF(C234,(H234*N234*IF(AND(Inputs!$B$39&lt;&gt;"pvp",Inputs!$B$44&gt;0),((Skills!G4*((R234-1)*IF(Skills!H4&gt;0,Skills!I4/Skills!H4,1)+IF(Skills!H4&gt;0,MIN(Skills!I4,MAX(0,MAX(0,Inputs!$B$44-B275)-((R234-1)*IF(Inputs!$B$39="pvp",15,MAX(0.1,Skills!D4-IF(Skills!E4=TRUE,Inputs!$B$32,0))))))/Skills!H4,1)))/Inputs!$B$44),G234*Q234))*IF(Inputs!$B$39="pvp",1,1+(Inputs!$B$20+((C257=TRUE)*(F257-Calc!F27))+Skills!P4+B271)/100),0)</f>
        <v/>
      </c>
      <c r="U234">
        <f>MAX(0,(Inputs!$B$3-100)*3)+Inputs!$B$28+Inputs!$B$29</f>
        <v/>
      </c>
      <c r="V234">
        <f>IF(C234,(H234*N234*IF(AND(Inputs!$B$39&lt;&gt;"pvp",Inputs!$B$44&gt;0),((Skills!G4*((R234-1)*IF(Skills!H4&gt;0,Skills!I4/Skills!H4,1)+IF(Skills!H4&gt;0,MIN(Skills!I4,MAX(0,MAX(0,Inputs!$B$44-B275)-((R234-1)*IF(Inputs!$B$39="pvp",15,MAX(0.1,Skills!D4-IF(Skills!E4=TRUE,Inputs!$B$32,0))))))/Skills!H4,1)))/Inputs!$B$44),G234*Q234))*IF(Inputs!$B$39="pvp",1,(1+(Inputs!$B$21+Skills!Q4+B271)/100)*(MIN(Skills!W4,Inputs!$B$37))),0)</f>
        <v/>
      </c>
    </row>
    <row r="235">
      <c r="A235">
        <f>Skills!A5</f>
        <v/>
      </c>
      <c r="B235">
        <f>Skills!B5</f>
        <v/>
      </c>
      <c r="C235">
        <f>Inputs!$B$3&gt;=63</f>
        <v/>
      </c>
      <c r="D235">
        <f>IF(Skills!C5=1,60+Inputs!$B$25+Inputs!$B$29,IF(Skills!C5=2,90+Inputs!$B$26+Inputs!$B$29,IF(Skills!C5=3,120+Inputs!$B$27+Inputs!$B$29,MAX(0,(Inputs!$B$3-100)*3)+Inputs!$B$28+Inputs!$B$29)))</f>
        <v/>
      </c>
      <c r="E235">
        <f>INDEX(FactorTable!$B$2:$Y$301, MATCH(ROUND(MIN(300,MAX(1,D235)),0), FactorTable!$A$2:$A$301,0), Skills!M5+1)</f>
        <v/>
      </c>
      <c r="F235">
        <f>IF(Skills!N5=TRUE,(Skills!L5/10)*(E235/1000),Skills!L5/10)+Skills!O5</f>
        <v/>
      </c>
      <c r="G235">
        <f>Calc!G5</f>
        <v/>
      </c>
      <c r="H235">
        <f>Calc!H5</f>
        <v/>
      </c>
      <c r="I235">
        <f>IF(Skills!AA5&lt;&gt;"",1+(Skills!AA5/10)*(U233/1000)/100,1)</f>
        <v/>
      </c>
      <c r="J235">
        <f>((Inputs!$B$6*(1+Inputs!$B$7/100))+(((Inputs!$B$12*(1+Inputs!$B$13/100))-(Inputs!$B$12*(1+Inputs!$B$13/100)))+0.25*(Inputs!$B$14-Inputs!$B$14))*(1+Inputs!$B$7/100))*(F235/100)</f>
        <v/>
      </c>
      <c r="K235">
        <f>J235*(1+((Inputs!$B$12*(1+Inputs!$B$13/100))*0.01+Inputs!$B$14*0.0025)/100)*(1+Inputs!$B$15/100)*(1+(Inputs!$B$16+1)/100)*(5000/(6000+Inputs!$B$43*(1-Inputs!$B$19/100)))*(1+(Inputs!$B$24+((C260=TRUE)*(F260-Calc!F30)))/100)*(1+Skills!R5/100)*(1+(IF(Skills!A5="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235)</f>
        <v/>
      </c>
      <c r="L235">
        <f>K235*(MIN(Inputs!$B$22+((C254=TRUE)*(F254-Calc!F24)),Inputs!$B$23)/100+Inputs!$B$23/100)/2</f>
        <v/>
      </c>
      <c r="M235">
        <f>L235*(1+(Inputs!$B$10+((C256=TRUE)*(F256-Calc!F26))+B273)/100)</f>
        <v/>
      </c>
      <c r="N235">
        <f>L235*(1-MIN((Inputs!$B$9+((C255=TRUE)*(F255-Calc!F25))+B270),100)/100)+M235*(MIN((Inputs!$B$9+((C255=TRUE)*(F255-Calc!F25))+B270),100)/100)</f>
        <v/>
      </c>
      <c r="O235">
        <f>(1-Summary!$B$55)*T235+Summary!$B$55*V235</f>
        <v/>
      </c>
      <c r="P235">
        <f>IF(B274=0,0,O235/B274)</f>
        <v/>
      </c>
      <c r="Q235">
        <f>IFERROR(1/IF(Inputs!$B$39="pvp",15,MAX(0.1,Skills!D5-IF(Skills!E5=TRUE,Inputs!$B$32,0))),0)</f>
        <v/>
      </c>
      <c r="R235">
        <f>IF(AND(Inputs!$B$39&lt;&gt;"pvp",Inputs!$B$44&gt;0),IF(MAX(0,Inputs!$B$44-B275)&lt;=0,0,(INT(MAX(0,Inputs!$B$44-B275)/IF(Inputs!$B$39="pvp",15,MAX(0.1,Skills!D5-IF(Skills!E5=TRUE,Inputs!$B$32,0))))+1)),0)</f>
        <v/>
      </c>
      <c r="S235">
        <f>IFERROR(O235/N235,0)</f>
        <v/>
      </c>
      <c r="T235">
        <f>IF(C235,(H235*N235*IF(AND(Inputs!$B$39&lt;&gt;"pvp",Inputs!$B$44&gt;0),((Skills!G5*((R235-1)*IF(Skills!H5&gt;0,Skills!I5/Skills!H5,1)+IF(Skills!H5&gt;0,MIN(Skills!I5,MAX(0,MAX(0,Inputs!$B$44-B275)-((R235-1)*IF(Inputs!$B$39="pvp",15,MAX(0.1,Skills!D5-IF(Skills!E5=TRUE,Inputs!$B$32,0))))))/Skills!H5,1)))/Inputs!$B$44),G235*Q235))*IF(Inputs!$B$39="pvp",1,1+(Inputs!$B$20+((C257=TRUE)*(F257-Calc!F27))+Skills!P5+B271)/100),0)</f>
        <v/>
      </c>
      <c r="U235">
        <f>INDEX(FactorTable!$B$2:$Y$301, MATCH(ROUND(MIN(300,MAX(1,U234)),0), FactorTable!$A$2:$A$301,0), 22)</f>
        <v/>
      </c>
      <c r="V235">
        <f>IF(C235,(H235*N235*IF(AND(Inputs!$B$39&lt;&gt;"pvp",Inputs!$B$44&gt;0),((Skills!G5*((R235-1)*IF(Skills!H5&gt;0,Skills!I5/Skills!H5,1)+IF(Skills!H5&gt;0,MIN(Skills!I5,MAX(0,MAX(0,Inputs!$B$44-B275)-((R235-1)*IF(Inputs!$B$39="pvp",15,MAX(0.1,Skills!D5-IF(Skills!E5=TRUE,Inputs!$B$32,0))))))/Skills!H5,1)))/Inputs!$B$44),G235*Q235))*IF(Inputs!$B$39="pvp",1,(1+(Inputs!$B$21+Skills!Q5+B271)/100)*(MIN(Skills!W5,Inputs!$B$37))),0)</f>
        <v/>
      </c>
    </row>
    <row r="236">
      <c r="A236">
        <f>Skills!A6</f>
        <v/>
      </c>
      <c r="B236">
        <f>Skills!B6</f>
        <v/>
      </c>
      <c r="C236">
        <f>Inputs!$B$3&gt;=66</f>
        <v/>
      </c>
      <c r="D236">
        <f>IF(Skills!C6=1,60+Inputs!$B$25+Inputs!$B$29,IF(Skills!C6=2,90+Inputs!$B$26+Inputs!$B$29,IF(Skills!C6=3,120+Inputs!$B$27+Inputs!$B$29,MAX(0,(Inputs!$B$3-100)*3)+Inputs!$B$28+Inputs!$B$29)))</f>
        <v/>
      </c>
      <c r="E236">
        <f>INDEX(FactorTable!$B$2:$Y$301, MATCH(ROUND(MIN(300,MAX(1,D236)),0), FactorTable!$A$2:$A$301,0), Skills!M6+1)</f>
        <v/>
      </c>
      <c r="F236">
        <f>IF(Skills!N6=TRUE,(Skills!L6/10)*(E236/1000),Skills!L6/10)+Skills!O6</f>
        <v/>
      </c>
      <c r="G236">
        <f>Calc!G6</f>
        <v/>
      </c>
      <c r="H236">
        <f>Calc!H6</f>
        <v/>
      </c>
      <c r="I236">
        <f>IF(Skills!AA6&lt;&gt;"",1+(Skills!AA6/10)*(U233/1000)/100,1)</f>
        <v/>
      </c>
      <c r="J236" t="inlineStr"/>
      <c r="K236" t="inlineStr"/>
      <c r="L236" t="inlineStr"/>
      <c r="M236" t="inlineStr"/>
      <c r="N236" t="inlineStr"/>
      <c r="O236">
        <f>(1-Summary!$B$55)*T236+Summary!$B$55*V236</f>
        <v/>
      </c>
      <c r="P236">
        <f>IF(B274=0,0,O236/B274)</f>
        <v/>
      </c>
      <c r="Q236" t="n">
        <v>0</v>
      </c>
      <c r="R236" t="n">
        <v>0</v>
      </c>
      <c r="S236">
        <f>IFERROR(O236/N236,0)</f>
        <v/>
      </c>
      <c r="T236" t="n">
        <v>0</v>
      </c>
      <c r="U236">
        <f>290*U235/1000</f>
        <v/>
      </c>
      <c r="V236" t="n">
        <v>0</v>
      </c>
    </row>
    <row r="237">
      <c r="A237">
        <f>Skills!A7</f>
        <v/>
      </c>
      <c r="B237">
        <f>Skills!B7</f>
        <v/>
      </c>
      <c r="C237">
        <f>Inputs!$B$3&gt;=66</f>
        <v/>
      </c>
      <c r="D237">
        <f>IF(Skills!C7=1,60+Inputs!$B$25+Inputs!$B$29,IF(Skills!C7=2,90+Inputs!$B$26+Inputs!$B$29,IF(Skills!C7=3,120+Inputs!$B$27+Inputs!$B$29,MAX(0,(Inputs!$B$3-100)*3)+Inputs!$B$28+Inputs!$B$29)))</f>
        <v/>
      </c>
      <c r="E237">
        <f>INDEX(FactorTable!$B$2:$Y$301, MATCH(ROUND(MIN(300,MAX(1,D237)),0), FactorTable!$A$2:$A$301,0), Skills!M7+1)</f>
        <v/>
      </c>
      <c r="F237">
        <f>IF(Skills!N7=TRUE,(Skills!L7/10)*(E237/1000),Skills!L7/10)+Skills!O7</f>
        <v/>
      </c>
      <c r="G237">
        <f>Calc!G7</f>
        <v/>
      </c>
      <c r="H237">
        <f>Calc!H7</f>
        <v/>
      </c>
      <c r="I237">
        <f>IF(Skills!AA7&lt;&gt;"",1+(Skills!AA7/10)*(U233/1000)/100,1)</f>
        <v/>
      </c>
      <c r="J237" t="inlineStr"/>
      <c r="K237" t="inlineStr"/>
      <c r="L237" t="inlineStr"/>
      <c r="M237" t="inlineStr"/>
      <c r="N237" t="inlineStr"/>
      <c r="O237">
        <f>(1-Summary!$B$55)*T237+Summary!$B$55*V237</f>
        <v/>
      </c>
      <c r="P237">
        <f>IF(B274=0,0,O237/B274)</f>
        <v/>
      </c>
      <c r="Q237" t="n">
        <v>0</v>
      </c>
      <c r="R237" t="n">
        <v>0</v>
      </c>
      <c r="S237">
        <f>IFERROR(O237/N237,0)</f>
        <v/>
      </c>
      <c r="T237" t="n">
        <v>0</v>
      </c>
      <c r="V237" t="n">
        <v>0</v>
      </c>
    </row>
    <row r="238">
      <c r="A238">
        <f>Skills!A8</f>
        <v/>
      </c>
      <c r="B238">
        <f>Skills!B8</f>
        <v/>
      </c>
      <c r="C238">
        <f>Inputs!$B$3&gt;=69</f>
        <v/>
      </c>
      <c r="D238">
        <f>IF(Skills!C8=1,60+Inputs!$B$25+Inputs!$B$29,IF(Skills!C8=2,90+Inputs!$B$26+Inputs!$B$29,IF(Skills!C8=3,120+Inputs!$B$27+Inputs!$B$29,MAX(0,(Inputs!$B$3-100)*3)+Inputs!$B$28+Inputs!$B$29)))</f>
        <v/>
      </c>
      <c r="E238">
        <f>INDEX(FactorTable!$B$2:$Y$301, MATCH(ROUND(MIN(300,MAX(1,D238)),0), FactorTable!$A$2:$A$301,0), Skills!M8+1)</f>
        <v/>
      </c>
      <c r="F238">
        <f>IF(Skills!N8=TRUE,(Skills!L8/10)*(E238/1000),Skills!L8/10)+Skills!O8</f>
        <v/>
      </c>
      <c r="G238">
        <f>Calc!G8</f>
        <v/>
      </c>
      <c r="H238">
        <f>Calc!H8</f>
        <v/>
      </c>
      <c r="I238">
        <f>IF(Skills!AA8&lt;&gt;"",1+(Skills!AA8/10)*(U233/1000)/100,1)</f>
        <v/>
      </c>
      <c r="J238">
        <f>((Inputs!$B$6*(1+Inputs!$B$7/100))+(((Inputs!$B$12*(1+Inputs!$B$13/100))-(Inputs!$B$12*(1+Inputs!$B$13/100)))+0.25*(Inputs!$B$14-Inputs!$B$14))*(1+Inputs!$B$7/100))*(F238/100)</f>
        <v/>
      </c>
      <c r="K238">
        <f>J238*(1+((Inputs!$B$12*(1+Inputs!$B$13/100))*0.01+Inputs!$B$14*0.0025)/100)*(1+Inputs!$B$15/100)*(1+(Inputs!$B$16+1)/100)*(5000/(6000+Inputs!$B$43*(1-Inputs!$B$19/100)))*(1+(Inputs!$B$24+((C260=TRUE)*(F260-Calc!F30)))/100)*(1+Skills!R8/100)*(1+(IF(Skills!A8="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238)</f>
        <v/>
      </c>
      <c r="L238">
        <f>K238*(MIN(Inputs!$B$22+((C254=TRUE)*(F254-Calc!F24)),Inputs!$B$23)/100+Inputs!$B$23/100)/2</f>
        <v/>
      </c>
      <c r="M238">
        <f>L238*(1+(Inputs!$B$10+((C256=TRUE)*(F256-Calc!F26))+B273)/100)</f>
        <v/>
      </c>
      <c r="N238">
        <f>L238*(1-MIN((Inputs!$B$9+((C255=TRUE)*(F255-Calc!F25))+B270),100)/100)+M238*(MIN((Inputs!$B$9+((C255=TRUE)*(F255-Calc!F25))+B270),100)/100)</f>
        <v/>
      </c>
      <c r="O238">
        <f>(1-Summary!$B$55)*T238+Summary!$B$55*V238</f>
        <v/>
      </c>
      <c r="P238">
        <f>IF(B274=0,0,O238/B274)</f>
        <v/>
      </c>
      <c r="Q238">
        <f>IFERROR(1/IF(Inputs!$B$39="pvp",15,MAX(0.1,Skills!D8-IF(Skills!E8=TRUE,Inputs!$B$32,0))),0)</f>
        <v/>
      </c>
      <c r="R238">
        <f>IF(AND(Inputs!$B$39&lt;&gt;"pvp",Inputs!$B$44&gt;0),IF(MAX(0,Inputs!$B$44-B275)&lt;=0,0,(INT(MAX(0,Inputs!$B$44-B275)/IF(Inputs!$B$39="pvp",15,MAX(0.1,Skills!D8-IF(Skills!E8=TRUE,Inputs!$B$32,0))))+1)),0)</f>
        <v/>
      </c>
      <c r="S238">
        <f>IFERROR(O238/N238,0)</f>
        <v/>
      </c>
      <c r="T238">
        <f>IF(C238,(H238*N238*IF(AND(Inputs!$B$39&lt;&gt;"pvp",Inputs!$B$44&gt;0),((Skills!G8*((R238-1)*IF(Skills!H8&gt;0,Skills!I8/Skills!H8,1)+IF(Skills!H8&gt;0,MIN(Skills!I8,MAX(0,MAX(0,Inputs!$B$44-B275)-((R238-1)*IF(Inputs!$B$39="pvp",15,MAX(0.1,Skills!D8-IF(Skills!E8=TRUE,Inputs!$B$32,0))))))/Skills!H8,1)))/Inputs!$B$44),G238*Q238))*IF(Inputs!$B$39="pvp",1,1+(Inputs!$B$20+((C257=TRUE)*(F257-Calc!F27))+Skills!P8+B271)/100),0)</f>
        <v/>
      </c>
      <c r="V238">
        <f>IF(C238,(H238*N238*IF(AND(Inputs!$B$39&lt;&gt;"pvp",Inputs!$B$44&gt;0),((Skills!G8*((R238-1)*IF(Skills!H8&gt;0,Skills!I8/Skills!H8,1)+IF(Skills!H8&gt;0,MIN(Skills!I8,MAX(0,MAX(0,Inputs!$B$44-B275)-((R238-1)*IF(Inputs!$B$39="pvp",15,MAX(0.1,Skills!D8-IF(Skills!E8=TRUE,Inputs!$B$32,0))))))/Skills!H8,1)))/Inputs!$B$44),G238*Q238))*IF(Inputs!$B$39="pvp",1,(1+(Inputs!$B$21+Skills!Q8+B271)/100)*(MIN(Skills!W8,Inputs!$B$37))),0)</f>
        <v/>
      </c>
    </row>
    <row r="239">
      <c r="A239">
        <f>Skills!A9</f>
        <v/>
      </c>
      <c r="B239">
        <f>Skills!B9</f>
        <v/>
      </c>
      <c r="C239">
        <f>Inputs!$B$3&gt;=72</f>
        <v/>
      </c>
      <c r="D239">
        <f>IF(Skills!C9=1,60+Inputs!$B$25+Inputs!$B$29,IF(Skills!C9=2,90+Inputs!$B$26+Inputs!$B$29,IF(Skills!C9=3,120+Inputs!$B$27+Inputs!$B$29,MAX(0,(Inputs!$B$3-100)*3)+Inputs!$B$28+Inputs!$B$29)))</f>
        <v/>
      </c>
      <c r="E239">
        <f>INDEX(FactorTable!$B$2:$Y$301, MATCH(ROUND(MIN(300,MAX(1,D239)),0), FactorTable!$A$2:$A$301,0), Skills!M9+1)</f>
        <v/>
      </c>
      <c r="F239">
        <f>IF(Skills!N9=TRUE,(Skills!L9/10)*(E239/1000),Skills!L9/10)+Skills!O9</f>
        <v/>
      </c>
      <c r="G239">
        <f>Calc!G9</f>
        <v/>
      </c>
      <c r="H239">
        <f>Calc!H9</f>
        <v/>
      </c>
      <c r="I239">
        <f>IF(Skills!AA9&lt;&gt;"",1+(Skills!AA9/10)*(U233/1000)/100,1)</f>
        <v/>
      </c>
      <c r="J239">
        <f>((Inputs!$B$6*(1+Inputs!$B$7/100))+(((Inputs!$B$12*(1+Inputs!$B$13/100))-(Inputs!$B$12*(1+Inputs!$B$13/100)))+0.25*(Inputs!$B$14-Inputs!$B$14))*(1+Inputs!$B$7/100))*(F239/100)</f>
        <v/>
      </c>
      <c r="K239">
        <f>J239*(1+((Inputs!$B$12*(1+Inputs!$B$13/100))*0.01+Inputs!$B$14*0.0025)/100)*(1+Inputs!$B$15/100)*(1+(Inputs!$B$16+1)/100)*(5000/(6000+Inputs!$B$43*(1-Inputs!$B$19/100)))*(1+(Inputs!$B$24+((C260=TRUE)*(F260-Calc!F30)))/100)*(1+Skills!R9/100)*(1+(IF(Skills!A9="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239)</f>
        <v/>
      </c>
      <c r="L239">
        <f>K239*(MIN(Inputs!$B$22+((C254=TRUE)*(F254-Calc!F24)),Inputs!$B$23)/100+Inputs!$B$23/100)/2</f>
        <v/>
      </c>
      <c r="M239">
        <f>L239*(1+(Inputs!$B$10+((C256=TRUE)*(F256-Calc!F26))+B273)/100)</f>
        <v/>
      </c>
      <c r="N239">
        <f>L239*(1-MIN((Inputs!$B$9+((C255=TRUE)*(F255-Calc!F25))+B270),100)/100)+M239*(MIN((Inputs!$B$9+((C255=TRUE)*(F255-Calc!F25))+B270),100)/100)</f>
        <v/>
      </c>
      <c r="O239">
        <f>(1-Summary!$B$55)*T239+Summary!$B$55*V239</f>
        <v/>
      </c>
      <c r="P239">
        <f>IF(B274=0,0,O239/B274)</f>
        <v/>
      </c>
      <c r="Q239">
        <f>IFERROR(1/IF(Inputs!$B$39="pvp",15,MAX(0.1,Skills!D9-IF(Skills!E9=TRUE,Inputs!$B$32,0))),0)</f>
        <v/>
      </c>
      <c r="R239">
        <f>IF(AND(Inputs!$B$39&lt;&gt;"pvp",Inputs!$B$44&gt;0),IF(MAX(0,Inputs!$B$44-B275)&lt;=0,0,(INT(MAX(0,Inputs!$B$44-B275)/IF(Inputs!$B$39="pvp",15,MAX(0.1,Skills!D9-IF(Skills!E9=TRUE,Inputs!$B$32,0))))+1)),0)</f>
        <v/>
      </c>
      <c r="S239">
        <f>IFERROR(O239/N239,0)</f>
        <v/>
      </c>
      <c r="T239">
        <f>IF(C239,(H239*N239*IF(AND(Inputs!$B$39&lt;&gt;"pvp",Inputs!$B$44&gt;0),((Skills!G9*((R239-1)*IF(Skills!H9&gt;0,Skills!I9/Skills!H9,1)+IF(Skills!H9&gt;0,MIN(Skills!I9,MAX(0,MAX(0,Inputs!$B$44-B275)-((R239-1)*IF(Inputs!$B$39="pvp",15,MAX(0.1,Skills!D9-IF(Skills!E9=TRUE,Inputs!$B$32,0))))))/Skills!H9,1)))/Inputs!$B$44),G239*Q239))*IF(Inputs!$B$39="pvp",1,1+(Inputs!$B$20+((C257=TRUE)*(F257-Calc!F27))+Skills!P9+B271)/100),0)</f>
        <v/>
      </c>
      <c r="V239">
        <f>IF(C239,(H239*N239*IF(AND(Inputs!$B$39&lt;&gt;"pvp",Inputs!$B$44&gt;0),((Skills!G9*((R239-1)*IF(Skills!H9&gt;0,Skills!I9/Skills!H9,1)+IF(Skills!H9&gt;0,MIN(Skills!I9,MAX(0,MAX(0,Inputs!$B$44-B275)-((R239-1)*IF(Inputs!$B$39="pvp",15,MAX(0.1,Skills!D9-IF(Skills!E9=TRUE,Inputs!$B$32,0))))))/Skills!H9,1)))/Inputs!$B$44),G239*Q239))*IF(Inputs!$B$39="pvp",1,(1+(Inputs!$B$21+Skills!Q9+B271)/100)*(MIN(Skills!W9,Inputs!$B$37))),0)</f>
        <v/>
      </c>
    </row>
    <row r="240">
      <c r="A240">
        <f>Skills!A10</f>
        <v/>
      </c>
      <c r="B240">
        <f>Skills!B10</f>
        <v/>
      </c>
      <c r="C240">
        <f>Inputs!$B$3&gt;=117</f>
        <v/>
      </c>
      <c r="D240">
        <f>IF(Skills!C10=1,60+Inputs!$B$25+Inputs!$B$29,IF(Skills!C10=2,90+Inputs!$B$26+Inputs!$B$29,IF(Skills!C10=3,120+Inputs!$B$27+Inputs!$B$29,MAX(0,(Inputs!$B$3-100)*3)+Inputs!$B$28+Inputs!$B$29)))</f>
        <v/>
      </c>
      <c r="E240">
        <f>INDEX(FactorTable!$B$2:$Y$301, MATCH(ROUND(MIN(300,MAX(1,D240)),0), FactorTable!$A$2:$A$301,0), Skills!M10+1)</f>
        <v/>
      </c>
      <c r="F240">
        <f>IF(Skills!N10=TRUE,(Skills!L10/10)*(E240/1000),Skills!L10/10)+Skills!O10</f>
        <v/>
      </c>
      <c r="G240">
        <f>Calc!G10</f>
        <v/>
      </c>
      <c r="H240">
        <f>Calc!H10</f>
        <v/>
      </c>
      <c r="I240">
        <f>IF(Skills!AA10&lt;&gt;"",1+(Skills!AA10/10)*(U233/1000)/100,1)</f>
        <v/>
      </c>
      <c r="J240">
        <f>((Inputs!$B$6*(1+Inputs!$B$7/100))+(((Inputs!$B$12*(1+Inputs!$B$13/100))-(Inputs!$B$12*(1+Inputs!$B$13/100)))+0.25*(Inputs!$B$14-Inputs!$B$14))*(1+Inputs!$B$7/100))*(F240/100)</f>
        <v/>
      </c>
      <c r="K240">
        <f>J240*(1+((Inputs!$B$12*(1+Inputs!$B$13/100))*0.01+Inputs!$B$14*0.0025)/100)*(1+Inputs!$B$15/100)*(1+(Inputs!$B$16+1)/100)*(5000/(6000+Inputs!$B$43*(1-Inputs!$B$19/100)))*(1+(Inputs!$B$24+((C260=TRUE)*(F260-Calc!F30)))/100)*(1+Skills!R10/100)*(1+(IF(Skills!A10="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240)</f>
        <v/>
      </c>
      <c r="L240">
        <f>K240*(MIN(Inputs!$B$22+((C254=TRUE)*(F254-Calc!F24)),Inputs!$B$23)/100+Inputs!$B$23/100)/2</f>
        <v/>
      </c>
      <c r="M240">
        <f>L240*(1+(Inputs!$B$10+((C256=TRUE)*(F256-Calc!F26))+B273)/100)</f>
        <v/>
      </c>
      <c r="N240">
        <f>L240*(1-MIN((Inputs!$B$9+((C255=TRUE)*(F255-Calc!F25))+B270),100)/100)+M240*(MIN((Inputs!$B$9+((C255=TRUE)*(F255-Calc!F25))+B270),100)/100)</f>
        <v/>
      </c>
      <c r="O240">
        <f>(1-Summary!$B$55)*T240+Summary!$B$55*V240</f>
        <v/>
      </c>
      <c r="P240">
        <f>IF(B274=0,0,O240/B274)</f>
        <v/>
      </c>
      <c r="Q240" t="n">
        <v>0</v>
      </c>
      <c r="R240" t="n">
        <v>0</v>
      </c>
      <c r="S240" t="n">
        <v>0</v>
      </c>
      <c r="T240">
        <f>IF(C240,(0.2*SUMPRODUCT((Skills!Z2:Z31=TRUE)*(C232:C261=TRUE)*S232:S261)*N240)*IF(Inputs!$B$39="pvp",1,1+(Inputs!$B$20+((C257=TRUE)*(F257-Calc!F27))+Skills!P10+B271)/100),0)</f>
        <v/>
      </c>
      <c r="V240">
        <f>IF(C240,(0.2*SUMPRODUCT((Skills!Z2:Z31=TRUE)*(C232:C261=TRUE)*S232:S261)*N240)*IF(Inputs!$B$39="pvp",1,(1+(Inputs!$B$21+Skills!Q10+B271)/100)*(MIN(Skills!W10,Inputs!$B$37))),0)</f>
        <v/>
      </c>
    </row>
    <row r="241">
      <c r="A241">
        <f>Skills!A11</f>
        <v/>
      </c>
      <c r="B241">
        <f>Skills!B11</f>
        <v/>
      </c>
      <c r="C241">
        <f>Inputs!$B$3&gt;=60</f>
        <v/>
      </c>
      <c r="D241">
        <f>IF(Skills!C11=1,60+Inputs!$B$25+Inputs!$B$29,IF(Skills!C11=2,90+Inputs!$B$26+Inputs!$B$29,IF(Skills!C11=3,120+Inputs!$B$27+Inputs!$B$29,MAX(0,(Inputs!$B$3-100)*3)+Inputs!$B$28+Inputs!$B$29)))</f>
        <v/>
      </c>
      <c r="E241">
        <f>INDEX(FactorTable!$B$2:$Y$301, MATCH(ROUND(MIN(300,MAX(1,D241)),0), FactorTable!$A$2:$A$301,0), Skills!M11+1)</f>
        <v/>
      </c>
      <c r="F241">
        <f>IF(Skills!N11=TRUE,(Skills!L11/10)*(E241/1000),Skills!L11/10)+Skills!O11</f>
        <v/>
      </c>
      <c r="G241">
        <f>Calc!G11</f>
        <v/>
      </c>
      <c r="H241">
        <f>Calc!H11</f>
        <v/>
      </c>
      <c r="I241">
        <f>IF(Skills!AA11&lt;&gt;"",1+(Skills!AA11/10)*(U233/1000)/100,1)</f>
        <v/>
      </c>
      <c r="J241" t="inlineStr"/>
      <c r="K241" t="inlineStr"/>
      <c r="L241" t="inlineStr"/>
      <c r="M241" t="inlineStr"/>
      <c r="N241" t="inlineStr"/>
      <c r="O241">
        <f>(1-Summary!$B$55)*T241+Summary!$B$55*V241</f>
        <v/>
      </c>
      <c r="P241">
        <f>IF(B274=0,0,O241/B274)</f>
        <v/>
      </c>
      <c r="Q241" t="n">
        <v>0</v>
      </c>
      <c r="R241" t="n">
        <v>0</v>
      </c>
      <c r="S241">
        <f>IFERROR(O241/N241,0)</f>
        <v/>
      </c>
      <c r="T241" t="n">
        <v>0</v>
      </c>
      <c r="V241" t="n">
        <v>0</v>
      </c>
    </row>
    <row r="242">
      <c r="A242">
        <f>Skills!A12</f>
        <v/>
      </c>
      <c r="B242">
        <f>Skills!B12</f>
        <v/>
      </c>
      <c r="C242">
        <f>Inputs!$B$3&gt;=103</f>
        <v/>
      </c>
      <c r="D242">
        <f>IF(Skills!C12=1,60+Inputs!$B$25+Inputs!$B$29,IF(Skills!C12=2,90+Inputs!$B$26+Inputs!$B$29,IF(Skills!C12=3,120+Inputs!$B$27+Inputs!$B$29,MAX(0,(Inputs!$B$3-100)*3)+Inputs!$B$28+Inputs!$B$29)))</f>
        <v/>
      </c>
      <c r="E242">
        <f>INDEX(FactorTable!$B$2:$Y$301, MATCH(ROUND(MIN(300,MAX(1,D242)),0), FactorTable!$A$2:$A$301,0), Skills!M12+1)</f>
        <v/>
      </c>
      <c r="F242">
        <f>IF(Skills!N12=TRUE,(Skills!L12/10)*(E242/1000),Skills!L12/10)+Skills!O12</f>
        <v/>
      </c>
      <c r="G242">
        <f>Calc!G12</f>
        <v/>
      </c>
      <c r="H242">
        <f>Calc!H12</f>
        <v/>
      </c>
      <c r="I242">
        <f>IF(Skills!AA12&lt;&gt;"",1+(Skills!AA12/10)*(U233/1000)/100,1)</f>
        <v/>
      </c>
      <c r="J242">
        <f>((Inputs!$B$6*(1+Inputs!$B$7/100))+(((Inputs!$B$12*(1+Inputs!$B$13/100))-(Inputs!$B$12*(1+Inputs!$B$13/100)))+0.25*(Inputs!$B$14-Inputs!$B$14))*(1+Inputs!$B$7/100))*(F242/100)</f>
        <v/>
      </c>
      <c r="K242">
        <f>J242*(1+((Inputs!$B$12*(1+Inputs!$B$13/100))*0.01+Inputs!$B$14*0.0025)/100)*(1+Inputs!$B$15/100)*(1+(Inputs!$B$16+1)/100)*(5000/(6000+Inputs!$B$43*(1-Inputs!$B$19/100)))*(1+(Inputs!$B$24+((C260=TRUE)*(F260-Calc!F30)))/100)*(1+Skills!R12/100)*(1+(IF(Skills!A12="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242)</f>
        <v/>
      </c>
      <c r="L242">
        <f>K242*(MIN(Inputs!$B$22+((C254=TRUE)*(F254-Calc!F24)),Inputs!$B$23)/100+Inputs!$B$23/100)/2</f>
        <v/>
      </c>
      <c r="M242">
        <f>L242*(1+(Inputs!$B$10+((C256=TRUE)*(F256-Calc!F26))+B273)/100)</f>
        <v/>
      </c>
      <c r="N242">
        <f>L242*(1-MIN((Inputs!$B$9+((C255=TRUE)*(F255-Calc!F25))+B270),100)/100)+M242*(MIN((Inputs!$B$9+((C255=TRUE)*(F255-Calc!F25))+B270),100)/100)</f>
        <v/>
      </c>
      <c r="O242">
        <f>(1-Summary!$B$55)*T242+Summary!$B$55*V242</f>
        <v/>
      </c>
      <c r="P242">
        <f>IF(B274=0,0,O242/B274)</f>
        <v/>
      </c>
      <c r="Q242">
        <f>IFERROR(1/IF(Inputs!$B$39="pvp",15,MAX(0.1,Skills!D12-IF(Skills!E12=TRUE,Inputs!$B$32,0))),0)</f>
        <v/>
      </c>
      <c r="R242">
        <f>IF(AND(Inputs!$B$39&lt;&gt;"pvp",Inputs!$B$44&gt;0),IF(MAX(0,Inputs!$B$44-B275)&lt;=0,0,(INT(MAX(0,Inputs!$B$44-B275)/IF(Inputs!$B$39="pvp",15,MAX(0.1,Skills!D12-IF(Skills!E12=TRUE,Inputs!$B$32,0))))+1)),0)</f>
        <v/>
      </c>
      <c r="S242">
        <f>IFERROR(O242/N242,0)</f>
        <v/>
      </c>
      <c r="T242">
        <f>IF(C242,(H242*N242*IF(AND(Inputs!$B$39&lt;&gt;"pvp",Inputs!$B$44&gt;0),((Skills!G12*((R242-1)*IF(Skills!H12&gt;0,Skills!I12/Skills!H12,1)+IF(Skills!H12&gt;0,MIN(Skills!I12,MAX(0,MAX(0,Inputs!$B$44-B275)-((R242-1)*IF(Inputs!$B$39="pvp",15,MAX(0.1,Skills!D12-IF(Skills!E12=TRUE,Inputs!$B$32,0))))))/Skills!H12,1)))/Inputs!$B$44),G242*Q242))*IF(Inputs!$B$39="pvp",1,1+(Inputs!$B$20+((C257=TRUE)*(F257-Calc!F27))+Skills!P12+B271)/100),0)</f>
        <v/>
      </c>
      <c r="V242">
        <f>IF(C242,(H242*N242*IF(AND(Inputs!$B$39&lt;&gt;"pvp",Inputs!$B$44&gt;0),((Skills!G12*((R242-1)*IF(Skills!H12&gt;0,Skills!I12/Skills!H12,1)+IF(Skills!H12&gt;0,MIN(Skills!I12,MAX(0,MAX(0,Inputs!$B$44-B275)-((R242-1)*IF(Inputs!$B$39="pvp",15,MAX(0.1,Skills!D12-IF(Skills!E12=TRUE,Inputs!$B$32,0))))))/Skills!H12,1)))/Inputs!$B$44),G242*Q242))*IF(Inputs!$B$39="pvp",1,(1+(Inputs!$B$21+Skills!Q12+B271)/100)*(MIN(Skills!W12,Inputs!$B$37))),0)</f>
        <v/>
      </c>
    </row>
    <row r="243">
      <c r="A243">
        <f>Skills!A13</f>
        <v/>
      </c>
      <c r="B243">
        <f>Skills!B13</f>
        <v/>
      </c>
      <c r="C243">
        <f>Inputs!$B$3&gt;=105</f>
        <v/>
      </c>
      <c r="D243">
        <f>IF(Skills!C13=1,60+Inputs!$B$25+Inputs!$B$29,IF(Skills!C13=2,90+Inputs!$B$26+Inputs!$B$29,IF(Skills!C13=3,120+Inputs!$B$27+Inputs!$B$29,MAX(0,(Inputs!$B$3-100)*3)+Inputs!$B$28+Inputs!$B$29)))</f>
        <v/>
      </c>
      <c r="E243">
        <f>INDEX(FactorTable!$B$2:$Y$301, MATCH(ROUND(MIN(300,MAX(1,D243)),0), FactorTable!$A$2:$A$301,0), Skills!M13+1)</f>
        <v/>
      </c>
      <c r="F243">
        <f>IF(Skills!N13=TRUE,(Skills!L13/10)*(E243/1000),Skills!L13/10)+Skills!O13</f>
        <v/>
      </c>
      <c r="G243">
        <f>Calc!G13</f>
        <v/>
      </c>
      <c r="H243">
        <f>Calc!H13</f>
        <v/>
      </c>
      <c r="I243">
        <f>IF(Skills!AA13&lt;&gt;"",1+(Skills!AA13/10)*(U233/1000)/100,1)</f>
        <v/>
      </c>
      <c r="J243">
        <f>((Inputs!$B$6*(1+Inputs!$B$7/100))+(((Inputs!$B$12*(1+Inputs!$B$13/100))-(Inputs!$B$12*(1+Inputs!$B$13/100)))+0.25*(Inputs!$B$14-Inputs!$B$14))*(1+Inputs!$B$7/100))*(F243/100)</f>
        <v/>
      </c>
      <c r="K243">
        <f>J243*(1+((Inputs!$B$12*(1+Inputs!$B$13/100))*0.01+Inputs!$B$14*0.0025)/100)*(1+Inputs!$B$15/100)*(1+(Inputs!$B$16+1)/100)*(5000/(6000+Inputs!$B$43*(1-Inputs!$B$19/100)))*(1+(Inputs!$B$24+((C260=TRUE)*(F260-Calc!F30)))/100)*(1+Skills!R13/100)*(1+(IF(Skills!A13="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243)</f>
        <v/>
      </c>
      <c r="L243">
        <f>K243*(MIN(Inputs!$B$22+((C254=TRUE)*(F254-Calc!F24)),Inputs!$B$23)/100+Inputs!$B$23/100)/2</f>
        <v/>
      </c>
      <c r="M243">
        <f>L243*(1+(Inputs!$B$10+((C256=TRUE)*(F256-Calc!F26))+B273)/100)</f>
        <v/>
      </c>
      <c r="N243">
        <f>L243*(1-MIN((Inputs!$B$9+((C255=TRUE)*(F255-Calc!F25))+B270),100)/100)+M243*(MIN((Inputs!$B$9+((C255=TRUE)*(F255-Calc!F25))+B270),100)/100)</f>
        <v/>
      </c>
      <c r="O243">
        <f>(1-Summary!$B$55)*T243+Summary!$B$55*V243</f>
        <v/>
      </c>
      <c r="P243">
        <f>IF(B274=0,0,O243/B274)</f>
        <v/>
      </c>
      <c r="Q243">
        <f>IFERROR(1/IF(Inputs!$B$39="pvp",15,MAX(0.1,Skills!D13-IF(Skills!E13=TRUE,Inputs!$B$32,0))),0)</f>
        <v/>
      </c>
      <c r="R243">
        <f>IF(AND(Inputs!$B$39&lt;&gt;"pvp",Inputs!$B$44&gt;0),IF(MAX(0,Inputs!$B$44-B275)&lt;=0,0,(INT(MAX(0,Inputs!$B$44-B275)/IF(Inputs!$B$39="pvp",15,MAX(0.1,Skills!D13-IF(Skills!E13=TRUE,Inputs!$B$32,0))))+1)),0)</f>
        <v/>
      </c>
      <c r="S243">
        <f>IFERROR(O243/N243,0)</f>
        <v/>
      </c>
      <c r="T243">
        <f>IF(C243,(H243*N243*IF(AND(Inputs!$B$39&lt;&gt;"pvp",Inputs!$B$44&gt;0),((Skills!G13*((R243-1)*IF(Skills!H13&gt;0,Skills!I13/Skills!H13,1)+IF(Skills!H13&gt;0,MIN(Skills!I13,MAX(0,MAX(0,Inputs!$B$44-B275)-((R243-1)*IF(Inputs!$B$39="pvp",15,MAX(0.1,Skills!D13-IF(Skills!E13=TRUE,Inputs!$B$32,0))))))/Skills!H13,1)))/Inputs!$B$44),G243*Q243))*IF(Inputs!$B$39="pvp",1,1+(Inputs!$B$20+((C257=TRUE)*(F257-Calc!F27))+Skills!P13+B271)/100),0)</f>
        <v/>
      </c>
      <c r="V243">
        <f>IF(C243,(H243*N243*IF(AND(Inputs!$B$39&lt;&gt;"pvp",Inputs!$B$44&gt;0),((Skills!G13*((R243-1)*IF(Skills!H13&gt;0,Skills!I13/Skills!H13,1)+IF(Skills!H13&gt;0,MIN(Skills!I13,MAX(0,MAX(0,Inputs!$B$44-B275)-((R243-1)*IF(Inputs!$B$39="pvp",15,MAX(0.1,Skills!D13-IF(Skills!E13=TRUE,Inputs!$B$32,0))))))/Skills!H13,1)))/Inputs!$B$44),G243*Q243))*IF(Inputs!$B$39="pvp",1,(1+(Inputs!$B$21+Skills!Q13+B271)/100)*(MIN(Skills!W13,Inputs!$B$37))),0)</f>
        <v/>
      </c>
    </row>
    <row r="244">
      <c r="A244">
        <f>Skills!A14</f>
        <v/>
      </c>
      <c r="B244">
        <f>Skills!B14</f>
        <v/>
      </c>
      <c r="C244">
        <f>Inputs!$B$3&gt;=105</f>
        <v/>
      </c>
      <c r="D244">
        <f>IF(Skills!C14=1,60+Inputs!$B$25+Inputs!$B$29,IF(Skills!C14=2,90+Inputs!$B$26+Inputs!$B$29,IF(Skills!C14=3,120+Inputs!$B$27+Inputs!$B$29,MAX(0,(Inputs!$B$3-100)*3)+Inputs!$B$28+Inputs!$B$29)))</f>
        <v/>
      </c>
      <c r="E244">
        <f>INDEX(FactorTable!$B$2:$Y$301, MATCH(ROUND(MIN(300,MAX(1,D244)),0), FactorTable!$A$2:$A$301,0), Skills!M14+1)</f>
        <v/>
      </c>
      <c r="F244">
        <f>IF(Skills!N14=TRUE,(Skills!L14/10)*(E244/1000),Skills!L14/10)+Skills!O14</f>
        <v/>
      </c>
      <c r="G244">
        <f>Calc!G14</f>
        <v/>
      </c>
      <c r="H244">
        <f>Calc!H14</f>
        <v/>
      </c>
      <c r="I244">
        <f>IF(Skills!AA14&lt;&gt;"",1+(Skills!AA14/10)*(U233/1000)/100,1)</f>
        <v/>
      </c>
      <c r="J244">
        <f>((Inputs!$B$6*(1+Inputs!$B$7/100))+(((Inputs!$B$12*(1+Inputs!$B$13/100))-(Inputs!$B$12*(1+Inputs!$B$13/100)))+0.25*(Inputs!$B$14-Inputs!$B$14))*(1+Inputs!$B$7/100))*(F244/100)</f>
        <v/>
      </c>
      <c r="K244">
        <f>J244*(1+((Inputs!$B$12*(1+Inputs!$B$13/100))*0.01+Inputs!$B$14*0.0025)/100)*(1+Inputs!$B$15/100)*(1+(Inputs!$B$16+1)/100)*(5000/(6000+Inputs!$B$43*(1-Inputs!$B$19/100)))*(1+(Inputs!$B$24+((C260=TRUE)*(F260-Calc!F30)))/100)*(1+Skills!R14/100)*(1+(IF(Skills!A14="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244)</f>
        <v/>
      </c>
      <c r="L244">
        <f>K244*(MIN(Inputs!$B$22+((C254=TRUE)*(F254-Calc!F24)),Inputs!$B$23)/100+Inputs!$B$23/100)/2</f>
        <v/>
      </c>
      <c r="M244">
        <f>L244*(1+(Inputs!$B$10+((C256=TRUE)*(F256-Calc!F26))+B273)/100)</f>
        <v/>
      </c>
      <c r="N244">
        <f>L244*(1-MIN((Inputs!$B$9+((C255=TRUE)*(F255-Calc!F25))+B270),100)/100)+M244*(MIN((Inputs!$B$9+((C255=TRUE)*(F255-Calc!F25))+B270),100)/100)</f>
        <v/>
      </c>
      <c r="O244">
        <f>(1-Summary!$B$55)*T244+Summary!$B$55*V244</f>
        <v/>
      </c>
      <c r="P244">
        <f>IF(B274=0,0,O244/B274)</f>
        <v/>
      </c>
      <c r="Q244">
        <f>IFERROR(1/IF(Inputs!$B$39="pvp",15,MAX(0.1,Skills!D14-IF(Skills!E14=TRUE,Inputs!$B$32,0))),0)</f>
        <v/>
      </c>
      <c r="R244">
        <f>IF(AND(Inputs!$B$39&lt;&gt;"pvp",Inputs!$B$44&gt;0),IF(MAX(0,Inputs!$B$44-B275)&lt;=0,0,(INT(MAX(0,Inputs!$B$44-B275)/IF(Inputs!$B$39="pvp",15,MAX(0.1,Skills!D14-IF(Skills!E14=TRUE,Inputs!$B$32,0))))+1)),0)</f>
        <v/>
      </c>
      <c r="S244">
        <f>IFERROR(O244/N244,0)</f>
        <v/>
      </c>
      <c r="T244">
        <f>IF(C244,(H244*N244*IF(AND(Inputs!$B$39&lt;&gt;"pvp",Inputs!$B$44&gt;0),((Skills!G14*((R244-1)*IF(Skills!H14&gt;0,Skills!I14/Skills!H14,1)+IF(Skills!H14&gt;0,MIN(Skills!I14,MAX(0,MAX(0,Inputs!$B$44-B275)-((R244-1)*IF(Inputs!$B$39="pvp",15,MAX(0.1,Skills!D14-IF(Skills!E14=TRUE,Inputs!$B$32,0))))))/Skills!H14,1)))/Inputs!$B$44),G244*Q244))*IF(Inputs!$B$39="pvp",1,1+(Inputs!$B$20+((C257=TRUE)*(F257-Calc!F27))+Skills!P14+B271)/100),0)</f>
        <v/>
      </c>
      <c r="V244">
        <f>IF(C244,(H244*N244*IF(AND(Inputs!$B$39&lt;&gt;"pvp",Inputs!$B$44&gt;0),((Skills!G14*((R244-1)*IF(Skills!H14&gt;0,Skills!I14/Skills!H14,1)+IF(Skills!H14&gt;0,MIN(Skills!I14,MAX(0,MAX(0,Inputs!$B$44-B275)-((R244-1)*IF(Inputs!$B$39="pvp",15,MAX(0.1,Skills!D14-IF(Skills!E14=TRUE,Inputs!$B$32,0))))))/Skills!H14,1)))/Inputs!$B$44),G244*Q244))*IF(Inputs!$B$39="pvp",1,(1+(Inputs!$B$21+Skills!Q14+B271)/100)*(MIN(Skills!W14,Inputs!$B$37))),0)</f>
        <v/>
      </c>
    </row>
    <row r="245">
      <c r="A245">
        <f>Skills!A15</f>
        <v/>
      </c>
      <c r="B245">
        <f>Skills!B15</f>
        <v/>
      </c>
      <c r="C245">
        <f>Inputs!$B$3&gt;=110</f>
        <v/>
      </c>
      <c r="D245">
        <f>IF(Skills!C15=1,60+Inputs!$B$25+Inputs!$B$29,IF(Skills!C15=2,90+Inputs!$B$26+Inputs!$B$29,IF(Skills!C15=3,120+Inputs!$B$27+Inputs!$B$29,MAX(0,(Inputs!$B$3-100)*3)+Inputs!$B$28+Inputs!$B$29)))</f>
        <v/>
      </c>
      <c r="E245">
        <f>INDEX(FactorTable!$B$2:$Y$301, MATCH(ROUND(MIN(300,MAX(1,D245)),0), FactorTable!$A$2:$A$301,0), Skills!M15+1)</f>
        <v/>
      </c>
      <c r="F245">
        <f>IF(Skills!N15=TRUE,(Skills!L15/10)*(E245/1000),Skills!L15/10)+Skills!O15</f>
        <v/>
      </c>
      <c r="G245">
        <f>Calc!G15</f>
        <v/>
      </c>
      <c r="H245">
        <f>Calc!H15</f>
        <v/>
      </c>
      <c r="I245">
        <f>IF(Skills!AA15&lt;&gt;"",1+(Skills!AA15/10)*(U233/1000)/100,1)</f>
        <v/>
      </c>
      <c r="J245" t="inlineStr"/>
      <c r="K245" t="inlineStr"/>
      <c r="L245" t="inlineStr"/>
      <c r="M245" t="inlineStr"/>
      <c r="N245" t="inlineStr"/>
      <c r="O245">
        <f>(1-Summary!$B$55)*T245+Summary!$B$55*V245</f>
        <v/>
      </c>
      <c r="P245">
        <f>IF(B274=0,0,O245/B274)</f>
        <v/>
      </c>
      <c r="Q245">
        <f>IFERROR(1/IF(Inputs!$B$39="pvp",15,MAX(0.1,Skills!D15-IF(Skills!E15=TRUE,Inputs!$B$32,0))),0)</f>
        <v/>
      </c>
      <c r="R245">
        <f>IF(AND(Inputs!$B$39&lt;&gt;"pvp",Inputs!$B$44&gt;0),IF(Inputs!$B$44&lt;=0,0,(INT(Inputs!$B$44/IF(Inputs!$B$39="pvp",15,MAX(0.1,Skills!D15-IF(Skills!E15=TRUE,Inputs!$B$32,0))))+1)),0)</f>
        <v/>
      </c>
      <c r="S245">
        <f>IFERROR(O245/N245,0)</f>
        <v/>
      </c>
      <c r="T245" t="n">
        <v>0</v>
      </c>
      <c r="V245" t="n">
        <v>0</v>
      </c>
    </row>
    <row r="246">
      <c r="A246">
        <f>Skills!A16</f>
        <v/>
      </c>
      <c r="B246">
        <f>Skills!B16</f>
        <v/>
      </c>
      <c r="C246">
        <f>Inputs!$B$3&gt;=110</f>
        <v/>
      </c>
      <c r="D246">
        <f>IF(Skills!C16=1,60+Inputs!$B$25+Inputs!$B$29,IF(Skills!C16=2,90+Inputs!$B$26+Inputs!$B$29,IF(Skills!C16=3,120+Inputs!$B$27+Inputs!$B$29,MAX(0,(Inputs!$B$3-100)*3)+Inputs!$B$28+Inputs!$B$29)))</f>
        <v/>
      </c>
      <c r="E246">
        <f>INDEX(FactorTable!$B$2:$Y$301, MATCH(ROUND(MIN(300,MAX(1,D246)),0), FactorTable!$A$2:$A$301,0), Skills!M16+1)</f>
        <v/>
      </c>
      <c r="F246">
        <f>IF(Skills!N16=TRUE,(Skills!L16/10)*(E246/1000),Skills!L16/10)+Skills!O16</f>
        <v/>
      </c>
      <c r="G246">
        <f>Calc!G16</f>
        <v/>
      </c>
      <c r="H246">
        <f>Calc!H16</f>
        <v/>
      </c>
      <c r="I246">
        <f>IF(Skills!AA16&lt;&gt;"",1+(Skills!AA16/10)*(U233/1000)/100,1)</f>
        <v/>
      </c>
      <c r="J246" t="inlineStr"/>
      <c r="K246" t="inlineStr"/>
      <c r="L246" t="inlineStr"/>
      <c r="M246" t="inlineStr"/>
      <c r="N246" t="inlineStr"/>
      <c r="O246">
        <f>(1-Summary!$B$55)*T246+Summary!$B$55*V246</f>
        <v/>
      </c>
      <c r="P246">
        <f>IF(B274=0,0,O246/B274)</f>
        <v/>
      </c>
      <c r="Q246">
        <f>IFERROR(1/IF(Inputs!$B$39="pvp",15,MAX(0.1,Skills!D16-IF(Skills!E16=TRUE,Inputs!$B$32,0))),0)</f>
        <v/>
      </c>
      <c r="R246">
        <f>IF(AND(Inputs!$B$39&lt;&gt;"pvp",Inputs!$B$44&gt;0),IF(Inputs!$B$44&lt;=0,0,(INT(Inputs!$B$44/IF(Inputs!$B$39="pvp",15,MAX(0.1,Skills!D16-IF(Skills!E16=TRUE,Inputs!$B$32,0))))+1)),0)</f>
        <v/>
      </c>
      <c r="S246">
        <f>IFERROR(O246/N246,0)</f>
        <v/>
      </c>
      <c r="T246" t="n">
        <v>0</v>
      </c>
      <c r="V246" t="n">
        <v>0</v>
      </c>
    </row>
    <row r="247">
      <c r="A247">
        <f>Skills!A17</f>
        <v/>
      </c>
      <c r="B247">
        <f>Skills!B17</f>
        <v/>
      </c>
      <c r="C247">
        <f>Inputs!$B$3&gt;=115</f>
        <v/>
      </c>
      <c r="D247">
        <f>IF(Skills!C17=1,60+Inputs!$B$25+Inputs!$B$29,IF(Skills!C17=2,90+Inputs!$B$26+Inputs!$B$29,IF(Skills!C17=3,120+Inputs!$B$27+Inputs!$B$29,MAX(0,(Inputs!$B$3-100)*3)+Inputs!$B$28+Inputs!$B$29)))</f>
        <v/>
      </c>
      <c r="E247">
        <f>INDEX(FactorTable!$B$2:$Y$301, MATCH(ROUND(MIN(300,MAX(1,D247)),0), FactorTable!$A$2:$A$301,0), Skills!M17+1)</f>
        <v/>
      </c>
      <c r="F247">
        <f>IF(Skills!N17=TRUE,(Skills!L17/10)*(E247/1000),Skills!L17/10)+Skills!O17</f>
        <v/>
      </c>
      <c r="G247">
        <f>Calc!G17</f>
        <v/>
      </c>
      <c r="H247">
        <f>Calc!H17</f>
        <v/>
      </c>
      <c r="I247">
        <f>IF(Skills!AA17&lt;&gt;"",1+(Skills!AA17/10)*(U233/1000)/100,1)</f>
        <v/>
      </c>
      <c r="J247">
        <f>((Inputs!$B$6*(1+Inputs!$B$7/100))+(((Inputs!$B$12*(1+Inputs!$B$13/100))-(Inputs!$B$12*(1+Inputs!$B$13/100)))+0.25*(Inputs!$B$14-Inputs!$B$14))*(1+Inputs!$B$7/100))*(F247/100)</f>
        <v/>
      </c>
      <c r="K247">
        <f>J247*(1+((Inputs!$B$12*(1+Inputs!$B$13/100))*0.01+Inputs!$B$14*0.0025)/100)*(1+Inputs!$B$15/100)*(1+(Inputs!$B$16+1)/100)*(5000/(6000+Inputs!$B$43*(1-Inputs!$B$19/100)))*(1+(Inputs!$B$24+((C260=TRUE)*(F260-Calc!F30)))/100)*(1+Skills!R17/100)*(1+(IF(Skills!A17="SHOWDOWN",Inputs!$B$17+((C253=TRUE)*(F253-Calc!F23)),Inputs!$B$18+((C259=TRUE)*(F259-Calc!F29))))/100)*(((1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B272*I247)</f>
        <v/>
      </c>
      <c r="L247">
        <f>K247*(MIN(Inputs!$B$22+((C254=TRUE)*(F254-Calc!F24)),Inputs!$B$23)/100+Inputs!$B$23/100)/2</f>
        <v/>
      </c>
      <c r="M247">
        <f>L247*(1+(Inputs!$B$10+((C256=TRUE)*(F256-Calc!F26))+B273)/100)</f>
        <v/>
      </c>
      <c r="N247">
        <f>L247*(1-MIN((Inputs!$B$9+((C255=TRUE)*(F255-Calc!F25))+B270),100)/100)+M247*(MIN((Inputs!$B$9+((C255=TRUE)*(F255-Calc!F25))+B270),100)/100)</f>
        <v/>
      </c>
      <c r="O247">
        <f>(1-Summary!$B$55)*T247+Summary!$B$55*V247</f>
        <v/>
      </c>
      <c r="P247">
        <f>IF(B274=0,0,O247/B274)</f>
        <v/>
      </c>
      <c r="Q247" t="n">
        <v>0</v>
      </c>
      <c r="R247" t="n">
        <v>0</v>
      </c>
      <c r="S247">
        <f>IFERROR(O247/N247,0)</f>
        <v/>
      </c>
      <c r="T247">
        <f>IF(C247,(Inputs!$B$38*0.2*N247)*IF(Inputs!$B$39="pvp",1,1+(Inputs!$B$20+((C257=TRUE)*(F257-Calc!F27))+Skills!P17+B271)/100),0)</f>
        <v/>
      </c>
      <c r="V247">
        <f>IF(C247,(Inputs!$B$38*0.2*N247)*IF(Inputs!$B$39="pvp",1,(1+(Inputs!$B$21+Skills!Q17+B271)/100)*(MIN(Skills!W17,Inputs!$B$37))),0)</f>
        <v/>
      </c>
    </row>
    <row r="248">
      <c r="A248">
        <f>Skills!A18</f>
        <v/>
      </c>
      <c r="B248">
        <f>Skills!B18</f>
        <v/>
      </c>
      <c r="C248">
        <f>Inputs!$B$3&gt;=115</f>
        <v/>
      </c>
      <c r="D248">
        <f>IF(Skills!C18=1,60+Inputs!$B$25+Inputs!$B$29,IF(Skills!C18=2,90+Inputs!$B$26+Inputs!$B$29,IF(Skills!C18=3,120+Inputs!$B$27+Inputs!$B$29,MAX(0,(Inputs!$B$3-100)*3)+Inputs!$B$28+Inputs!$B$29)))</f>
        <v/>
      </c>
      <c r="E248">
        <f>INDEX(FactorTable!$B$2:$Y$301, MATCH(ROUND(MIN(300,MAX(1,D248)),0), FactorTable!$A$2:$A$301,0), Skills!M18+1)</f>
        <v/>
      </c>
      <c r="F248">
        <f>IF(Skills!N18=TRUE,(Skills!L18/10)*(E248/1000),Skills!L18/10)+Skills!O18</f>
        <v/>
      </c>
      <c r="G248">
        <f>Calc!G18</f>
        <v/>
      </c>
      <c r="H248">
        <f>Calc!H18</f>
        <v/>
      </c>
      <c r="I248">
        <f>IF(Skills!AA18&lt;&gt;"",1+(Skills!AA18/10)*(U233/1000)/100,1)</f>
        <v/>
      </c>
      <c r="J248" t="inlineStr"/>
      <c r="K248" t="inlineStr"/>
      <c r="L248" t="inlineStr"/>
      <c r="M248" t="inlineStr"/>
      <c r="N248" t="inlineStr"/>
      <c r="O248">
        <f>(1-Summary!$B$55)*T248+Summary!$B$55*V248</f>
        <v/>
      </c>
      <c r="P248">
        <f>IF(B274=0,0,O248/B274)</f>
        <v/>
      </c>
      <c r="Q248" t="n">
        <v>0</v>
      </c>
      <c r="R248" t="n">
        <v>0</v>
      </c>
      <c r="S248">
        <f>IFERROR(O248/N248,0)</f>
        <v/>
      </c>
      <c r="T248" t="n">
        <v>0</v>
      </c>
      <c r="V248" t="n">
        <v>0</v>
      </c>
    </row>
    <row r="249">
      <c r="A249">
        <f>Skills!A19</f>
        <v/>
      </c>
      <c r="B249">
        <f>Skills!B19</f>
        <v/>
      </c>
      <c r="C249">
        <f>TRUE</f>
        <v/>
      </c>
      <c r="D249">
        <f>IF(Skills!C19=1,60+Inputs!$B$25+Inputs!$B$29,IF(Skills!C19=2,90+Inputs!$B$26+Inputs!$B$29,IF(Skills!C19=3,120+Inputs!$B$27+Inputs!$B$29,MAX(0,(Inputs!$B$3-100)*3)+Inputs!$B$28+Inputs!$B$29)))</f>
        <v/>
      </c>
      <c r="E249">
        <f>INDEX(FactorTable!$B$2:$Y$301, MATCH(ROUND(MIN(300,MAX(1,D249)),0), FactorTable!$A$2:$A$301,0), Skills!M19+1)</f>
        <v/>
      </c>
      <c r="F249">
        <f>IF(Skills!N19=TRUE,(Skills!L19/10)*(E249/1000),Skills!L19/10)+Skills!O19</f>
        <v/>
      </c>
      <c r="G249">
        <f>Calc!G19</f>
        <v/>
      </c>
      <c r="H249">
        <f>Calc!H19</f>
        <v/>
      </c>
      <c r="I249">
        <f>IF(Skills!AA19&lt;&gt;"",1+(Skills!AA19/10)*(U233/1000)/100,1)</f>
        <v/>
      </c>
      <c r="J249" t="inlineStr"/>
      <c r="K249" t="inlineStr"/>
      <c r="L249" t="inlineStr"/>
      <c r="M249" t="inlineStr"/>
      <c r="N249" t="inlineStr"/>
      <c r="O249">
        <f>(1-Summary!$B$55)*T249+Summary!$B$55*V249</f>
        <v/>
      </c>
      <c r="P249">
        <f>IF(B274=0,0,O249/B274)</f>
        <v/>
      </c>
      <c r="Q249">
        <f>IFERROR(1/IF(Inputs!$B$39="pvp",15,MAX(0.1,Skills!D19-IF(Skills!E19=TRUE,Inputs!$B$32,0))),0)</f>
        <v/>
      </c>
      <c r="R249">
        <f>IF(AND(Inputs!$B$39&lt;&gt;"pvp",Inputs!$B$44&gt;0),IF(Inputs!$B$44&lt;=0,0,(INT(Inputs!$B$44/IF(Inputs!$B$39="pvp",15,MAX(0.1,Skills!D19-IF(Skills!E19=TRUE,Inputs!$B$32,0))))+1)),0)</f>
        <v/>
      </c>
      <c r="S249">
        <f>IFERROR(O249/N249,0)</f>
        <v/>
      </c>
      <c r="T249" t="n">
        <v>0</v>
      </c>
      <c r="V249" t="n">
        <v>0</v>
      </c>
    </row>
    <row r="250">
      <c r="A250">
        <f>Skills!A20</f>
        <v/>
      </c>
      <c r="B250">
        <f>Skills!B20</f>
        <v/>
      </c>
      <c r="C250">
        <f>Inputs!$B$3&gt;=15</f>
        <v/>
      </c>
      <c r="D250">
        <f>IF(Skills!C20=1,60+Inputs!$B$25+Inputs!$B$29,IF(Skills!C20=2,90+Inputs!$B$26+Inputs!$B$29,IF(Skills!C20=3,120+Inputs!$B$27+Inputs!$B$29,MAX(0,(Inputs!$B$3-100)*3)+Inputs!$B$28+Inputs!$B$29)))</f>
        <v/>
      </c>
      <c r="E250">
        <f>INDEX(FactorTable!$B$2:$Y$301, MATCH(ROUND(MIN(300,MAX(1,D250)),0), FactorTable!$A$2:$A$301,0), Skills!M20+1)</f>
        <v/>
      </c>
      <c r="F250">
        <f>IF(Skills!N20=TRUE,(Skills!L20/10)*(E250/1000),Skills!L20/10)+Skills!O20</f>
        <v/>
      </c>
      <c r="G250">
        <f>Calc!G20</f>
        <v/>
      </c>
      <c r="H250">
        <f>Calc!H20</f>
        <v/>
      </c>
      <c r="I250">
        <f>IF(Skills!AA20&lt;&gt;"",1+(Skills!AA20/10)*(U233/1000)/100,1)</f>
        <v/>
      </c>
      <c r="J250" t="inlineStr"/>
      <c r="K250" t="inlineStr"/>
      <c r="L250" t="inlineStr"/>
      <c r="M250" t="inlineStr"/>
      <c r="N250" t="inlineStr"/>
      <c r="O250">
        <f>(1-Summary!$B$55)*T250+Summary!$B$55*V250</f>
        <v/>
      </c>
      <c r="P250">
        <f>IF(B274=0,0,O250/B274)</f>
        <v/>
      </c>
      <c r="Q250">
        <f>IFERROR(1/IF(Inputs!$B$39="pvp",15,MAX(0.1,Skills!D20-IF(Skills!E20=TRUE,Inputs!$B$32,0))),0)</f>
        <v/>
      </c>
      <c r="R250">
        <f>IF(AND(Inputs!$B$39&lt;&gt;"pvp",Inputs!$B$44&gt;0),IF(Inputs!$B$44&lt;=0,0,(INT(Inputs!$B$44/IF(Inputs!$B$39="pvp",15,MAX(0.1,Skills!D20-IF(Skills!E20=TRUE,Inputs!$B$32,0))))+1)),0)</f>
        <v/>
      </c>
      <c r="S250">
        <f>IFERROR(O250/N250,0)</f>
        <v/>
      </c>
      <c r="T250" t="n">
        <v>0</v>
      </c>
      <c r="V250" t="n">
        <v>0</v>
      </c>
    </row>
    <row r="251">
      <c r="A251">
        <f>Skills!A21</f>
        <v/>
      </c>
      <c r="B251">
        <f>Skills!B21</f>
        <v/>
      </c>
      <c r="C251">
        <f>Inputs!$B$3&gt;=15</f>
        <v/>
      </c>
      <c r="D251">
        <f>IF(Skills!C21=1,60+Inputs!$B$25+Inputs!$B$29,IF(Skills!C21=2,90+Inputs!$B$26+Inputs!$B$29,IF(Skills!C21=3,120+Inputs!$B$27+Inputs!$B$29,MAX(0,(Inputs!$B$3-100)*3)+Inputs!$B$28+Inputs!$B$29)))</f>
        <v/>
      </c>
      <c r="E251">
        <f>INDEX(FactorTable!$B$2:$Y$301, MATCH(ROUND(MIN(300,MAX(1,D251)),0), FactorTable!$A$2:$A$301,0), Skills!M21+1)</f>
        <v/>
      </c>
      <c r="F251">
        <f>IF(Skills!N21=TRUE,(Skills!L21/10)*(E251/1000),Skills!L21/10)+Skills!O21</f>
        <v/>
      </c>
      <c r="G251">
        <f>Calc!G21</f>
        <v/>
      </c>
      <c r="H251">
        <f>Calc!H21</f>
        <v/>
      </c>
      <c r="I251">
        <f>IF(Skills!AA21&lt;&gt;"",1+(Skills!AA21/10)*(U233/1000)/100,1)</f>
        <v/>
      </c>
      <c r="J251" t="inlineStr"/>
      <c r="K251" t="inlineStr"/>
      <c r="L251" t="inlineStr"/>
      <c r="M251" t="inlineStr"/>
      <c r="N251" t="inlineStr"/>
      <c r="O251">
        <f>(1-Summary!$B$55)*T251+Summary!$B$55*V251</f>
        <v/>
      </c>
      <c r="P251">
        <f>IF(B274=0,0,O251/B274)</f>
        <v/>
      </c>
      <c r="Q251">
        <f>IFERROR(1/IF(Inputs!$B$39="pvp",15,MAX(0.1,Skills!D21-IF(Skills!E21=TRUE,Inputs!$B$32,0))),0)</f>
        <v/>
      </c>
      <c r="R251">
        <f>IF(AND(Inputs!$B$39&lt;&gt;"pvp",Inputs!$B$44&gt;0),IF(Inputs!$B$44&lt;=0,0,(INT(Inputs!$B$44/IF(Inputs!$B$39="pvp",15,MAX(0.1,Skills!D21-IF(Skills!E21=TRUE,Inputs!$B$32,0))))+1)),0)</f>
        <v/>
      </c>
      <c r="S251">
        <f>IFERROR(O251/N251,0)</f>
        <v/>
      </c>
      <c r="T251" t="n">
        <v>0</v>
      </c>
      <c r="V251" t="n">
        <v>0</v>
      </c>
    </row>
    <row r="252">
      <c r="A252">
        <f>Skills!A22</f>
        <v/>
      </c>
      <c r="B252">
        <f>Skills!B22</f>
        <v/>
      </c>
      <c r="C252">
        <f>Inputs!$B$3&gt;=33</f>
        <v/>
      </c>
      <c r="D252">
        <f>IF(Skills!C22=1,60+Inputs!$B$25+Inputs!$B$29,IF(Skills!C22=2,90+Inputs!$B$26+Inputs!$B$29,IF(Skills!C22=3,120+Inputs!$B$27+Inputs!$B$29,MAX(0,(Inputs!$B$3-100)*3)+Inputs!$B$28+Inputs!$B$29)))</f>
        <v/>
      </c>
      <c r="E252">
        <f>INDEX(FactorTable!$B$2:$Y$301, MATCH(ROUND(MIN(300,MAX(1,D252)),0), FactorTable!$A$2:$A$301,0), Skills!M22+1)</f>
        <v/>
      </c>
      <c r="F252">
        <f>IF(Skills!N22=TRUE,(Skills!L22/10)*(E252/1000),Skills!L22/10)+Skills!O22</f>
        <v/>
      </c>
      <c r="G252">
        <f>Calc!G22</f>
        <v/>
      </c>
      <c r="H252">
        <f>Calc!H22</f>
        <v/>
      </c>
      <c r="I252">
        <f>IF(Skills!AA22&lt;&gt;"",1+(Skills!AA22/10)*(U233/1000)/100,1)</f>
        <v/>
      </c>
      <c r="J252" t="inlineStr"/>
      <c r="K252" t="inlineStr"/>
      <c r="L252" t="inlineStr"/>
      <c r="M252" t="inlineStr"/>
      <c r="N252" t="inlineStr"/>
      <c r="O252">
        <f>(1-Summary!$B$55)*T252+Summary!$B$55*V252</f>
        <v/>
      </c>
      <c r="P252">
        <f>IF(B274=0,0,O252/B274)</f>
        <v/>
      </c>
      <c r="Q252" t="n">
        <v>0</v>
      </c>
      <c r="R252" t="n">
        <v>0</v>
      </c>
      <c r="S252">
        <f>IFERROR(O252/N252,0)</f>
        <v/>
      </c>
      <c r="T252" t="n">
        <v>0</v>
      </c>
      <c r="V252" t="n">
        <v>0</v>
      </c>
    </row>
    <row r="253">
      <c r="A253">
        <f>Skills!A23</f>
        <v/>
      </c>
      <c r="B253">
        <f>Skills!B23</f>
        <v/>
      </c>
      <c r="C253">
        <f>Inputs!$B$3&gt;=38</f>
        <v/>
      </c>
      <c r="D253">
        <f>IF(Skills!C23=1,60+Inputs!$B$25+Inputs!$B$29,IF(Skills!C23=2,90+Inputs!$B$26+Inputs!$B$29,IF(Skills!C23=3,120+Inputs!$B$27+Inputs!$B$29,MAX(0,(Inputs!$B$3-100)*3)+Inputs!$B$28+Inputs!$B$29)))</f>
        <v/>
      </c>
      <c r="E253">
        <f>INDEX(FactorTable!$B$2:$Y$301, MATCH(ROUND(MIN(300,MAX(1,D253)),0), FactorTable!$A$2:$A$301,0), Skills!M23+1)</f>
        <v/>
      </c>
      <c r="F253">
        <f>IF(Skills!N23=TRUE,(Skills!L23/10)*(E253/1000),Skills!L23/10)+Skills!O23</f>
        <v/>
      </c>
      <c r="G253">
        <f>Calc!G23</f>
        <v/>
      </c>
      <c r="H253">
        <f>Calc!H23</f>
        <v/>
      </c>
      <c r="I253">
        <f>IF(Skills!AA23&lt;&gt;"",1+(Skills!AA23/10)*(U233/1000)/100,1)</f>
        <v/>
      </c>
      <c r="J253" t="inlineStr"/>
      <c r="K253" t="inlineStr"/>
      <c r="L253" t="inlineStr"/>
      <c r="M253" t="inlineStr"/>
      <c r="N253" t="inlineStr"/>
      <c r="O253">
        <f>(1-Summary!$B$55)*T253+Summary!$B$55*V253</f>
        <v/>
      </c>
      <c r="P253">
        <f>IF(B274=0,0,O253/B274)</f>
        <v/>
      </c>
      <c r="Q253" t="n">
        <v>0</v>
      </c>
      <c r="R253" t="n">
        <v>0</v>
      </c>
      <c r="S253">
        <f>IFERROR(O253/N253,0)</f>
        <v/>
      </c>
      <c r="T253" t="n">
        <v>0</v>
      </c>
      <c r="V253" t="n">
        <v>0</v>
      </c>
    </row>
    <row r="254">
      <c r="A254">
        <f>Skills!A24</f>
        <v/>
      </c>
      <c r="B254">
        <f>Skills!B24</f>
        <v/>
      </c>
      <c r="C254">
        <f>Inputs!$B$3&gt;=40</f>
        <v/>
      </c>
      <c r="D254">
        <f>IF(Skills!C24=1,60+Inputs!$B$25+Inputs!$B$29,IF(Skills!C24=2,90+Inputs!$B$26+Inputs!$B$29,IF(Skills!C24=3,120+Inputs!$B$27+Inputs!$B$29,MAX(0,(Inputs!$B$3-100)*3)+Inputs!$B$28+Inputs!$B$29)))</f>
        <v/>
      </c>
      <c r="E254">
        <f>INDEX(FactorTable!$B$2:$Y$301, MATCH(ROUND(MIN(300,MAX(1,D254)),0), FactorTable!$A$2:$A$301,0), Skills!M24+1)</f>
        <v/>
      </c>
      <c r="F254">
        <f>IF(Skills!N24=TRUE,(Skills!L24/10)*(E254/1000),Skills!L24/10)+Skills!O24</f>
        <v/>
      </c>
      <c r="G254">
        <f>Calc!G24</f>
        <v/>
      </c>
      <c r="H254">
        <f>Calc!H24</f>
        <v/>
      </c>
      <c r="I254">
        <f>IF(Skills!AA24&lt;&gt;"",1+(Skills!AA24/10)*(U233/1000)/100,1)</f>
        <v/>
      </c>
      <c r="J254" t="inlineStr"/>
      <c r="K254" t="inlineStr"/>
      <c r="L254" t="inlineStr"/>
      <c r="M254" t="inlineStr"/>
      <c r="N254" t="inlineStr"/>
      <c r="O254">
        <f>(1-Summary!$B$55)*T254+Summary!$B$55*V254</f>
        <v/>
      </c>
      <c r="P254">
        <f>IF(B274=0,0,O254/B274)</f>
        <v/>
      </c>
      <c r="Q254" t="n">
        <v>0</v>
      </c>
      <c r="R254" t="n">
        <v>0</v>
      </c>
      <c r="S254">
        <f>IFERROR(O254/N254,0)</f>
        <v/>
      </c>
      <c r="T254" t="n">
        <v>0</v>
      </c>
      <c r="V254" t="n">
        <v>0</v>
      </c>
    </row>
    <row r="255">
      <c r="A255">
        <f>Skills!A25</f>
        <v/>
      </c>
      <c r="B255">
        <f>Skills!B25</f>
        <v/>
      </c>
      <c r="C255">
        <f>Inputs!$B$3&gt;=45</f>
        <v/>
      </c>
      <c r="D255">
        <f>IF(Skills!C25=1,60+Inputs!$B$25+Inputs!$B$29,IF(Skills!C25=2,90+Inputs!$B$26+Inputs!$B$29,IF(Skills!C25=3,120+Inputs!$B$27+Inputs!$B$29,MAX(0,(Inputs!$B$3-100)*3)+Inputs!$B$28+Inputs!$B$29)))</f>
        <v/>
      </c>
      <c r="E255">
        <f>INDEX(FactorTable!$B$2:$Y$301, MATCH(ROUND(MIN(300,MAX(1,D255)),0), FactorTable!$A$2:$A$301,0), Skills!M25+1)</f>
        <v/>
      </c>
      <c r="F255">
        <f>IF(Skills!N25=TRUE,(Skills!L25/10)*(E255/1000),Skills!L25/10)+Skills!O25</f>
        <v/>
      </c>
      <c r="G255">
        <f>Calc!G25</f>
        <v/>
      </c>
      <c r="H255">
        <f>Calc!H25</f>
        <v/>
      </c>
      <c r="I255">
        <f>IF(Skills!AA25&lt;&gt;"",1+(Skills!AA25/10)*(U233/1000)/100,1)</f>
        <v/>
      </c>
      <c r="J255" t="inlineStr"/>
      <c r="K255" t="inlineStr"/>
      <c r="L255" t="inlineStr"/>
      <c r="M255" t="inlineStr"/>
      <c r="N255" t="inlineStr"/>
      <c r="O255">
        <f>(1-Summary!$B$55)*T255+Summary!$B$55*V255</f>
        <v/>
      </c>
      <c r="P255">
        <f>IF(B274=0,0,O255/B274)</f>
        <v/>
      </c>
      <c r="Q255" t="n">
        <v>0</v>
      </c>
      <c r="R255" t="n">
        <v>0</v>
      </c>
      <c r="S255">
        <f>IFERROR(O255/N255,0)</f>
        <v/>
      </c>
      <c r="T255" t="n">
        <v>0</v>
      </c>
      <c r="V255" t="n">
        <v>0</v>
      </c>
    </row>
    <row r="256">
      <c r="A256">
        <f>Skills!A26</f>
        <v/>
      </c>
      <c r="B256">
        <f>Skills!B26</f>
        <v/>
      </c>
      <c r="C256">
        <f>Inputs!$B$3&gt;=45</f>
        <v/>
      </c>
      <c r="D256">
        <f>IF(Skills!C26=1,60+Inputs!$B$25+Inputs!$B$29,IF(Skills!C26=2,90+Inputs!$B$26+Inputs!$B$29,IF(Skills!C26=3,120+Inputs!$B$27+Inputs!$B$29,MAX(0,(Inputs!$B$3-100)*3)+Inputs!$B$28+Inputs!$B$29)))</f>
        <v/>
      </c>
      <c r="E256">
        <f>INDEX(FactorTable!$B$2:$Y$301, MATCH(ROUND(MIN(300,MAX(1,D256)),0), FactorTable!$A$2:$A$301,0), Skills!M26+1)</f>
        <v/>
      </c>
      <c r="F256">
        <f>IF(Skills!N26=TRUE,(Skills!L26/10)*(E256/1000),Skills!L26/10)+Skills!O26</f>
        <v/>
      </c>
      <c r="G256">
        <f>Calc!G26</f>
        <v/>
      </c>
      <c r="H256">
        <f>Calc!H26</f>
        <v/>
      </c>
      <c r="I256">
        <f>IF(Skills!AA26&lt;&gt;"",1+(Skills!AA26/10)*(U233/1000)/100,1)</f>
        <v/>
      </c>
      <c r="J256" t="inlineStr"/>
      <c r="K256" t="inlineStr"/>
      <c r="L256" t="inlineStr"/>
      <c r="M256" t="inlineStr"/>
      <c r="N256" t="inlineStr"/>
      <c r="O256">
        <f>(1-Summary!$B$55)*T256+Summary!$B$55*V256</f>
        <v/>
      </c>
      <c r="P256">
        <f>IF(B274=0,0,O256/B274)</f>
        <v/>
      </c>
      <c r="Q256" t="n">
        <v>0</v>
      </c>
      <c r="R256" t="n">
        <v>0</v>
      </c>
      <c r="S256">
        <f>IFERROR(O256/N256,0)</f>
        <v/>
      </c>
      <c r="T256" t="n">
        <v>0</v>
      </c>
      <c r="V256" t="n">
        <v>0</v>
      </c>
    </row>
    <row r="257">
      <c r="A257">
        <f>Skills!A27</f>
        <v/>
      </c>
      <c r="B257">
        <f>Skills!B27</f>
        <v/>
      </c>
      <c r="C257">
        <f>Inputs!$B$3&gt;=72</f>
        <v/>
      </c>
      <c r="D257">
        <f>IF(Skills!C27=1,60+Inputs!$B$25+Inputs!$B$29,IF(Skills!C27=2,90+Inputs!$B$26+Inputs!$B$29,IF(Skills!C27=3,120+Inputs!$B$27+Inputs!$B$29,MAX(0,(Inputs!$B$3-100)*3)+Inputs!$B$28+Inputs!$B$29)))</f>
        <v/>
      </c>
      <c r="E257">
        <f>INDEX(FactorTable!$B$2:$Y$301, MATCH(ROUND(MIN(300,MAX(1,D257)),0), FactorTable!$A$2:$A$301,0), Skills!M27+1)</f>
        <v/>
      </c>
      <c r="F257">
        <f>IF(Skills!N27=TRUE,(Skills!L27/10)*(E257/1000),Skills!L27/10)+Skills!O27</f>
        <v/>
      </c>
      <c r="G257">
        <f>Calc!G27</f>
        <v/>
      </c>
      <c r="H257">
        <f>Calc!H27</f>
        <v/>
      </c>
      <c r="I257">
        <f>IF(Skills!AA27&lt;&gt;"",1+(Skills!AA27/10)*(U233/1000)/100,1)</f>
        <v/>
      </c>
      <c r="J257" t="inlineStr"/>
      <c r="K257" t="inlineStr"/>
      <c r="L257" t="inlineStr"/>
      <c r="M257" t="inlineStr"/>
      <c r="N257" t="inlineStr"/>
      <c r="O257">
        <f>(1-Summary!$B$55)*T257+Summary!$B$55*V257</f>
        <v/>
      </c>
      <c r="P257">
        <f>IF(B274=0,0,O257/B274)</f>
        <v/>
      </c>
      <c r="Q257" t="n">
        <v>0</v>
      </c>
      <c r="R257" t="n">
        <v>0</v>
      </c>
      <c r="S257">
        <f>IFERROR(O257/N257,0)</f>
        <v/>
      </c>
      <c r="T257" t="n">
        <v>0</v>
      </c>
      <c r="V257" t="n">
        <v>0</v>
      </c>
    </row>
    <row r="258">
      <c r="A258">
        <f>Skills!A28</f>
        <v/>
      </c>
      <c r="B258">
        <f>Skills!B28</f>
        <v/>
      </c>
      <c r="C258">
        <f>Inputs!$B$3&gt;=75</f>
        <v/>
      </c>
      <c r="D258">
        <f>IF(Skills!C28=1,60+Inputs!$B$25+Inputs!$B$29,IF(Skills!C28=2,90+Inputs!$B$26+Inputs!$B$29,IF(Skills!C28=3,120+Inputs!$B$27+Inputs!$B$29,MAX(0,(Inputs!$B$3-100)*3)+Inputs!$B$28+Inputs!$B$29)))</f>
        <v/>
      </c>
      <c r="E258">
        <f>INDEX(FactorTable!$B$2:$Y$301, MATCH(ROUND(MIN(300,MAX(1,D258)),0), FactorTable!$A$2:$A$301,0), Skills!M28+1)</f>
        <v/>
      </c>
      <c r="F258">
        <f>IF(Skills!N28=TRUE,(Skills!L28/10)*(E258/1000),Skills!L28/10)+Skills!O28</f>
        <v/>
      </c>
      <c r="G258">
        <f>Calc!G28</f>
        <v/>
      </c>
      <c r="H258">
        <f>Calc!H28</f>
        <v/>
      </c>
      <c r="I258">
        <f>IF(Skills!AA28&lt;&gt;"",1+(Skills!AA28/10)*(U233/1000)/100,1)</f>
        <v/>
      </c>
      <c r="J258" t="inlineStr"/>
      <c r="K258" t="inlineStr"/>
      <c r="L258" t="inlineStr"/>
      <c r="M258" t="inlineStr"/>
      <c r="N258" t="inlineStr"/>
      <c r="O258">
        <f>(1-Summary!$B$55)*T258+Summary!$B$55*V258</f>
        <v/>
      </c>
      <c r="P258">
        <f>IF(B274=0,0,O258/B274)</f>
        <v/>
      </c>
      <c r="Q258" t="n">
        <v>0</v>
      </c>
      <c r="R258" t="n">
        <v>0</v>
      </c>
      <c r="S258">
        <f>IFERROR(O258/N258,0)</f>
        <v/>
      </c>
      <c r="T258" t="n">
        <v>0</v>
      </c>
      <c r="V258" t="n">
        <v>0</v>
      </c>
    </row>
    <row r="259">
      <c r="A259">
        <f>Skills!A29</f>
        <v/>
      </c>
      <c r="B259">
        <f>Skills!B29</f>
        <v/>
      </c>
      <c r="C259">
        <f>Inputs!$B$3&gt;=120</f>
        <v/>
      </c>
      <c r="D259">
        <f>IF(Skills!C29=1,60+Inputs!$B$25+Inputs!$B$29,IF(Skills!C29=2,90+Inputs!$B$26+Inputs!$B$29,IF(Skills!C29=3,120+Inputs!$B$27+Inputs!$B$29,MAX(0,(Inputs!$B$3-100)*3)+Inputs!$B$28+Inputs!$B$29)))</f>
        <v/>
      </c>
      <c r="E259">
        <f>INDEX(FactorTable!$B$2:$Y$301, MATCH(ROUND(MIN(300,MAX(1,D259)),0), FactorTable!$A$2:$A$301,0), Skills!M29+1)</f>
        <v/>
      </c>
      <c r="F259">
        <f>IF(Skills!N29=TRUE,(Skills!L29/10)*(E259/1000),Skills!L29/10)+Skills!O29</f>
        <v/>
      </c>
      <c r="G259">
        <f>Calc!G29</f>
        <v/>
      </c>
      <c r="H259">
        <f>Calc!H29</f>
        <v/>
      </c>
      <c r="I259">
        <f>IF(Skills!AA29&lt;&gt;"",1+(Skills!AA29/10)*(U233/1000)/100,1)</f>
        <v/>
      </c>
      <c r="J259" t="inlineStr"/>
      <c r="K259" t="inlineStr"/>
      <c r="L259" t="inlineStr"/>
      <c r="M259" t="inlineStr"/>
      <c r="N259" t="inlineStr"/>
      <c r="O259">
        <f>(1-Summary!$B$55)*T259+Summary!$B$55*V259</f>
        <v/>
      </c>
      <c r="P259">
        <f>IF(B274=0,0,O259/B274)</f>
        <v/>
      </c>
      <c r="Q259" t="n">
        <v>0</v>
      </c>
      <c r="R259" t="n">
        <v>0</v>
      </c>
      <c r="S259">
        <f>IFERROR(O259/N259,0)</f>
        <v/>
      </c>
      <c r="T259" t="n">
        <v>0</v>
      </c>
      <c r="V259" t="n">
        <v>0</v>
      </c>
    </row>
    <row r="260">
      <c r="A260">
        <f>Skills!A30</f>
        <v/>
      </c>
      <c r="B260">
        <f>Skills!B30</f>
        <v/>
      </c>
      <c r="C260">
        <f>Inputs!$B$3&gt;=125</f>
        <v/>
      </c>
      <c r="D260">
        <f>IF(Skills!C30=1,60+Inputs!$B$25+Inputs!$B$29,IF(Skills!C30=2,90+Inputs!$B$26+Inputs!$B$29,IF(Skills!C30=3,120+Inputs!$B$27+Inputs!$B$29,MAX(0,(Inputs!$B$3-100)*3)+Inputs!$B$28+Inputs!$B$29)))</f>
        <v/>
      </c>
      <c r="E260">
        <f>INDEX(FactorTable!$B$2:$Y$301, MATCH(ROUND(MIN(300,MAX(1,D260)),0), FactorTable!$A$2:$A$301,0), Skills!M30+1)</f>
        <v/>
      </c>
      <c r="F260">
        <f>IF(Skills!N30=TRUE,(Skills!L30/10)*(E260/1000),Skills!L30/10)+Skills!O30</f>
        <v/>
      </c>
      <c r="G260">
        <f>Calc!G30</f>
        <v/>
      </c>
      <c r="H260">
        <f>Calc!H30</f>
        <v/>
      </c>
      <c r="I260">
        <f>IF(Skills!AA30&lt;&gt;"",1+(Skills!AA30/10)*(U233/1000)/100,1)</f>
        <v/>
      </c>
      <c r="J260" t="inlineStr"/>
      <c r="K260" t="inlineStr"/>
      <c r="L260" t="inlineStr"/>
      <c r="M260" t="inlineStr"/>
      <c r="N260" t="inlineStr"/>
      <c r="O260">
        <f>(1-Summary!$B$55)*T260+Summary!$B$55*V260</f>
        <v/>
      </c>
      <c r="P260">
        <f>IF(B274=0,0,O260/B274)</f>
        <v/>
      </c>
      <c r="Q260" t="n">
        <v>0</v>
      </c>
      <c r="R260" t="n">
        <v>0</v>
      </c>
      <c r="S260">
        <f>IFERROR(O260/N260,0)</f>
        <v/>
      </c>
      <c r="T260" t="n">
        <v>0</v>
      </c>
      <c r="V260" t="n">
        <v>0</v>
      </c>
    </row>
    <row r="261">
      <c r="A261">
        <f>Skills!A31</f>
        <v/>
      </c>
      <c r="B261">
        <f>Skills!B31</f>
        <v/>
      </c>
      <c r="C261">
        <f>Inputs!$B$3&gt;=107</f>
        <v/>
      </c>
      <c r="D261">
        <f>IF(Skills!C31=1,60+Inputs!$B$25+Inputs!$B$29,IF(Skills!C31=2,90+Inputs!$B$26+Inputs!$B$29,IF(Skills!C31=3,120+Inputs!$B$27+Inputs!$B$29,MAX(0,(Inputs!$B$3-100)*3)+Inputs!$B$28+Inputs!$B$29)))</f>
        <v/>
      </c>
      <c r="E261">
        <f>INDEX(FactorTable!$B$2:$Y$301, MATCH(ROUND(MIN(300,MAX(1,D261)),0), FactorTable!$A$2:$A$301,0), Skills!M31+1)</f>
        <v/>
      </c>
      <c r="F261">
        <f>IF(Skills!N31=TRUE,(Skills!L31/10)*(E261/1000),Skills!L31/10)+Skills!O31</f>
        <v/>
      </c>
      <c r="G261">
        <f>Calc!G31</f>
        <v/>
      </c>
      <c r="H261">
        <f>Calc!H31</f>
        <v/>
      </c>
      <c r="I261">
        <f>IF(Skills!AA31&lt;&gt;"",1+(Skills!AA31/10)*(U233/1000)/100,1)</f>
        <v/>
      </c>
      <c r="J261" t="inlineStr"/>
      <c r="K261" t="inlineStr"/>
      <c r="L261" t="inlineStr"/>
      <c r="M261" t="inlineStr"/>
      <c r="N261" t="inlineStr"/>
      <c r="O261">
        <f>(1-Summary!$B$55)*T261+Summary!$B$55*V261</f>
        <v/>
      </c>
      <c r="P261">
        <f>IF(B274=0,0,O261/B274)</f>
        <v/>
      </c>
      <c r="Q261" t="n">
        <v>0</v>
      </c>
      <c r="R261" t="n">
        <v>0</v>
      </c>
      <c r="S261">
        <f>IFERROR(O261/N261,0)</f>
        <v/>
      </c>
      <c r="T261" t="n">
        <v>0</v>
      </c>
      <c r="V261" t="n">
        <v>0</v>
      </c>
    </row>
    <row r="263">
      <c r="A263" t="inlineStr">
        <is>
          <t>Actions Per Second (pre-Adrenalin)</t>
        </is>
      </c>
      <c r="B263">
        <f>1+MIN(150,150*(1-(1-(Inputs!$B$11+((C252=TRUE)*(F252-Calc!F22)))/150)*(1-((C249=TRUE)*F249*IF(AND(Inputs!$B$39&lt;&gt;"pvp",Inputs!$B$44&gt;0),(((R249-1)*(Skills!Y19*(1+Inputs!$B$34/100))+MIN((Skills!Y19*(1+Inputs!$B$34/100)),MAX(0,Inputs!$B$44-((R249-1)*Skills!D19))))/Inputs!$B$44),IF(Inputs!$B$39="pvp",MIN((Skills!Y19*(1+Inputs!$B$34/100)),15)/15,(Skills!Y19*(1+Inputs!$B$34/100))/Skills!D19)))/150)))/100</f>
        <v/>
      </c>
    </row>
    <row r="264">
      <c r="A264" t="inlineStr">
        <is>
          <t>Alchemic Adrenaline Uptime</t>
        </is>
      </c>
      <c r="B264">
        <f>(Skills!Y6*(1+Inputs!$B$34/100))/((Skills!Y6*(1+Inputs!$B$34/100))+(5/B263))</f>
        <v/>
      </c>
    </row>
    <row r="265">
      <c r="A265" t="inlineStr">
        <is>
          <t>Attack Speed Buff Bonus %</t>
        </is>
      </c>
      <c r="B265">
        <f>((C249=TRUE)*F249*IF(AND(Inputs!$B$39&lt;&gt;"pvp",Inputs!$B$44&gt;0),(((R249-1)*(Skills!Y19*(1+Inputs!$B$34/100))+MIN((Skills!Y19*(1+Inputs!$B$34/100)),MAX(0,Inputs!$B$44-((R249-1)*Skills!D19))))/Inputs!$B$44),IF(Inputs!$B$39="pvp",MIN((Skills!Y19*(1+Inputs!$B$34/100)),15)/15,(Skills!Y19*(1+Inputs!$B$34/100))/Skills!D19)))+((C237=TRUE)*F237*B264)</f>
        <v/>
      </c>
    </row>
    <row r="266">
      <c r="A266" t="inlineStr">
        <is>
          <t>Actions Per Second (final)</t>
        </is>
      </c>
      <c r="B266">
        <f>1+MIN(150,150*(1-(1-(Inputs!$B$11+((C252=TRUE)*(F252-Calc!F22)))/150)*(1-B265/150)))/100</f>
        <v/>
      </c>
    </row>
    <row r="267">
      <c r="A267" t="inlineStr">
        <is>
          <t>Skill + Buff Cast Rate</t>
        </is>
      </c>
      <c r="B267">
        <f>IF(AND(Inputs!$B$39&lt;&gt;"pvp",Inputs!$B$44&gt;0),SUMPRODUCT((Skills!E2:E31=TRUE)*(C232:C261=TRUE)*R232:R261*Skills!F2:F31)/Inputs!$B$44,SUMPRODUCT((Skills!E2:E31=TRUE)*(C232:C261=TRUE)*Q232:Q261*Skills!F2:F31))</f>
        <v/>
      </c>
    </row>
    <row r="268">
      <c r="A268" t="inlineStr">
        <is>
          <t>Showdown Casts Per Second</t>
        </is>
      </c>
      <c r="B268">
        <f>MAX(0,B266-B267)</f>
        <v/>
      </c>
    </row>
    <row r="269">
      <c r="A269" t="inlineStr">
        <is>
          <t>Average Buff Multiplier</t>
        </is>
      </c>
      <c r="B269">
        <f>(1+(((C251=TRUE)*F251*IF(AND(Inputs!$B$39&lt;&gt;"pvp",Inputs!$B$44&gt;0),(((R251-1)*(Skills!Y21*(1+Inputs!$B$34/100))+MIN((Skills!Y21*(1+Inputs!$B$34/100)),MAX(0,Inputs!$B$44-((R251-1)*Skills!D21))))/Inputs!$B$44),IF(Inputs!$B$39="pvp",MIN((Skills!Y21*(1+Inputs!$B$34/100)),15)/15,(Skills!Y21*(1+Inputs!$B$34/100))/Skills!D21)))+((C258=TRUE)*(F258-Calc!F28))+((C248=TRUE)*(F248-Calc!F18)))/100)*(1+((C245=TRUE)*F245*IF(AND(Inputs!$B$39&lt;&gt;"pvp",Inputs!$B$44&gt;0),(((R245-1)*(Skills!Y15*(1+Inputs!$B$34/100))+MIN((Skills!Y15*(1+Inputs!$B$34/100)),MAX(0,Inputs!$B$44-((R245-1)*Skills!D15))))/Inputs!$B$44),IF(Inputs!$B$39="pvp",MIN((Skills!Y15*(1+Inputs!$B$34/100)),15)/15,(Skills!Y15*(1+Inputs!$B$34/100))/Skills!D15)))/100)*(1+((C236=TRUE)*F236*B264)/100)</f>
        <v/>
      </c>
    </row>
    <row r="270">
      <c r="A270" t="inlineStr">
        <is>
          <t>Global Crit Rate Bonus %</t>
        </is>
      </c>
      <c r="B270">
        <f>IF(Inputs!$B$3&gt;=47,8,0)+((C250=TRUE)*F250*IF(AND(Inputs!$B$39&lt;&gt;"pvp",Inputs!$B$44&gt;0),(((R250-1)*(Skills!Y20*(1+Inputs!$B$34/100))+MIN((Skills!Y20*(1+Inputs!$B$34/100)),MAX(0,Inputs!$B$44-((R250-1)*Skills!D20))))/Inputs!$B$44),IF(Inputs!$B$39="pvp",MIN((Skills!Y20*(1+Inputs!$B$34/100)),15)/15,(Skills!Y20*(1+Inputs!$B$34/100))/Skills!D20)))</f>
        <v/>
      </c>
    </row>
    <row r="271">
      <c r="A271" t="inlineStr">
        <is>
          <t>Global Monster Damage-Taken Bonus %</t>
        </is>
      </c>
      <c r="B271">
        <f>IF(Inputs!$B$3&gt;=82,15,0)+((C246=TRUE)*F246*IF(AND(Inputs!$B$39&lt;&gt;"pvp",Inputs!$B$44&gt;0),(((R246-1)*(Skills!Y16*(1+Inputs!$B$34/100))+MIN((Skills!Y16*(1+Inputs!$B$34/100)),MAX(0,Inputs!$B$44-((R246-1)*Skills!D16))))/Inputs!$B$44),IF(Inputs!$B$39="pvp",MIN((Skills!Y16*(1+Inputs!$B$34/100)),15)/15,(Skills!Y16*(1+Inputs!$B$34/100))/Skills!D16)))</f>
        <v/>
      </c>
    </row>
    <row r="272">
      <c r="A272" t="inlineStr">
        <is>
          <t>Shadow Partner Average Multiplier</t>
        </is>
      </c>
      <c r="B272">
        <f>1+((C241=TRUE)*F241*I241*Skills!J11/100)/100</f>
        <v/>
      </c>
    </row>
    <row r="273">
      <c r="A273" t="inlineStr">
        <is>
          <t>Global Critical Damage Bonus % (Frailty Curse Mastery Lv.111)</t>
        </is>
      </c>
      <c r="B273">
        <f>IF(Inputs!$B$3&gt;=111,30,0)*IF(AND(Inputs!$B$39&lt;&gt;"pvp",Inputs!$B$44&gt;0),(((R246-1)*(Skills!Y16*(1+Inputs!$B$34/100))+MIN((Skills!Y16*(1+Inputs!$B$34/100)),MAX(0,Inputs!$B$44-((R246-1)*Skills!D16))))/Inputs!$B$44),IF(Inputs!$B$39="pvp",MIN((Skills!Y16*(1+Inputs!$B$34/100)),15)/15,(Skills!Y16*(1+Inputs!$B$34/100))/Skills!D16))</f>
        <v/>
      </c>
    </row>
    <row r="274">
      <c r="A274" s="5" t="inlineStr">
        <is>
          <t>TOTAL DPS</t>
        </is>
      </c>
      <c r="B274" s="5">
        <f>SUM(O232:O261)</f>
        <v/>
      </c>
    </row>
    <row r="275">
      <c r="A275" t="inlineStr">
        <is>
          <t>Buff-Casting Startup Delay (s, fixed-duration only)</t>
        </is>
      </c>
      <c r="B275">
        <f>IF(AND(Inputs!$B$39&lt;&gt;"pvp",Inputs!$B$44&gt;0),SUMPRODUCT((Skills!Y2:Y31&gt;0)*(Skills!E2:E31=TRUE)*(C232:C261=TRUE))/B266,0)</f>
        <v/>
      </c>
    </row>
    <row r="276">
      <c r="A276" t="inlineStr">
        <is>
          <t>Boss-Only Total DPS (this block's swept value)</t>
        </is>
      </c>
      <c r="B276">
        <f>SUM(T232:T261)</f>
        <v/>
      </c>
    </row>
    <row r="277">
      <c r="A277" t="inlineStr">
        <is>
          <t>Normal-Only Total DPS (this block's swept value)</t>
        </is>
      </c>
      <c r="B277">
        <f>SUM(V232:V261)</f>
        <v/>
      </c>
    </row>
    <row r="279">
      <c r="A279" s="5" t="inlineStr">
        <is>
          <t>Stat: BOSS_DAMAGE %</t>
        </is>
      </c>
    </row>
    <row r="280">
      <c r="A280" s="9" t="inlineStr">
        <is>
          <t>Key</t>
        </is>
      </c>
      <c r="B280" s="9" t="inlineStr">
        <is>
          <t>Name</t>
        </is>
      </c>
      <c r="C280" s="9" t="inlineStr">
        <is>
          <t>Unlocked</t>
        </is>
      </c>
      <c r="D280" s="9" t="inlineStr">
        <is>
          <t>InputLevel</t>
        </is>
      </c>
      <c r="E280" s="9" t="inlineStr">
        <is>
          <t>Factor</t>
        </is>
      </c>
      <c r="F280" s="9" t="inlineStr">
        <is>
          <t>CoefficientPercent</t>
        </is>
      </c>
      <c r="G280" s="9" t="inlineStr">
        <is>
          <t>EffectiveHits</t>
        </is>
      </c>
      <c r="H280" s="9" t="inlineStr">
        <is>
          <t>ProcProbability</t>
        </is>
      </c>
      <c r="I280" s="9" t="inlineStr">
        <is>
          <t>MapleHeroMultiplier</t>
        </is>
      </c>
      <c r="J280" s="9" t="inlineStr">
        <is>
          <t>BaseDamage</t>
        </is>
      </c>
      <c r="K280" s="9" t="inlineStr">
        <is>
          <t>BaseHitDamage</t>
        </is>
      </c>
      <c r="L280" s="9" t="inlineStr">
        <is>
          <t>NonCritAvg</t>
        </is>
      </c>
      <c r="M280" s="9" t="inlineStr">
        <is>
          <t>CritAvg</t>
        </is>
      </c>
      <c r="N280" s="9" t="inlineStr">
        <is>
          <t>ExpectedDamage(perHit)</t>
        </is>
      </c>
      <c r="O280" s="9" t="inlineStr">
        <is>
          <t>DPS</t>
        </is>
      </c>
      <c r="P280" s="9" t="inlineStr">
        <is>
          <t>% of Total</t>
        </is>
      </c>
      <c r="Q280" s="9" t="inlineStr">
        <is>
          <t>InvCooldown</t>
        </is>
      </c>
      <c r="R280" s="9" t="inlineStr">
        <is>
          <t>CastsInFight</t>
        </is>
      </c>
      <c r="S280" s="9" t="inlineStr">
        <is>
          <t>HitRate(perSec)</t>
        </is>
      </c>
      <c r="U280" t="inlineStr">
        <is>
          <t>helpers</t>
        </is>
      </c>
    </row>
    <row r="281">
      <c r="A281">
        <f>Skills!A2</f>
        <v/>
      </c>
      <c r="B281">
        <f>Skills!B2</f>
        <v/>
      </c>
      <c r="C281">
        <f>Inputs!$B$3&gt;=100</f>
        <v/>
      </c>
      <c r="D281" t="inlineStr"/>
      <c r="E281" t="inlineStr"/>
      <c r="F281">
        <f>U285+Skills!O2</f>
        <v/>
      </c>
      <c r="G281">
        <f>Calc!G2</f>
        <v/>
      </c>
      <c r="H281">
        <f>Calc!H2</f>
        <v/>
      </c>
      <c r="I281">
        <f>IF(Skills!AA2&lt;&gt;"",1+(Skills!AA2/10)*(U282/1000)/100,1)</f>
        <v/>
      </c>
      <c r="J281">
        <f>((Inputs!$B$6*(1+Inputs!$B$7/100))+(((Inputs!$B$12*(1+Inputs!$B$13/100))-(Inputs!$B$12*(1+Inputs!$B$13/100)))+0.25*(Inputs!$B$14-Inputs!$B$14))*(1+Inputs!$B$7/100))*(F281/100)</f>
        <v/>
      </c>
      <c r="K281">
        <f>J281*(1+((Inputs!$B$12*(1+Inputs!$B$13/100))*0.01+Inputs!$B$14*0.0025)/100)*(1+Inputs!$B$15/100)*(1+Inputs!$B$16/100)*(5000/(6000+Inputs!$B$43*(1-Inputs!$B$19/100)))*(1+(Inputs!$B$24+((C309=TRUE)*(F309-Calc!F30)))/100)*(1+Skills!R2/100)*(1+(IF(Skills!A2="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281)</f>
        <v/>
      </c>
      <c r="L281">
        <f>K281*(MIN(Inputs!$B$22+((C303=TRUE)*(F303-Calc!F24)),Inputs!$B$23)/100+Inputs!$B$23/100)/2</f>
        <v/>
      </c>
      <c r="M281">
        <f>L281*(1+(Inputs!$B$10+((C305=TRUE)*(F305-Calc!F26))+B322)/100)</f>
        <v/>
      </c>
      <c r="N281">
        <f>L281*(1-MIN((Inputs!$B$9+((C304=TRUE)*(F304-Calc!F25))+B319),100)/100)+M281*(MIN((Inputs!$B$9+((C304=TRUE)*(F304-Calc!F25))+B319),100)/100)</f>
        <v/>
      </c>
      <c r="O281">
        <f>(1-Summary!$B$55)*T281+Summary!$B$55*V281</f>
        <v/>
      </c>
      <c r="P281">
        <f>IF(B323=0,0,O281/B323)</f>
        <v/>
      </c>
      <c r="Q281" t="n">
        <v>0</v>
      </c>
      <c r="R281" t="n">
        <v>0</v>
      </c>
      <c r="S281">
        <f>IFERROR(O281/N281,0)</f>
        <v/>
      </c>
      <c r="T281">
        <f>IF(C281,(Skills!G2*N281*B317)*IF(Inputs!$B$39="pvp",1,1+((Inputs!$B$20+1)+((C306=TRUE)*(F306-Calc!F27))+Skills!P2+B320)/100),0)</f>
        <v/>
      </c>
      <c r="U281">
        <f>MAX(0,(Inputs!$B$3-100)*3)+Inputs!$B$28+Inputs!$B$29</f>
        <v/>
      </c>
      <c r="V281">
        <f>IF(C281,(Skills!G2*N281*B317)*IF(Inputs!$B$39="pvp",1,(1+(Inputs!$B$21+Skills!Q2+B320)/100)*(MIN((6+Inputs!$B$33),Inputs!$B$37))),0)</f>
        <v/>
      </c>
    </row>
    <row r="282">
      <c r="A282">
        <f>Skills!A3</f>
        <v/>
      </c>
      <c r="B282">
        <f>Skills!B3</f>
        <v/>
      </c>
      <c r="C282">
        <f>Inputs!$B$3&gt;=35</f>
        <v/>
      </c>
      <c r="D282">
        <f>IF(Skills!C3=1,60+Inputs!$B$25+Inputs!$B$29,IF(Skills!C3=2,90+Inputs!$B$26+Inputs!$B$29,IF(Skills!C3=3,120+Inputs!$B$27+Inputs!$B$29,MAX(0,(Inputs!$B$3-100)*3)+Inputs!$B$28+Inputs!$B$29)))</f>
        <v/>
      </c>
      <c r="E282">
        <f>INDEX(FactorTable!$B$2:$Y$301, MATCH(ROUND(MIN(300,MAX(1,D282)),0), FactorTable!$A$2:$A$301,0), Skills!M3+1)</f>
        <v/>
      </c>
      <c r="F282">
        <f>IF(Skills!N3=TRUE,(Skills!L3/10)*(E282/1000),Skills!L3/10)+Skills!O3</f>
        <v/>
      </c>
      <c r="G282">
        <f>Calc!G3</f>
        <v/>
      </c>
      <c r="H282">
        <f>Calc!H3</f>
        <v/>
      </c>
      <c r="I282">
        <f>IF(Skills!AA3&lt;&gt;"",1+(Skills!AA3/10)*(U282/1000)/100,1)</f>
        <v/>
      </c>
      <c r="J282">
        <f>((Inputs!$B$6*(1+Inputs!$B$7/100))+(((Inputs!$B$12*(1+Inputs!$B$13/100))-(Inputs!$B$12*(1+Inputs!$B$13/100)))+0.25*(Inputs!$B$14-Inputs!$B$14))*(1+Inputs!$B$7/100))*(F282/100)</f>
        <v/>
      </c>
      <c r="K282">
        <f>J282*(1+((Inputs!$B$12*(1+Inputs!$B$13/100))*0.01+Inputs!$B$14*0.0025)/100)*(1+Inputs!$B$15/100)*(1+Inputs!$B$16/100)*(5000/(6000+Inputs!$B$43*(1-Inputs!$B$19/100)))*(1+(Inputs!$B$24+((C309=TRUE)*(F309-Calc!F30)))/100)*(1+Skills!R3/100)*(1+(IF(Skills!A3="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282)</f>
        <v/>
      </c>
      <c r="L282">
        <f>K282*(MIN(Inputs!$B$22+((C303=TRUE)*(F303-Calc!F24)),Inputs!$B$23)/100+Inputs!$B$23/100)/2</f>
        <v/>
      </c>
      <c r="M282">
        <f>L282*(1+(Inputs!$B$10+((C305=TRUE)*(F305-Calc!F26))+B322)/100)</f>
        <v/>
      </c>
      <c r="N282">
        <f>L282*(1-MIN((Inputs!$B$9+((C304=TRUE)*(F304-Calc!F25))+B319),100)/100)+M282*(MIN((Inputs!$B$9+((C304=TRUE)*(F304-Calc!F25))+B319),100)/100)</f>
        <v/>
      </c>
      <c r="O282">
        <f>(1-Summary!$B$55)*T282+Summary!$B$55*V282</f>
        <v/>
      </c>
      <c r="P282">
        <f>IF(B323=0,0,O282/B323)</f>
        <v/>
      </c>
      <c r="Q282">
        <f>IFERROR(1/IF(Inputs!$B$39="pvp",15,MAX(0.1,Skills!D3-IF(Skills!E3=TRUE,Inputs!$B$32,0))),0)</f>
        <v/>
      </c>
      <c r="R282">
        <f>IF(AND(Inputs!$B$39&lt;&gt;"pvp",Inputs!$B$44&gt;0),IF(MAX(0,Inputs!$B$44-B324)&lt;=0,0,(INT(MAX(0,Inputs!$B$44-B324)/IF(Inputs!$B$39="pvp",15,MAX(0.1,Skills!D3-IF(Skills!E3=TRUE,Inputs!$B$32,0))))+1)),0)</f>
        <v/>
      </c>
      <c r="S282">
        <f>IFERROR(O282/N282,0)</f>
        <v/>
      </c>
      <c r="T282">
        <f>IF(C282,(H282*N282*IF(AND(Inputs!$B$39&lt;&gt;"pvp",Inputs!$B$44&gt;0),((Skills!G3*((R282-1)*IF(Skills!H3&gt;0,Skills!I3/Skills!H3,1)+IF(Skills!H3&gt;0,MIN(Skills!I3,MAX(0,MAX(0,Inputs!$B$44-B324)-((R282-1)*IF(Inputs!$B$39="pvp",15,MAX(0.1,Skills!D3-IF(Skills!E3=TRUE,Inputs!$B$32,0))))))/Skills!H3,1)))/Inputs!$B$44),G282*Q282))*IF(Inputs!$B$39="pvp",1,1+((Inputs!$B$20+1)+((C306=TRUE)*(F306-Calc!F27))+Skills!P3+B320)/100),0)</f>
        <v/>
      </c>
      <c r="U282">
        <f>INDEX(FactorTable!$B$2:$Y$301, MATCH(ROUND(MIN(300,MAX(1,U281)),0), FactorTable!$A$2:$A$301,0), 24)</f>
        <v/>
      </c>
      <c r="V282">
        <f>IF(C282,(H282*N282*IF(AND(Inputs!$B$39&lt;&gt;"pvp",Inputs!$B$44&gt;0),((Skills!G3*((R282-1)*IF(Skills!H3&gt;0,Skills!I3/Skills!H3,1)+IF(Skills!H3&gt;0,MIN(Skills!I3,MAX(0,MAX(0,Inputs!$B$44-B324)-((R282-1)*IF(Inputs!$B$39="pvp",15,MAX(0.1,Skills!D3-IF(Skills!E3=TRUE,Inputs!$B$32,0))))))/Skills!H3,1)))/Inputs!$B$44),G282*Q282))*IF(Inputs!$B$39="pvp",1,(1+(Inputs!$B$21+Skills!Q3+B320)/100)*(MIN(Skills!W3,Inputs!$B$37))),0)</f>
        <v/>
      </c>
    </row>
    <row r="283">
      <c r="A283">
        <f>Skills!A4</f>
        <v/>
      </c>
      <c r="B283">
        <f>Skills!B4</f>
        <v/>
      </c>
      <c r="C283">
        <f>Inputs!$B$3&gt;=40</f>
        <v/>
      </c>
      <c r="D283">
        <f>IF(Skills!C4=1,60+Inputs!$B$25+Inputs!$B$29,IF(Skills!C4=2,90+Inputs!$B$26+Inputs!$B$29,IF(Skills!C4=3,120+Inputs!$B$27+Inputs!$B$29,MAX(0,(Inputs!$B$3-100)*3)+Inputs!$B$28+Inputs!$B$29)))</f>
        <v/>
      </c>
      <c r="E283">
        <f>INDEX(FactorTable!$B$2:$Y$301, MATCH(ROUND(MIN(300,MAX(1,D283)),0), FactorTable!$A$2:$A$301,0), Skills!M4+1)</f>
        <v/>
      </c>
      <c r="F283">
        <f>IF(Skills!N4=TRUE,(Skills!L4/10)*(E283/1000),Skills!L4/10)+Skills!O4</f>
        <v/>
      </c>
      <c r="G283">
        <f>Calc!G4</f>
        <v/>
      </c>
      <c r="H283">
        <f>Calc!H4</f>
        <v/>
      </c>
      <c r="I283">
        <f>IF(Skills!AA4&lt;&gt;"",1+(Skills!AA4/10)*(U282/1000)/100,1)</f>
        <v/>
      </c>
      <c r="J283">
        <f>((Inputs!$B$6*(1+Inputs!$B$7/100))+(((Inputs!$B$12*(1+Inputs!$B$13/100))-(Inputs!$B$12*(1+Inputs!$B$13/100)))+0.25*(Inputs!$B$14-Inputs!$B$14))*(1+Inputs!$B$7/100))*(F283/100)</f>
        <v/>
      </c>
      <c r="K283">
        <f>J283*(1+((Inputs!$B$12*(1+Inputs!$B$13/100))*0.01+Inputs!$B$14*0.0025)/100)*(1+Inputs!$B$15/100)*(1+Inputs!$B$16/100)*(5000/(6000+Inputs!$B$43*(1-Inputs!$B$19/100)))*(1+(Inputs!$B$24+((C309=TRUE)*(F309-Calc!F30)))/100)*(1+Skills!R4/100)*(1+(IF(Skills!A4="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283)</f>
        <v/>
      </c>
      <c r="L283">
        <f>K283*(MIN(Inputs!$B$22+((C303=TRUE)*(F303-Calc!F24)),Inputs!$B$23)/100+Inputs!$B$23/100)/2</f>
        <v/>
      </c>
      <c r="M283">
        <f>L283*(1+(Inputs!$B$10+((C305=TRUE)*(F305-Calc!F26))+B322)/100)</f>
        <v/>
      </c>
      <c r="N283">
        <f>L283*(1-MIN((Inputs!$B$9+((C304=TRUE)*(F304-Calc!F25))+B319),100)/100)+M283*(MIN((Inputs!$B$9+((C304=TRUE)*(F304-Calc!F25))+B319),100)/100)</f>
        <v/>
      </c>
      <c r="O283">
        <f>(1-Summary!$B$55)*T283+Summary!$B$55*V283</f>
        <v/>
      </c>
      <c r="P283">
        <f>IF(B323=0,0,O283/B323)</f>
        <v/>
      </c>
      <c r="Q283">
        <f>IFERROR(1/IF(Inputs!$B$39="pvp",15,MAX(0.1,Skills!D4-IF(Skills!E4=TRUE,Inputs!$B$32,0))),0)</f>
        <v/>
      </c>
      <c r="R283">
        <f>IF(AND(Inputs!$B$39&lt;&gt;"pvp",Inputs!$B$44&gt;0),IF(MAX(0,Inputs!$B$44-B324)&lt;=0,0,(INT(MAX(0,Inputs!$B$44-B324)/IF(Inputs!$B$39="pvp",15,MAX(0.1,Skills!D4-IF(Skills!E4=TRUE,Inputs!$B$32,0))))+1)),0)</f>
        <v/>
      </c>
      <c r="S283">
        <f>IFERROR(O283/N283,0)</f>
        <v/>
      </c>
      <c r="T283">
        <f>IF(C283,(H283*N283*IF(AND(Inputs!$B$39&lt;&gt;"pvp",Inputs!$B$44&gt;0),((Skills!G4*((R283-1)*IF(Skills!H4&gt;0,Skills!I4/Skills!H4,1)+IF(Skills!H4&gt;0,MIN(Skills!I4,MAX(0,MAX(0,Inputs!$B$44-B324)-((R283-1)*IF(Inputs!$B$39="pvp",15,MAX(0.1,Skills!D4-IF(Skills!E4=TRUE,Inputs!$B$32,0))))))/Skills!H4,1)))/Inputs!$B$44),G283*Q283))*IF(Inputs!$B$39="pvp",1,1+((Inputs!$B$20+1)+((C306=TRUE)*(F306-Calc!F27))+Skills!P4+B320)/100),0)</f>
        <v/>
      </c>
      <c r="U283">
        <f>MAX(0,(Inputs!$B$3-100)*3)+Inputs!$B$28+Inputs!$B$29</f>
        <v/>
      </c>
      <c r="V283">
        <f>IF(C283,(H283*N283*IF(AND(Inputs!$B$39&lt;&gt;"pvp",Inputs!$B$44&gt;0),((Skills!G4*((R283-1)*IF(Skills!H4&gt;0,Skills!I4/Skills!H4,1)+IF(Skills!H4&gt;0,MIN(Skills!I4,MAX(0,MAX(0,Inputs!$B$44-B324)-((R283-1)*IF(Inputs!$B$39="pvp",15,MAX(0.1,Skills!D4-IF(Skills!E4=TRUE,Inputs!$B$32,0))))))/Skills!H4,1)))/Inputs!$B$44),G283*Q283))*IF(Inputs!$B$39="pvp",1,(1+(Inputs!$B$21+Skills!Q4+B320)/100)*(MIN(Skills!W4,Inputs!$B$37))),0)</f>
        <v/>
      </c>
    </row>
    <row r="284">
      <c r="A284">
        <f>Skills!A5</f>
        <v/>
      </c>
      <c r="B284">
        <f>Skills!B5</f>
        <v/>
      </c>
      <c r="C284">
        <f>Inputs!$B$3&gt;=63</f>
        <v/>
      </c>
      <c r="D284">
        <f>IF(Skills!C5=1,60+Inputs!$B$25+Inputs!$B$29,IF(Skills!C5=2,90+Inputs!$B$26+Inputs!$B$29,IF(Skills!C5=3,120+Inputs!$B$27+Inputs!$B$29,MAX(0,(Inputs!$B$3-100)*3)+Inputs!$B$28+Inputs!$B$29)))</f>
        <v/>
      </c>
      <c r="E284">
        <f>INDEX(FactorTable!$B$2:$Y$301, MATCH(ROUND(MIN(300,MAX(1,D284)),0), FactorTable!$A$2:$A$301,0), Skills!M5+1)</f>
        <v/>
      </c>
      <c r="F284">
        <f>IF(Skills!N5=TRUE,(Skills!L5/10)*(E284/1000),Skills!L5/10)+Skills!O5</f>
        <v/>
      </c>
      <c r="G284">
        <f>Calc!G5</f>
        <v/>
      </c>
      <c r="H284">
        <f>Calc!H5</f>
        <v/>
      </c>
      <c r="I284">
        <f>IF(Skills!AA5&lt;&gt;"",1+(Skills!AA5/10)*(U282/1000)/100,1)</f>
        <v/>
      </c>
      <c r="J284">
        <f>((Inputs!$B$6*(1+Inputs!$B$7/100))+(((Inputs!$B$12*(1+Inputs!$B$13/100))-(Inputs!$B$12*(1+Inputs!$B$13/100)))+0.25*(Inputs!$B$14-Inputs!$B$14))*(1+Inputs!$B$7/100))*(F284/100)</f>
        <v/>
      </c>
      <c r="K284">
        <f>J284*(1+((Inputs!$B$12*(1+Inputs!$B$13/100))*0.01+Inputs!$B$14*0.0025)/100)*(1+Inputs!$B$15/100)*(1+Inputs!$B$16/100)*(5000/(6000+Inputs!$B$43*(1-Inputs!$B$19/100)))*(1+(Inputs!$B$24+((C309=TRUE)*(F309-Calc!F30)))/100)*(1+Skills!R5/100)*(1+(IF(Skills!A5="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284)</f>
        <v/>
      </c>
      <c r="L284">
        <f>K284*(MIN(Inputs!$B$22+((C303=TRUE)*(F303-Calc!F24)),Inputs!$B$23)/100+Inputs!$B$23/100)/2</f>
        <v/>
      </c>
      <c r="M284">
        <f>L284*(1+(Inputs!$B$10+((C305=TRUE)*(F305-Calc!F26))+B322)/100)</f>
        <v/>
      </c>
      <c r="N284">
        <f>L284*(1-MIN((Inputs!$B$9+((C304=TRUE)*(F304-Calc!F25))+B319),100)/100)+M284*(MIN((Inputs!$B$9+((C304=TRUE)*(F304-Calc!F25))+B319),100)/100)</f>
        <v/>
      </c>
      <c r="O284">
        <f>(1-Summary!$B$55)*T284+Summary!$B$55*V284</f>
        <v/>
      </c>
      <c r="P284">
        <f>IF(B323=0,0,O284/B323)</f>
        <v/>
      </c>
      <c r="Q284">
        <f>IFERROR(1/IF(Inputs!$B$39="pvp",15,MAX(0.1,Skills!D5-IF(Skills!E5=TRUE,Inputs!$B$32,0))),0)</f>
        <v/>
      </c>
      <c r="R284">
        <f>IF(AND(Inputs!$B$39&lt;&gt;"pvp",Inputs!$B$44&gt;0),IF(MAX(0,Inputs!$B$44-B324)&lt;=0,0,(INT(MAX(0,Inputs!$B$44-B324)/IF(Inputs!$B$39="pvp",15,MAX(0.1,Skills!D5-IF(Skills!E5=TRUE,Inputs!$B$32,0))))+1)),0)</f>
        <v/>
      </c>
      <c r="S284">
        <f>IFERROR(O284/N284,0)</f>
        <v/>
      </c>
      <c r="T284">
        <f>IF(C284,(H284*N284*IF(AND(Inputs!$B$39&lt;&gt;"pvp",Inputs!$B$44&gt;0),((Skills!G5*((R284-1)*IF(Skills!H5&gt;0,Skills!I5/Skills!H5,1)+IF(Skills!H5&gt;0,MIN(Skills!I5,MAX(0,MAX(0,Inputs!$B$44-B324)-((R284-1)*IF(Inputs!$B$39="pvp",15,MAX(0.1,Skills!D5-IF(Skills!E5=TRUE,Inputs!$B$32,0))))))/Skills!H5,1)))/Inputs!$B$44),G284*Q284))*IF(Inputs!$B$39="pvp",1,1+((Inputs!$B$20+1)+((C306=TRUE)*(F306-Calc!F27))+Skills!P5+B320)/100),0)</f>
        <v/>
      </c>
      <c r="U284">
        <f>INDEX(FactorTable!$B$2:$Y$301, MATCH(ROUND(MIN(300,MAX(1,U283)),0), FactorTable!$A$2:$A$301,0), 22)</f>
        <v/>
      </c>
      <c r="V284">
        <f>IF(C284,(H284*N284*IF(AND(Inputs!$B$39&lt;&gt;"pvp",Inputs!$B$44&gt;0),((Skills!G5*((R284-1)*IF(Skills!H5&gt;0,Skills!I5/Skills!H5,1)+IF(Skills!H5&gt;0,MIN(Skills!I5,MAX(0,MAX(0,Inputs!$B$44-B324)-((R284-1)*IF(Inputs!$B$39="pvp",15,MAX(0.1,Skills!D5-IF(Skills!E5=TRUE,Inputs!$B$32,0))))))/Skills!H5,1)))/Inputs!$B$44),G284*Q284))*IF(Inputs!$B$39="pvp",1,(1+(Inputs!$B$21+Skills!Q5+B320)/100)*(MIN(Skills!W5,Inputs!$B$37))),0)</f>
        <v/>
      </c>
    </row>
    <row r="285">
      <c r="A285">
        <f>Skills!A6</f>
        <v/>
      </c>
      <c r="B285">
        <f>Skills!B6</f>
        <v/>
      </c>
      <c r="C285">
        <f>Inputs!$B$3&gt;=66</f>
        <v/>
      </c>
      <c r="D285">
        <f>IF(Skills!C6=1,60+Inputs!$B$25+Inputs!$B$29,IF(Skills!C6=2,90+Inputs!$B$26+Inputs!$B$29,IF(Skills!C6=3,120+Inputs!$B$27+Inputs!$B$29,MAX(0,(Inputs!$B$3-100)*3)+Inputs!$B$28+Inputs!$B$29)))</f>
        <v/>
      </c>
      <c r="E285">
        <f>INDEX(FactorTable!$B$2:$Y$301, MATCH(ROUND(MIN(300,MAX(1,D285)),0), FactorTable!$A$2:$A$301,0), Skills!M6+1)</f>
        <v/>
      </c>
      <c r="F285">
        <f>IF(Skills!N6=TRUE,(Skills!L6/10)*(E285/1000),Skills!L6/10)+Skills!O6</f>
        <v/>
      </c>
      <c r="G285">
        <f>Calc!G6</f>
        <v/>
      </c>
      <c r="H285">
        <f>Calc!H6</f>
        <v/>
      </c>
      <c r="I285">
        <f>IF(Skills!AA6&lt;&gt;"",1+(Skills!AA6/10)*(U282/1000)/100,1)</f>
        <v/>
      </c>
      <c r="J285" t="inlineStr"/>
      <c r="K285" t="inlineStr"/>
      <c r="L285" t="inlineStr"/>
      <c r="M285" t="inlineStr"/>
      <c r="N285" t="inlineStr"/>
      <c r="O285">
        <f>(1-Summary!$B$55)*T285+Summary!$B$55*V285</f>
        <v/>
      </c>
      <c r="P285">
        <f>IF(B323=0,0,O285/B323)</f>
        <v/>
      </c>
      <c r="Q285" t="n">
        <v>0</v>
      </c>
      <c r="R285" t="n">
        <v>0</v>
      </c>
      <c r="S285">
        <f>IFERROR(O285/N285,0)</f>
        <v/>
      </c>
      <c r="T285" t="n">
        <v>0</v>
      </c>
      <c r="U285">
        <f>290*U284/1000</f>
        <v/>
      </c>
      <c r="V285" t="n">
        <v>0</v>
      </c>
    </row>
    <row r="286">
      <c r="A286">
        <f>Skills!A7</f>
        <v/>
      </c>
      <c r="B286">
        <f>Skills!B7</f>
        <v/>
      </c>
      <c r="C286">
        <f>Inputs!$B$3&gt;=66</f>
        <v/>
      </c>
      <c r="D286">
        <f>IF(Skills!C7=1,60+Inputs!$B$25+Inputs!$B$29,IF(Skills!C7=2,90+Inputs!$B$26+Inputs!$B$29,IF(Skills!C7=3,120+Inputs!$B$27+Inputs!$B$29,MAX(0,(Inputs!$B$3-100)*3)+Inputs!$B$28+Inputs!$B$29)))</f>
        <v/>
      </c>
      <c r="E286">
        <f>INDEX(FactorTable!$B$2:$Y$301, MATCH(ROUND(MIN(300,MAX(1,D286)),0), FactorTable!$A$2:$A$301,0), Skills!M7+1)</f>
        <v/>
      </c>
      <c r="F286">
        <f>IF(Skills!N7=TRUE,(Skills!L7/10)*(E286/1000),Skills!L7/10)+Skills!O7</f>
        <v/>
      </c>
      <c r="G286">
        <f>Calc!G7</f>
        <v/>
      </c>
      <c r="H286">
        <f>Calc!H7</f>
        <v/>
      </c>
      <c r="I286">
        <f>IF(Skills!AA7&lt;&gt;"",1+(Skills!AA7/10)*(U282/1000)/100,1)</f>
        <v/>
      </c>
      <c r="J286" t="inlineStr"/>
      <c r="K286" t="inlineStr"/>
      <c r="L286" t="inlineStr"/>
      <c r="M286" t="inlineStr"/>
      <c r="N286" t="inlineStr"/>
      <c r="O286">
        <f>(1-Summary!$B$55)*T286+Summary!$B$55*V286</f>
        <v/>
      </c>
      <c r="P286">
        <f>IF(B323=0,0,O286/B323)</f>
        <v/>
      </c>
      <c r="Q286" t="n">
        <v>0</v>
      </c>
      <c r="R286" t="n">
        <v>0</v>
      </c>
      <c r="S286">
        <f>IFERROR(O286/N286,0)</f>
        <v/>
      </c>
      <c r="T286" t="n">
        <v>0</v>
      </c>
      <c r="V286" t="n">
        <v>0</v>
      </c>
    </row>
    <row r="287">
      <c r="A287">
        <f>Skills!A8</f>
        <v/>
      </c>
      <c r="B287">
        <f>Skills!B8</f>
        <v/>
      </c>
      <c r="C287">
        <f>Inputs!$B$3&gt;=69</f>
        <v/>
      </c>
      <c r="D287">
        <f>IF(Skills!C8=1,60+Inputs!$B$25+Inputs!$B$29,IF(Skills!C8=2,90+Inputs!$B$26+Inputs!$B$29,IF(Skills!C8=3,120+Inputs!$B$27+Inputs!$B$29,MAX(0,(Inputs!$B$3-100)*3)+Inputs!$B$28+Inputs!$B$29)))</f>
        <v/>
      </c>
      <c r="E287">
        <f>INDEX(FactorTable!$B$2:$Y$301, MATCH(ROUND(MIN(300,MAX(1,D287)),0), FactorTable!$A$2:$A$301,0), Skills!M8+1)</f>
        <v/>
      </c>
      <c r="F287">
        <f>IF(Skills!N8=TRUE,(Skills!L8/10)*(E287/1000),Skills!L8/10)+Skills!O8</f>
        <v/>
      </c>
      <c r="G287">
        <f>Calc!G8</f>
        <v/>
      </c>
      <c r="H287">
        <f>Calc!H8</f>
        <v/>
      </c>
      <c r="I287">
        <f>IF(Skills!AA8&lt;&gt;"",1+(Skills!AA8/10)*(U282/1000)/100,1)</f>
        <v/>
      </c>
      <c r="J287">
        <f>((Inputs!$B$6*(1+Inputs!$B$7/100))+(((Inputs!$B$12*(1+Inputs!$B$13/100))-(Inputs!$B$12*(1+Inputs!$B$13/100)))+0.25*(Inputs!$B$14-Inputs!$B$14))*(1+Inputs!$B$7/100))*(F287/100)</f>
        <v/>
      </c>
      <c r="K287">
        <f>J287*(1+((Inputs!$B$12*(1+Inputs!$B$13/100))*0.01+Inputs!$B$14*0.0025)/100)*(1+Inputs!$B$15/100)*(1+Inputs!$B$16/100)*(5000/(6000+Inputs!$B$43*(1-Inputs!$B$19/100)))*(1+(Inputs!$B$24+((C309=TRUE)*(F309-Calc!F30)))/100)*(1+Skills!R8/100)*(1+(IF(Skills!A8="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287)</f>
        <v/>
      </c>
      <c r="L287">
        <f>K287*(MIN(Inputs!$B$22+((C303=TRUE)*(F303-Calc!F24)),Inputs!$B$23)/100+Inputs!$B$23/100)/2</f>
        <v/>
      </c>
      <c r="M287">
        <f>L287*(1+(Inputs!$B$10+((C305=TRUE)*(F305-Calc!F26))+B322)/100)</f>
        <v/>
      </c>
      <c r="N287">
        <f>L287*(1-MIN((Inputs!$B$9+((C304=TRUE)*(F304-Calc!F25))+B319),100)/100)+M287*(MIN((Inputs!$B$9+((C304=TRUE)*(F304-Calc!F25))+B319),100)/100)</f>
        <v/>
      </c>
      <c r="O287">
        <f>(1-Summary!$B$55)*T287+Summary!$B$55*V287</f>
        <v/>
      </c>
      <c r="P287">
        <f>IF(B323=0,0,O287/B323)</f>
        <v/>
      </c>
      <c r="Q287">
        <f>IFERROR(1/IF(Inputs!$B$39="pvp",15,MAX(0.1,Skills!D8-IF(Skills!E8=TRUE,Inputs!$B$32,0))),0)</f>
        <v/>
      </c>
      <c r="R287">
        <f>IF(AND(Inputs!$B$39&lt;&gt;"pvp",Inputs!$B$44&gt;0),IF(MAX(0,Inputs!$B$44-B324)&lt;=0,0,(INT(MAX(0,Inputs!$B$44-B324)/IF(Inputs!$B$39="pvp",15,MAX(0.1,Skills!D8-IF(Skills!E8=TRUE,Inputs!$B$32,0))))+1)),0)</f>
        <v/>
      </c>
      <c r="S287">
        <f>IFERROR(O287/N287,0)</f>
        <v/>
      </c>
      <c r="T287">
        <f>IF(C287,(H287*N287*IF(AND(Inputs!$B$39&lt;&gt;"pvp",Inputs!$B$44&gt;0),((Skills!G8*((R287-1)*IF(Skills!H8&gt;0,Skills!I8/Skills!H8,1)+IF(Skills!H8&gt;0,MIN(Skills!I8,MAX(0,MAX(0,Inputs!$B$44-B324)-((R287-1)*IF(Inputs!$B$39="pvp",15,MAX(0.1,Skills!D8-IF(Skills!E8=TRUE,Inputs!$B$32,0))))))/Skills!H8,1)))/Inputs!$B$44),G287*Q287))*IF(Inputs!$B$39="pvp",1,1+((Inputs!$B$20+1)+((C306=TRUE)*(F306-Calc!F27))+Skills!P8+B320)/100),0)</f>
        <v/>
      </c>
      <c r="V287">
        <f>IF(C287,(H287*N287*IF(AND(Inputs!$B$39&lt;&gt;"pvp",Inputs!$B$44&gt;0),((Skills!G8*((R287-1)*IF(Skills!H8&gt;0,Skills!I8/Skills!H8,1)+IF(Skills!H8&gt;0,MIN(Skills!I8,MAX(0,MAX(0,Inputs!$B$44-B324)-((R287-1)*IF(Inputs!$B$39="pvp",15,MAX(0.1,Skills!D8-IF(Skills!E8=TRUE,Inputs!$B$32,0))))))/Skills!H8,1)))/Inputs!$B$44),G287*Q287))*IF(Inputs!$B$39="pvp",1,(1+(Inputs!$B$21+Skills!Q8+B320)/100)*(MIN(Skills!W8,Inputs!$B$37))),0)</f>
        <v/>
      </c>
    </row>
    <row r="288">
      <c r="A288">
        <f>Skills!A9</f>
        <v/>
      </c>
      <c r="B288">
        <f>Skills!B9</f>
        <v/>
      </c>
      <c r="C288">
        <f>Inputs!$B$3&gt;=72</f>
        <v/>
      </c>
      <c r="D288">
        <f>IF(Skills!C9=1,60+Inputs!$B$25+Inputs!$B$29,IF(Skills!C9=2,90+Inputs!$B$26+Inputs!$B$29,IF(Skills!C9=3,120+Inputs!$B$27+Inputs!$B$29,MAX(0,(Inputs!$B$3-100)*3)+Inputs!$B$28+Inputs!$B$29)))</f>
        <v/>
      </c>
      <c r="E288">
        <f>INDEX(FactorTable!$B$2:$Y$301, MATCH(ROUND(MIN(300,MAX(1,D288)),0), FactorTable!$A$2:$A$301,0), Skills!M9+1)</f>
        <v/>
      </c>
      <c r="F288">
        <f>IF(Skills!N9=TRUE,(Skills!L9/10)*(E288/1000),Skills!L9/10)+Skills!O9</f>
        <v/>
      </c>
      <c r="G288">
        <f>Calc!G9</f>
        <v/>
      </c>
      <c r="H288">
        <f>Calc!H9</f>
        <v/>
      </c>
      <c r="I288">
        <f>IF(Skills!AA9&lt;&gt;"",1+(Skills!AA9/10)*(U282/1000)/100,1)</f>
        <v/>
      </c>
      <c r="J288">
        <f>((Inputs!$B$6*(1+Inputs!$B$7/100))+(((Inputs!$B$12*(1+Inputs!$B$13/100))-(Inputs!$B$12*(1+Inputs!$B$13/100)))+0.25*(Inputs!$B$14-Inputs!$B$14))*(1+Inputs!$B$7/100))*(F288/100)</f>
        <v/>
      </c>
      <c r="K288">
        <f>J288*(1+((Inputs!$B$12*(1+Inputs!$B$13/100))*0.01+Inputs!$B$14*0.0025)/100)*(1+Inputs!$B$15/100)*(1+Inputs!$B$16/100)*(5000/(6000+Inputs!$B$43*(1-Inputs!$B$19/100)))*(1+(Inputs!$B$24+((C309=TRUE)*(F309-Calc!F30)))/100)*(1+Skills!R9/100)*(1+(IF(Skills!A9="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288)</f>
        <v/>
      </c>
      <c r="L288">
        <f>K288*(MIN(Inputs!$B$22+((C303=TRUE)*(F303-Calc!F24)),Inputs!$B$23)/100+Inputs!$B$23/100)/2</f>
        <v/>
      </c>
      <c r="M288">
        <f>L288*(1+(Inputs!$B$10+((C305=TRUE)*(F305-Calc!F26))+B322)/100)</f>
        <v/>
      </c>
      <c r="N288">
        <f>L288*(1-MIN((Inputs!$B$9+((C304=TRUE)*(F304-Calc!F25))+B319),100)/100)+M288*(MIN((Inputs!$B$9+((C304=TRUE)*(F304-Calc!F25))+B319),100)/100)</f>
        <v/>
      </c>
      <c r="O288">
        <f>(1-Summary!$B$55)*T288+Summary!$B$55*V288</f>
        <v/>
      </c>
      <c r="P288">
        <f>IF(B323=0,0,O288/B323)</f>
        <v/>
      </c>
      <c r="Q288">
        <f>IFERROR(1/IF(Inputs!$B$39="pvp",15,MAX(0.1,Skills!D9-IF(Skills!E9=TRUE,Inputs!$B$32,0))),0)</f>
        <v/>
      </c>
      <c r="R288">
        <f>IF(AND(Inputs!$B$39&lt;&gt;"pvp",Inputs!$B$44&gt;0),IF(MAX(0,Inputs!$B$44-B324)&lt;=0,0,(INT(MAX(0,Inputs!$B$44-B324)/IF(Inputs!$B$39="pvp",15,MAX(0.1,Skills!D9-IF(Skills!E9=TRUE,Inputs!$B$32,0))))+1)),0)</f>
        <v/>
      </c>
      <c r="S288">
        <f>IFERROR(O288/N288,0)</f>
        <v/>
      </c>
      <c r="T288">
        <f>IF(C288,(H288*N288*IF(AND(Inputs!$B$39&lt;&gt;"pvp",Inputs!$B$44&gt;0),((Skills!G9*((R288-1)*IF(Skills!H9&gt;0,Skills!I9/Skills!H9,1)+IF(Skills!H9&gt;0,MIN(Skills!I9,MAX(0,MAX(0,Inputs!$B$44-B324)-((R288-1)*IF(Inputs!$B$39="pvp",15,MAX(0.1,Skills!D9-IF(Skills!E9=TRUE,Inputs!$B$32,0))))))/Skills!H9,1)))/Inputs!$B$44),G288*Q288))*IF(Inputs!$B$39="pvp",1,1+((Inputs!$B$20+1)+((C306=TRUE)*(F306-Calc!F27))+Skills!P9+B320)/100),0)</f>
        <v/>
      </c>
      <c r="V288">
        <f>IF(C288,(H288*N288*IF(AND(Inputs!$B$39&lt;&gt;"pvp",Inputs!$B$44&gt;0),((Skills!G9*((R288-1)*IF(Skills!H9&gt;0,Skills!I9/Skills!H9,1)+IF(Skills!H9&gt;0,MIN(Skills!I9,MAX(0,MAX(0,Inputs!$B$44-B324)-((R288-1)*IF(Inputs!$B$39="pvp",15,MAX(0.1,Skills!D9-IF(Skills!E9=TRUE,Inputs!$B$32,0))))))/Skills!H9,1)))/Inputs!$B$44),G288*Q288))*IF(Inputs!$B$39="pvp",1,(1+(Inputs!$B$21+Skills!Q9+B320)/100)*(MIN(Skills!W9,Inputs!$B$37))),0)</f>
        <v/>
      </c>
    </row>
    <row r="289">
      <c r="A289">
        <f>Skills!A10</f>
        <v/>
      </c>
      <c r="B289">
        <f>Skills!B10</f>
        <v/>
      </c>
      <c r="C289">
        <f>Inputs!$B$3&gt;=117</f>
        <v/>
      </c>
      <c r="D289">
        <f>IF(Skills!C10=1,60+Inputs!$B$25+Inputs!$B$29,IF(Skills!C10=2,90+Inputs!$B$26+Inputs!$B$29,IF(Skills!C10=3,120+Inputs!$B$27+Inputs!$B$29,MAX(0,(Inputs!$B$3-100)*3)+Inputs!$B$28+Inputs!$B$29)))</f>
        <v/>
      </c>
      <c r="E289">
        <f>INDEX(FactorTable!$B$2:$Y$301, MATCH(ROUND(MIN(300,MAX(1,D289)),0), FactorTable!$A$2:$A$301,0), Skills!M10+1)</f>
        <v/>
      </c>
      <c r="F289">
        <f>IF(Skills!N10=TRUE,(Skills!L10/10)*(E289/1000),Skills!L10/10)+Skills!O10</f>
        <v/>
      </c>
      <c r="G289">
        <f>Calc!G10</f>
        <v/>
      </c>
      <c r="H289">
        <f>Calc!H10</f>
        <v/>
      </c>
      <c r="I289">
        <f>IF(Skills!AA10&lt;&gt;"",1+(Skills!AA10/10)*(U282/1000)/100,1)</f>
        <v/>
      </c>
      <c r="J289">
        <f>((Inputs!$B$6*(1+Inputs!$B$7/100))+(((Inputs!$B$12*(1+Inputs!$B$13/100))-(Inputs!$B$12*(1+Inputs!$B$13/100)))+0.25*(Inputs!$B$14-Inputs!$B$14))*(1+Inputs!$B$7/100))*(F289/100)</f>
        <v/>
      </c>
      <c r="K289">
        <f>J289*(1+((Inputs!$B$12*(1+Inputs!$B$13/100))*0.01+Inputs!$B$14*0.0025)/100)*(1+Inputs!$B$15/100)*(1+Inputs!$B$16/100)*(5000/(6000+Inputs!$B$43*(1-Inputs!$B$19/100)))*(1+(Inputs!$B$24+((C309=TRUE)*(F309-Calc!F30)))/100)*(1+Skills!R10/100)*(1+(IF(Skills!A10="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289)</f>
        <v/>
      </c>
      <c r="L289">
        <f>K289*(MIN(Inputs!$B$22+((C303=TRUE)*(F303-Calc!F24)),Inputs!$B$23)/100+Inputs!$B$23/100)/2</f>
        <v/>
      </c>
      <c r="M289">
        <f>L289*(1+(Inputs!$B$10+((C305=TRUE)*(F305-Calc!F26))+B322)/100)</f>
        <v/>
      </c>
      <c r="N289">
        <f>L289*(1-MIN((Inputs!$B$9+((C304=TRUE)*(F304-Calc!F25))+B319),100)/100)+M289*(MIN((Inputs!$B$9+((C304=TRUE)*(F304-Calc!F25))+B319),100)/100)</f>
        <v/>
      </c>
      <c r="O289">
        <f>(1-Summary!$B$55)*T289+Summary!$B$55*V289</f>
        <v/>
      </c>
      <c r="P289">
        <f>IF(B323=0,0,O289/B323)</f>
        <v/>
      </c>
      <c r="Q289" t="n">
        <v>0</v>
      </c>
      <c r="R289" t="n">
        <v>0</v>
      </c>
      <c r="S289" t="n">
        <v>0</v>
      </c>
      <c r="T289">
        <f>IF(C289,(0.2*SUMPRODUCT((Skills!Z2:Z31=TRUE)*(C281:C310=TRUE)*S281:S310)*N289)*IF(Inputs!$B$39="pvp",1,1+((Inputs!$B$20+1)+((C306=TRUE)*(F306-Calc!F27))+Skills!P10+B320)/100),0)</f>
        <v/>
      </c>
      <c r="V289">
        <f>IF(C289,(0.2*SUMPRODUCT((Skills!Z2:Z31=TRUE)*(C281:C310=TRUE)*S281:S310)*N289)*IF(Inputs!$B$39="pvp",1,(1+(Inputs!$B$21+Skills!Q10+B320)/100)*(MIN(Skills!W10,Inputs!$B$37))),0)</f>
        <v/>
      </c>
    </row>
    <row r="290">
      <c r="A290">
        <f>Skills!A11</f>
        <v/>
      </c>
      <c r="B290">
        <f>Skills!B11</f>
        <v/>
      </c>
      <c r="C290">
        <f>Inputs!$B$3&gt;=60</f>
        <v/>
      </c>
      <c r="D290">
        <f>IF(Skills!C11=1,60+Inputs!$B$25+Inputs!$B$29,IF(Skills!C11=2,90+Inputs!$B$26+Inputs!$B$29,IF(Skills!C11=3,120+Inputs!$B$27+Inputs!$B$29,MAX(0,(Inputs!$B$3-100)*3)+Inputs!$B$28+Inputs!$B$29)))</f>
        <v/>
      </c>
      <c r="E290">
        <f>INDEX(FactorTable!$B$2:$Y$301, MATCH(ROUND(MIN(300,MAX(1,D290)),0), FactorTable!$A$2:$A$301,0), Skills!M11+1)</f>
        <v/>
      </c>
      <c r="F290">
        <f>IF(Skills!N11=TRUE,(Skills!L11/10)*(E290/1000),Skills!L11/10)+Skills!O11</f>
        <v/>
      </c>
      <c r="G290">
        <f>Calc!G11</f>
        <v/>
      </c>
      <c r="H290">
        <f>Calc!H11</f>
        <v/>
      </c>
      <c r="I290">
        <f>IF(Skills!AA11&lt;&gt;"",1+(Skills!AA11/10)*(U282/1000)/100,1)</f>
        <v/>
      </c>
      <c r="J290" t="inlineStr"/>
      <c r="K290" t="inlineStr"/>
      <c r="L290" t="inlineStr"/>
      <c r="M290" t="inlineStr"/>
      <c r="N290" t="inlineStr"/>
      <c r="O290">
        <f>(1-Summary!$B$55)*T290+Summary!$B$55*V290</f>
        <v/>
      </c>
      <c r="P290">
        <f>IF(B323=0,0,O290/B323)</f>
        <v/>
      </c>
      <c r="Q290" t="n">
        <v>0</v>
      </c>
      <c r="R290" t="n">
        <v>0</v>
      </c>
      <c r="S290">
        <f>IFERROR(O290/N290,0)</f>
        <v/>
      </c>
      <c r="T290" t="n">
        <v>0</v>
      </c>
      <c r="V290" t="n">
        <v>0</v>
      </c>
    </row>
    <row r="291">
      <c r="A291">
        <f>Skills!A12</f>
        <v/>
      </c>
      <c r="B291">
        <f>Skills!B12</f>
        <v/>
      </c>
      <c r="C291">
        <f>Inputs!$B$3&gt;=103</f>
        <v/>
      </c>
      <c r="D291">
        <f>IF(Skills!C12=1,60+Inputs!$B$25+Inputs!$B$29,IF(Skills!C12=2,90+Inputs!$B$26+Inputs!$B$29,IF(Skills!C12=3,120+Inputs!$B$27+Inputs!$B$29,MAX(0,(Inputs!$B$3-100)*3)+Inputs!$B$28+Inputs!$B$29)))</f>
        <v/>
      </c>
      <c r="E291">
        <f>INDEX(FactorTable!$B$2:$Y$301, MATCH(ROUND(MIN(300,MAX(1,D291)),0), FactorTable!$A$2:$A$301,0), Skills!M12+1)</f>
        <v/>
      </c>
      <c r="F291">
        <f>IF(Skills!N12=TRUE,(Skills!L12/10)*(E291/1000),Skills!L12/10)+Skills!O12</f>
        <v/>
      </c>
      <c r="G291">
        <f>Calc!G12</f>
        <v/>
      </c>
      <c r="H291">
        <f>Calc!H12</f>
        <v/>
      </c>
      <c r="I291">
        <f>IF(Skills!AA12&lt;&gt;"",1+(Skills!AA12/10)*(U282/1000)/100,1)</f>
        <v/>
      </c>
      <c r="J291">
        <f>((Inputs!$B$6*(1+Inputs!$B$7/100))+(((Inputs!$B$12*(1+Inputs!$B$13/100))-(Inputs!$B$12*(1+Inputs!$B$13/100)))+0.25*(Inputs!$B$14-Inputs!$B$14))*(1+Inputs!$B$7/100))*(F291/100)</f>
        <v/>
      </c>
      <c r="K291">
        <f>J291*(1+((Inputs!$B$12*(1+Inputs!$B$13/100))*0.01+Inputs!$B$14*0.0025)/100)*(1+Inputs!$B$15/100)*(1+Inputs!$B$16/100)*(5000/(6000+Inputs!$B$43*(1-Inputs!$B$19/100)))*(1+(Inputs!$B$24+((C309=TRUE)*(F309-Calc!F30)))/100)*(1+Skills!R12/100)*(1+(IF(Skills!A12="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291)</f>
        <v/>
      </c>
      <c r="L291">
        <f>K291*(MIN(Inputs!$B$22+((C303=TRUE)*(F303-Calc!F24)),Inputs!$B$23)/100+Inputs!$B$23/100)/2</f>
        <v/>
      </c>
      <c r="M291">
        <f>L291*(1+(Inputs!$B$10+((C305=TRUE)*(F305-Calc!F26))+B322)/100)</f>
        <v/>
      </c>
      <c r="N291">
        <f>L291*(1-MIN((Inputs!$B$9+((C304=TRUE)*(F304-Calc!F25))+B319),100)/100)+M291*(MIN((Inputs!$B$9+((C304=TRUE)*(F304-Calc!F25))+B319),100)/100)</f>
        <v/>
      </c>
      <c r="O291">
        <f>(1-Summary!$B$55)*T291+Summary!$B$55*V291</f>
        <v/>
      </c>
      <c r="P291">
        <f>IF(B323=0,0,O291/B323)</f>
        <v/>
      </c>
      <c r="Q291">
        <f>IFERROR(1/IF(Inputs!$B$39="pvp",15,MAX(0.1,Skills!D12-IF(Skills!E12=TRUE,Inputs!$B$32,0))),0)</f>
        <v/>
      </c>
      <c r="R291">
        <f>IF(AND(Inputs!$B$39&lt;&gt;"pvp",Inputs!$B$44&gt;0),IF(MAX(0,Inputs!$B$44-B324)&lt;=0,0,(INT(MAX(0,Inputs!$B$44-B324)/IF(Inputs!$B$39="pvp",15,MAX(0.1,Skills!D12-IF(Skills!E12=TRUE,Inputs!$B$32,0))))+1)),0)</f>
        <v/>
      </c>
      <c r="S291">
        <f>IFERROR(O291/N291,0)</f>
        <v/>
      </c>
      <c r="T291">
        <f>IF(C291,(H291*N291*IF(AND(Inputs!$B$39&lt;&gt;"pvp",Inputs!$B$44&gt;0),((Skills!G12*((R291-1)*IF(Skills!H12&gt;0,Skills!I12/Skills!H12,1)+IF(Skills!H12&gt;0,MIN(Skills!I12,MAX(0,MAX(0,Inputs!$B$44-B324)-((R291-1)*IF(Inputs!$B$39="pvp",15,MAX(0.1,Skills!D12-IF(Skills!E12=TRUE,Inputs!$B$32,0))))))/Skills!H12,1)))/Inputs!$B$44),G291*Q291))*IF(Inputs!$B$39="pvp",1,1+((Inputs!$B$20+1)+((C306=TRUE)*(F306-Calc!F27))+Skills!P12+B320)/100),0)</f>
        <v/>
      </c>
      <c r="V291">
        <f>IF(C291,(H291*N291*IF(AND(Inputs!$B$39&lt;&gt;"pvp",Inputs!$B$44&gt;0),((Skills!G12*((R291-1)*IF(Skills!H12&gt;0,Skills!I12/Skills!H12,1)+IF(Skills!H12&gt;0,MIN(Skills!I12,MAX(0,MAX(0,Inputs!$B$44-B324)-((R291-1)*IF(Inputs!$B$39="pvp",15,MAX(0.1,Skills!D12-IF(Skills!E12=TRUE,Inputs!$B$32,0))))))/Skills!H12,1)))/Inputs!$B$44),G291*Q291))*IF(Inputs!$B$39="pvp",1,(1+(Inputs!$B$21+Skills!Q12+B320)/100)*(MIN(Skills!W12,Inputs!$B$37))),0)</f>
        <v/>
      </c>
    </row>
    <row r="292">
      <c r="A292">
        <f>Skills!A13</f>
        <v/>
      </c>
      <c r="B292">
        <f>Skills!B13</f>
        <v/>
      </c>
      <c r="C292">
        <f>Inputs!$B$3&gt;=105</f>
        <v/>
      </c>
      <c r="D292">
        <f>IF(Skills!C13=1,60+Inputs!$B$25+Inputs!$B$29,IF(Skills!C13=2,90+Inputs!$B$26+Inputs!$B$29,IF(Skills!C13=3,120+Inputs!$B$27+Inputs!$B$29,MAX(0,(Inputs!$B$3-100)*3)+Inputs!$B$28+Inputs!$B$29)))</f>
        <v/>
      </c>
      <c r="E292">
        <f>INDEX(FactorTable!$B$2:$Y$301, MATCH(ROUND(MIN(300,MAX(1,D292)),0), FactorTable!$A$2:$A$301,0), Skills!M13+1)</f>
        <v/>
      </c>
      <c r="F292">
        <f>IF(Skills!N13=TRUE,(Skills!L13/10)*(E292/1000),Skills!L13/10)+Skills!O13</f>
        <v/>
      </c>
      <c r="G292">
        <f>Calc!G13</f>
        <v/>
      </c>
      <c r="H292">
        <f>Calc!H13</f>
        <v/>
      </c>
      <c r="I292">
        <f>IF(Skills!AA13&lt;&gt;"",1+(Skills!AA13/10)*(U282/1000)/100,1)</f>
        <v/>
      </c>
      <c r="J292">
        <f>((Inputs!$B$6*(1+Inputs!$B$7/100))+(((Inputs!$B$12*(1+Inputs!$B$13/100))-(Inputs!$B$12*(1+Inputs!$B$13/100)))+0.25*(Inputs!$B$14-Inputs!$B$14))*(1+Inputs!$B$7/100))*(F292/100)</f>
        <v/>
      </c>
      <c r="K292">
        <f>J292*(1+((Inputs!$B$12*(1+Inputs!$B$13/100))*0.01+Inputs!$B$14*0.0025)/100)*(1+Inputs!$B$15/100)*(1+Inputs!$B$16/100)*(5000/(6000+Inputs!$B$43*(1-Inputs!$B$19/100)))*(1+(Inputs!$B$24+((C309=TRUE)*(F309-Calc!F30)))/100)*(1+Skills!R13/100)*(1+(IF(Skills!A13="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292)</f>
        <v/>
      </c>
      <c r="L292">
        <f>K292*(MIN(Inputs!$B$22+((C303=TRUE)*(F303-Calc!F24)),Inputs!$B$23)/100+Inputs!$B$23/100)/2</f>
        <v/>
      </c>
      <c r="M292">
        <f>L292*(1+(Inputs!$B$10+((C305=TRUE)*(F305-Calc!F26))+B322)/100)</f>
        <v/>
      </c>
      <c r="N292">
        <f>L292*(1-MIN((Inputs!$B$9+((C304=TRUE)*(F304-Calc!F25))+B319),100)/100)+M292*(MIN((Inputs!$B$9+((C304=TRUE)*(F304-Calc!F25))+B319),100)/100)</f>
        <v/>
      </c>
      <c r="O292">
        <f>(1-Summary!$B$55)*T292+Summary!$B$55*V292</f>
        <v/>
      </c>
      <c r="P292">
        <f>IF(B323=0,0,O292/B323)</f>
        <v/>
      </c>
      <c r="Q292">
        <f>IFERROR(1/IF(Inputs!$B$39="pvp",15,MAX(0.1,Skills!D13-IF(Skills!E13=TRUE,Inputs!$B$32,0))),0)</f>
        <v/>
      </c>
      <c r="R292">
        <f>IF(AND(Inputs!$B$39&lt;&gt;"pvp",Inputs!$B$44&gt;0),IF(MAX(0,Inputs!$B$44-B324)&lt;=0,0,(INT(MAX(0,Inputs!$B$44-B324)/IF(Inputs!$B$39="pvp",15,MAX(0.1,Skills!D13-IF(Skills!E13=TRUE,Inputs!$B$32,0))))+1)),0)</f>
        <v/>
      </c>
      <c r="S292">
        <f>IFERROR(O292/N292,0)</f>
        <v/>
      </c>
      <c r="T292">
        <f>IF(C292,(H292*N292*IF(AND(Inputs!$B$39&lt;&gt;"pvp",Inputs!$B$44&gt;0),((Skills!G13*((R292-1)*IF(Skills!H13&gt;0,Skills!I13/Skills!H13,1)+IF(Skills!H13&gt;0,MIN(Skills!I13,MAX(0,MAX(0,Inputs!$B$44-B324)-((R292-1)*IF(Inputs!$B$39="pvp",15,MAX(0.1,Skills!D13-IF(Skills!E13=TRUE,Inputs!$B$32,0))))))/Skills!H13,1)))/Inputs!$B$44),G292*Q292))*IF(Inputs!$B$39="pvp",1,1+((Inputs!$B$20+1)+((C306=TRUE)*(F306-Calc!F27))+Skills!P13+B320)/100),0)</f>
        <v/>
      </c>
      <c r="V292">
        <f>IF(C292,(H292*N292*IF(AND(Inputs!$B$39&lt;&gt;"pvp",Inputs!$B$44&gt;0),((Skills!G13*((R292-1)*IF(Skills!H13&gt;0,Skills!I13/Skills!H13,1)+IF(Skills!H13&gt;0,MIN(Skills!I13,MAX(0,MAX(0,Inputs!$B$44-B324)-((R292-1)*IF(Inputs!$B$39="pvp",15,MAX(0.1,Skills!D13-IF(Skills!E13=TRUE,Inputs!$B$32,0))))))/Skills!H13,1)))/Inputs!$B$44),G292*Q292))*IF(Inputs!$B$39="pvp",1,(1+(Inputs!$B$21+Skills!Q13+B320)/100)*(MIN(Skills!W13,Inputs!$B$37))),0)</f>
        <v/>
      </c>
    </row>
    <row r="293">
      <c r="A293">
        <f>Skills!A14</f>
        <v/>
      </c>
      <c r="B293">
        <f>Skills!B14</f>
        <v/>
      </c>
      <c r="C293">
        <f>Inputs!$B$3&gt;=105</f>
        <v/>
      </c>
      <c r="D293">
        <f>IF(Skills!C14=1,60+Inputs!$B$25+Inputs!$B$29,IF(Skills!C14=2,90+Inputs!$B$26+Inputs!$B$29,IF(Skills!C14=3,120+Inputs!$B$27+Inputs!$B$29,MAX(0,(Inputs!$B$3-100)*3)+Inputs!$B$28+Inputs!$B$29)))</f>
        <v/>
      </c>
      <c r="E293">
        <f>INDEX(FactorTable!$B$2:$Y$301, MATCH(ROUND(MIN(300,MAX(1,D293)),0), FactorTable!$A$2:$A$301,0), Skills!M14+1)</f>
        <v/>
      </c>
      <c r="F293">
        <f>IF(Skills!N14=TRUE,(Skills!L14/10)*(E293/1000),Skills!L14/10)+Skills!O14</f>
        <v/>
      </c>
      <c r="G293">
        <f>Calc!G14</f>
        <v/>
      </c>
      <c r="H293">
        <f>Calc!H14</f>
        <v/>
      </c>
      <c r="I293">
        <f>IF(Skills!AA14&lt;&gt;"",1+(Skills!AA14/10)*(U282/1000)/100,1)</f>
        <v/>
      </c>
      <c r="J293">
        <f>((Inputs!$B$6*(1+Inputs!$B$7/100))+(((Inputs!$B$12*(1+Inputs!$B$13/100))-(Inputs!$B$12*(1+Inputs!$B$13/100)))+0.25*(Inputs!$B$14-Inputs!$B$14))*(1+Inputs!$B$7/100))*(F293/100)</f>
        <v/>
      </c>
      <c r="K293">
        <f>J293*(1+((Inputs!$B$12*(1+Inputs!$B$13/100))*0.01+Inputs!$B$14*0.0025)/100)*(1+Inputs!$B$15/100)*(1+Inputs!$B$16/100)*(5000/(6000+Inputs!$B$43*(1-Inputs!$B$19/100)))*(1+(Inputs!$B$24+((C309=TRUE)*(F309-Calc!F30)))/100)*(1+Skills!R14/100)*(1+(IF(Skills!A14="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293)</f>
        <v/>
      </c>
      <c r="L293">
        <f>K293*(MIN(Inputs!$B$22+((C303=TRUE)*(F303-Calc!F24)),Inputs!$B$23)/100+Inputs!$B$23/100)/2</f>
        <v/>
      </c>
      <c r="M293">
        <f>L293*(1+(Inputs!$B$10+((C305=TRUE)*(F305-Calc!F26))+B322)/100)</f>
        <v/>
      </c>
      <c r="N293">
        <f>L293*(1-MIN((Inputs!$B$9+((C304=TRUE)*(F304-Calc!F25))+B319),100)/100)+M293*(MIN((Inputs!$B$9+((C304=TRUE)*(F304-Calc!F25))+B319),100)/100)</f>
        <v/>
      </c>
      <c r="O293">
        <f>(1-Summary!$B$55)*T293+Summary!$B$55*V293</f>
        <v/>
      </c>
      <c r="P293">
        <f>IF(B323=0,0,O293/B323)</f>
        <v/>
      </c>
      <c r="Q293">
        <f>IFERROR(1/IF(Inputs!$B$39="pvp",15,MAX(0.1,Skills!D14-IF(Skills!E14=TRUE,Inputs!$B$32,0))),0)</f>
        <v/>
      </c>
      <c r="R293">
        <f>IF(AND(Inputs!$B$39&lt;&gt;"pvp",Inputs!$B$44&gt;0),IF(MAX(0,Inputs!$B$44-B324)&lt;=0,0,(INT(MAX(0,Inputs!$B$44-B324)/IF(Inputs!$B$39="pvp",15,MAX(0.1,Skills!D14-IF(Skills!E14=TRUE,Inputs!$B$32,0))))+1)),0)</f>
        <v/>
      </c>
      <c r="S293">
        <f>IFERROR(O293/N293,0)</f>
        <v/>
      </c>
      <c r="T293">
        <f>IF(C293,(H293*N293*IF(AND(Inputs!$B$39&lt;&gt;"pvp",Inputs!$B$44&gt;0),((Skills!G14*((R293-1)*IF(Skills!H14&gt;0,Skills!I14/Skills!H14,1)+IF(Skills!H14&gt;0,MIN(Skills!I14,MAX(0,MAX(0,Inputs!$B$44-B324)-((R293-1)*IF(Inputs!$B$39="pvp",15,MAX(0.1,Skills!D14-IF(Skills!E14=TRUE,Inputs!$B$32,0))))))/Skills!H14,1)))/Inputs!$B$44),G293*Q293))*IF(Inputs!$B$39="pvp",1,1+((Inputs!$B$20+1)+((C306=TRUE)*(F306-Calc!F27))+Skills!P14+B320)/100),0)</f>
        <v/>
      </c>
      <c r="V293">
        <f>IF(C293,(H293*N293*IF(AND(Inputs!$B$39&lt;&gt;"pvp",Inputs!$B$44&gt;0),((Skills!G14*((R293-1)*IF(Skills!H14&gt;0,Skills!I14/Skills!H14,1)+IF(Skills!H14&gt;0,MIN(Skills!I14,MAX(0,MAX(0,Inputs!$B$44-B324)-((R293-1)*IF(Inputs!$B$39="pvp",15,MAX(0.1,Skills!D14-IF(Skills!E14=TRUE,Inputs!$B$32,0))))))/Skills!H14,1)))/Inputs!$B$44),G293*Q293))*IF(Inputs!$B$39="pvp",1,(1+(Inputs!$B$21+Skills!Q14+B320)/100)*(MIN(Skills!W14,Inputs!$B$37))),0)</f>
        <v/>
      </c>
    </row>
    <row r="294">
      <c r="A294">
        <f>Skills!A15</f>
        <v/>
      </c>
      <c r="B294">
        <f>Skills!B15</f>
        <v/>
      </c>
      <c r="C294">
        <f>Inputs!$B$3&gt;=110</f>
        <v/>
      </c>
      <c r="D294">
        <f>IF(Skills!C15=1,60+Inputs!$B$25+Inputs!$B$29,IF(Skills!C15=2,90+Inputs!$B$26+Inputs!$B$29,IF(Skills!C15=3,120+Inputs!$B$27+Inputs!$B$29,MAX(0,(Inputs!$B$3-100)*3)+Inputs!$B$28+Inputs!$B$29)))</f>
        <v/>
      </c>
      <c r="E294">
        <f>INDEX(FactorTable!$B$2:$Y$301, MATCH(ROUND(MIN(300,MAX(1,D294)),0), FactorTable!$A$2:$A$301,0), Skills!M15+1)</f>
        <v/>
      </c>
      <c r="F294">
        <f>IF(Skills!N15=TRUE,(Skills!L15/10)*(E294/1000),Skills!L15/10)+Skills!O15</f>
        <v/>
      </c>
      <c r="G294">
        <f>Calc!G15</f>
        <v/>
      </c>
      <c r="H294">
        <f>Calc!H15</f>
        <v/>
      </c>
      <c r="I294">
        <f>IF(Skills!AA15&lt;&gt;"",1+(Skills!AA15/10)*(U282/1000)/100,1)</f>
        <v/>
      </c>
      <c r="J294" t="inlineStr"/>
      <c r="K294" t="inlineStr"/>
      <c r="L294" t="inlineStr"/>
      <c r="M294" t="inlineStr"/>
      <c r="N294" t="inlineStr"/>
      <c r="O294">
        <f>(1-Summary!$B$55)*T294+Summary!$B$55*V294</f>
        <v/>
      </c>
      <c r="P294">
        <f>IF(B323=0,0,O294/B323)</f>
        <v/>
      </c>
      <c r="Q294">
        <f>IFERROR(1/IF(Inputs!$B$39="pvp",15,MAX(0.1,Skills!D15-IF(Skills!E15=TRUE,Inputs!$B$32,0))),0)</f>
        <v/>
      </c>
      <c r="R294">
        <f>IF(AND(Inputs!$B$39&lt;&gt;"pvp",Inputs!$B$44&gt;0),IF(Inputs!$B$44&lt;=0,0,(INT(Inputs!$B$44/IF(Inputs!$B$39="pvp",15,MAX(0.1,Skills!D15-IF(Skills!E15=TRUE,Inputs!$B$32,0))))+1)),0)</f>
        <v/>
      </c>
      <c r="S294">
        <f>IFERROR(O294/N294,0)</f>
        <v/>
      </c>
      <c r="T294" t="n">
        <v>0</v>
      </c>
      <c r="V294" t="n">
        <v>0</v>
      </c>
    </row>
    <row r="295">
      <c r="A295">
        <f>Skills!A16</f>
        <v/>
      </c>
      <c r="B295">
        <f>Skills!B16</f>
        <v/>
      </c>
      <c r="C295">
        <f>Inputs!$B$3&gt;=110</f>
        <v/>
      </c>
      <c r="D295">
        <f>IF(Skills!C16=1,60+Inputs!$B$25+Inputs!$B$29,IF(Skills!C16=2,90+Inputs!$B$26+Inputs!$B$29,IF(Skills!C16=3,120+Inputs!$B$27+Inputs!$B$29,MAX(0,(Inputs!$B$3-100)*3)+Inputs!$B$28+Inputs!$B$29)))</f>
        <v/>
      </c>
      <c r="E295">
        <f>INDEX(FactorTable!$B$2:$Y$301, MATCH(ROUND(MIN(300,MAX(1,D295)),0), FactorTable!$A$2:$A$301,0), Skills!M16+1)</f>
        <v/>
      </c>
      <c r="F295">
        <f>IF(Skills!N16=TRUE,(Skills!L16/10)*(E295/1000),Skills!L16/10)+Skills!O16</f>
        <v/>
      </c>
      <c r="G295">
        <f>Calc!G16</f>
        <v/>
      </c>
      <c r="H295">
        <f>Calc!H16</f>
        <v/>
      </c>
      <c r="I295">
        <f>IF(Skills!AA16&lt;&gt;"",1+(Skills!AA16/10)*(U282/1000)/100,1)</f>
        <v/>
      </c>
      <c r="J295" t="inlineStr"/>
      <c r="K295" t="inlineStr"/>
      <c r="L295" t="inlineStr"/>
      <c r="M295" t="inlineStr"/>
      <c r="N295" t="inlineStr"/>
      <c r="O295">
        <f>(1-Summary!$B$55)*T295+Summary!$B$55*V295</f>
        <v/>
      </c>
      <c r="P295">
        <f>IF(B323=0,0,O295/B323)</f>
        <v/>
      </c>
      <c r="Q295">
        <f>IFERROR(1/IF(Inputs!$B$39="pvp",15,MAX(0.1,Skills!D16-IF(Skills!E16=TRUE,Inputs!$B$32,0))),0)</f>
        <v/>
      </c>
      <c r="R295">
        <f>IF(AND(Inputs!$B$39&lt;&gt;"pvp",Inputs!$B$44&gt;0),IF(Inputs!$B$44&lt;=0,0,(INT(Inputs!$B$44/IF(Inputs!$B$39="pvp",15,MAX(0.1,Skills!D16-IF(Skills!E16=TRUE,Inputs!$B$32,0))))+1)),0)</f>
        <v/>
      </c>
      <c r="S295">
        <f>IFERROR(O295/N295,0)</f>
        <v/>
      </c>
      <c r="T295" t="n">
        <v>0</v>
      </c>
      <c r="V295" t="n">
        <v>0</v>
      </c>
    </row>
    <row r="296">
      <c r="A296">
        <f>Skills!A17</f>
        <v/>
      </c>
      <c r="B296">
        <f>Skills!B17</f>
        <v/>
      </c>
      <c r="C296">
        <f>Inputs!$B$3&gt;=115</f>
        <v/>
      </c>
      <c r="D296">
        <f>IF(Skills!C17=1,60+Inputs!$B$25+Inputs!$B$29,IF(Skills!C17=2,90+Inputs!$B$26+Inputs!$B$29,IF(Skills!C17=3,120+Inputs!$B$27+Inputs!$B$29,MAX(0,(Inputs!$B$3-100)*3)+Inputs!$B$28+Inputs!$B$29)))</f>
        <v/>
      </c>
      <c r="E296">
        <f>INDEX(FactorTable!$B$2:$Y$301, MATCH(ROUND(MIN(300,MAX(1,D296)),0), FactorTable!$A$2:$A$301,0), Skills!M17+1)</f>
        <v/>
      </c>
      <c r="F296">
        <f>IF(Skills!N17=TRUE,(Skills!L17/10)*(E296/1000),Skills!L17/10)+Skills!O17</f>
        <v/>
      </c>
      <c r="G296">
        <f>Calc!G17</f>
        <v/>
      </c>
      <c r="H296">
        <f>Calc!H17</f>
        <v/>
      </c>
      <c r="I296">
        <f>IF(Skills!AA17&lt;&gt;"",1+(Skills!AA17/10)*(U282/1000)/100,1)</f>
        <v/>
      </c>
      <c r="J296">
        <f>((Inputs!$B$6*(1+Inputs!$B$7/100))+(((Inputs!$B$12*(1+Inputs!$B$13/100))-(Inputs!$B$12*(1+Inputs!$B$13/100)))+0.25*(Inputs!$B$14-Inputs!$B$14))*(1+Inputs!$B$7/100))*(F296/100)</f>
        <v/>
      </c>
      <c r="K296">
        <f>J296*(1+((Inputs!$B$12*(1+Inputs!$B$13/100))*0.01+Inputs!$B$14*0.0025)/100)*(1+Inputs!$B$15/100)*(1+Inputs!$B$16/100)*(5000/(6000+Inputs!$B$43*(1-Inputs!$B$19/100)))*(1+(Inputs!$B$24+((C309=TRUE)*(F309-Calc!F30)))/100)*(1+Skills!R17/100)*(1+(IF(Skills!A17="SHOWDOWN",Inputs!$B$17+((C302=TRUE)*(F302-Calc!F23)),Inputs!$B$18+((C308=TRUE)*(F308-Calc!F29))))/100)*(((1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B321*I296)</f>
        <v/>
      </c>
      <c r="L296">
        <f>K296*(MIN(Inputs!$B$22+((C303=TRUE)*(F303-Calc!F24)),Inputs!$B$23)/100+Inputs!$B$23/100)/2</f>
        <v/>
      </c>
      <c r="M296">
        <f>L296*(1+(Inputs!$B$10+((C305=TRUE)*(F305-Calc!F26))+B322)/100)</f>
        <v/>
      </c>
      <c r="N296">
        <f>L296*(1-MIN((Inputs!$B$9+((C304=TRUE)*(F304-Calc!F25))+B319),100)/100)+M296*(MIN((Inputs!$B$9+((C304=TRUE)*(F304-Calc!F25))+B319),100)/100)</f>
        <v/>
      </c>
      <c r="O296">
        <f>(1-Summary!$B$55)*T296+Summary!$B$55*V296</f>
        <v/>
      </c>
      <c r="P296">
        <f>IF(B323=0,0,O296/B323)</f>
        <v/>
      </c>
      <c r="Q296" t="n">
        <v>0</v>
      </c>
      <c r="R296" t="n">
        <v>0</v>
      </c>
      <c r="S296">
        <f>IFERROR(O296/N296,0)</f>
        <v/>
      </c>
      <c r="T296">
        <f>IF(C296,(Inputs!$B$38*0.2*N296)*IF(Inputs!$B$39="pvp",1,1+((Inputs!$B$20+1)+((C306=TRUE)*(F306-Calc!F27))+Skills!P17+B320)/100),0)</f>
        <v/>
      </c>
      <c r="V296">
        <f>IF(C296,(Inputs!$B$38*0.2*N296)*IF(Inputs!$B$39="pvp",1,(1+(Inputs!$B$21+Skills!Q17+B320)/100)*(MIN(Skills!W17,Inputs!$B$37))),0)</f>
        <v/>
      </c>
    </row>
    <row r="297">
      <c r="A297">
        <f>Skills!A18</f>
        <v/>
      </c>
      <c r="B297">
        <f>Skills!B18</f>
        <v/>
      </c>
      <c r="C297">
        <f>Inputs!$B$3&gt;=115</f>
        <v/>
      </c>
      <c r="D297">
        <f>IF(Skills!C18=1,60+Inputs!$B$25+Inputs!$B$29,IF(Skills!C18=2,90+Inputs!$B$26+Inputs!$B$29,IF(Skills!C18=3,120+Inputs!$B$27+Inputs!$B$29,MAX(0,(Inputs!$B$3-100)*3)+Inputs!$B$28+Inputs!$B$29)))</f>
        <v/>
      </c>
      <c r="E297">
        <f>INDEX(FactorTable!$B$2:$Y$301, MATCH(ROUND(MIN(300,MAX(1,D297)),0), FactorTable!$A$2:$A$301,0), Skills!M18+1)</f>
        <v/>
      </c>
      <c r="F297">
        <f>IF(Skills!N18=TRUE,(Skills!L18/10)*(E297/1000),Skills!L18/10)+Skills!O18</f>
        <v/>
      </c>
      <c r="G297">
        <f>Calc!G18</f>
        <v/>
      </c>
      <c r="H297">
        <f>Calc!H18</f>
        <v/>
      </c>
      <c r="I297">
        <f>IF(Skills!AA18&lt;&gt;"",1+(Skills!AA18/10)*(U282/1000)/100,1)</f>
        <v/>
      </c>
      <c r="J297" t="inlineStr"/>
      <c r="K297" t="inlineStr"/>
      <c r="L297" t="inlineStr"/>
      <c r="M297" t="inlineStr"/>
      <c r="N297" t="inlineStr"/>
      <c r="O297">
        <f>(1-Summary!$B$55)*T297+Summary!$B$55*V297</f>
        <v/>
      </c>
      <c r="P297">
        <f>IF(B323=0,0,O297/B323)</f>
        <v/>
      </c>
      <c r="Q297" t="n">
        <v>0</v>
      </c>
      <c r="R297" t="n">
        <v>0</v>
      </c>
      <c r="S297">
        <f>IFERROR(O297/N297,0)</f>
        <v/>
      </c>
      <c r="T297" t="n">
        <v>0</v>
      </c>
      <c r="V297" t="n">
        <v>0</v>
      </c>
    </row>
    <row r="298">
      <c r="A298">
        <f>Skills!A19</f>
        <v/>
      </c>
      <c r="B298">
        <f>Skills!B19</f>
        <v/>
      </c>
      <c r="C298">
        <f>TRUE</f>
        <v/>
      </c>
      <c r="D298">
        <f>IF(Skills!C19=1,60+Inputs!$B$25+Inputs!$B$29,IF(Skills!C19=2,90+Inputs!$B$26+Inputs!$B$29,IF(Skills!C19=3,120+Inputs!$B$27+Inputs!$B$29,MAX(0,(Inputs!$B$3-100)*3)+Inputs!$B$28+Inputs!$B$29)))</f>
        <v/>
      </c>
      <c r="E298">
        <f>INDEX(FactorTable!$B$2:$Y$301, MATCH(ROUND(MIN(300,MAX(1,D298)),0), FactorTable!$A$2:$A$301,0), Skills!M19+1)</f>
        <v/>
      </c>
      <c r="F298">
        <f>IF(Skills!N19=TRUE,(Skills!L19/10)*(E298/1000),Skills!L19/10)+Skills!O19</f>
        <v/>
      </c>
      <c r="G298">
        <f>Calc!G19</f>
        <v/>
      </c>
      <c r="H298">
        <f>Calc!H19</f>
        <v/>
      </c>
      <c r="I298">
        <f>IF(Skills!AA19&lt;&gt;"",1+(Skills!AA19/10)*(U282/1000)/100,1)</f>
        <v/>
      </c>
      <c r="J298" t="inlineStr"/>
      <c r="K298" t="inlineStr"/>
      <c r="L298" t="inlineStr"/>
      <c r="M298" t="inlineStr"/>
      <c r="N298" t="inlineStr"/>
      <c r="O298">
        <f>(1-Summary!$B$55)*T298+Summary!$B$55*V298</f>
        <v/>
      </c>
      <c r="P298">
        <f>IF(B323=0,0,O298/B323)</f>
        <v/>
      </c>
      <c r="Q298">
        <f>IFERROR(1/IF(Inputs!$B$39="pvp",15,MAX(0.1,Skills!D19-IF(Skills!E19=TRUE,Inputs!$B$32,0))),0)</f>
        <v/>
      </c>
      <c r="R298">
        <f>IF(AND(Inputs!$B$39&lt;&gt;"pvp",Inputs!$B$44&gt;0),IF(Inputs!$B$44&lt;=0,0,(INT(Inputs!$B$44/IF(Inputs!$B$39="pvp",15,MAX(0.1,Skills!D19-IF(Skills!E19=TRUE,Inputs!$B$32,0))))+1)),0)</f>
        <v/>
      </c>
      <c r="S298">
        <f>IFERROR(O298/N298,0)</f>
        <v/>
      </c>
      <c r="T298" t="n">
        <v>0</v>
      </c>
      <c r="V298" t="n">
        <v>0</v>
      </c>
    </row>
    <row r="299">
      <c r="A299">
        <f>Skills!A20</f>
        <v/>
      </c>
      <c r="B299">
        <f>Skills!B20</f>
        <v/>
      </c>
      <c r="C299">
        <f>Inputs!$B$3&gt;=15</f>
        <v/>
      </c>
      <c r="D299">
        <f>IF(Skills!C20=1,60+Inputs!$B$25+Inputs!$B$29,IF(Skills!C20=2,90+Inputs!$B$26+Inputs!$B$29,IF(Skills!C20=3,120+Inputs!$B$27+Inputs!$B$29,MAX(0,(Inputs!$B$3-100)*3)+Inputs!$B$28+Inputs!$B$29)))</f>
        <v/>
      </c>
      <c r="E299">
        <f>INDEX(FactorTable!$B$2:$Y$301, MATCH(ROUND(MIN(300,MAX(1,D299)),0), FactorTable!$A$2:$A$301,0), Skills!M20+1)</f>
        <v/>
      </c>
      <c r="F299">
        <f>IF(Skills!N20=TRUE,(Skills!L20/10)*(E299/1000),Skills!L20/10)+Skills!O20</f>
        <v/>
      </c>
      <c r="G299">
        <f>Calc!G20</f>
        <v/>
      </c>
      <c r="H299">
        <f>Calc!H20</f>
        <v/>
      </c>
      <c r="I299">
        <f>IF(Skills!AA20&lt;&gt;"",1+(Skills!AA20/10)*(U282/1000)/100,1)</f>
        <v/>
      </c>
      <c r="J299" t="inlineStr"/>
      <c r="K299" t="inlineStr"/>
      <c r="L299" t="inlineStr"/>
      <c r="M299" t="inlineStr"/>
      <c r="N299" t="inlineStr"/>
      <c r="O299">
        <f>(1-Summary!$B$55)*T299+Summary!$B$55*V299</f>
        <v/>
      </c>
      <c r="P299">
        <f>IF(B323=0,0,O299/B323)</f>
        <v/>
      </c>
      <c r="Q299">
        <f>IFERROR(1/IF(Inputs!$B$39="pvp",15,MAX(0.1,Skills!D20-IF(Skills!E20=TRUE,Inputs!$B$32,0))),0)</f>
        <v/>
      </c>
      <c r="R299">
        <f>IF(AND(Inputs!$B$39&lt;&gt;"pvp",Inputs!$B$44&gt;0),IF(Inputs!$B$44&lt;=0,0,(INT(Inputs!$B$44/IF(Inputs!$B$39="pvp",15,MAX(0.1,Skills!D20-IF(Skills!E20=TRUE,Inputs!$B$32,0))))+1)),0)</f>
        <v/>
      </c>
      <c r="S299">
        <f>IFERROR(O299/N299,0)</f>
        <v/>
      </c>
      <c r="T299" t="n">
        <v>0</v>
      </c>
      <c r="V299" t="n">
        <v>0</v>
      </c>
    </row>
    <row r="300">
      <c r="A300">
        <f>Skills!A21</f>
        <v/>
      </c>
      <c r="B300">
        <f>Skills!B21</f>
        <v/>
      </c>
      <c r="C300">
        <f>Inputs!$B$3&gt;=15</f>
        <v/>
      </c>
      <c r="D300">
        <f>IF(Skills!C21=1,60+Inputs!$B$25+Inputs!$B$29,IF(Skills!C21=2,90+Inputs!$B$26+Inputs!$B$29,IF(Skills!C21=3,120+Inputs!$B$27+Inputs!$B$29,MAX(0,(Inputs!$B$3-100)*3)+Inputs!$B$28+Inputs!$B$29)))</f>
        <v/>
      </c>
      <c r="E300">
        <f>INDEX(FactorTable!$B$2:$Y$301, MATCH(ROUND(MIN(300,MAX(1,D300)),0), FactorTable!$A$2:$A$301,0), Skills!M21+1)</f>
        <v/>
      </c>
      <c r="F300">
        <f>IF(Skills!N21=TRUE,(Skills!L21/10)*(E300/1000),Skills!L21/10)+Skills!O21</f>
        <v/>
      </c>
      <c r="G300">
        <f>Calc!G21</f>
        <v/>
      </c>
      <c r="H300">
        <f>Calc!H21</f>
        <v/>
      </c>
      <c r="I300">
        <f>IF(Skills!AA21&lt;&gt;"",1+(Skills!AA21/10)*(U282/1000)/100,1)</f>
        <v/>
      </c>
      <c r="J300" t="inlineStr"/>
      <c r="K300" t="inlineStr"/>
      <c r="L300" t="inlineStr"/>
      <c r="M300" t="inlineStr"/>
      <c r="N300" t="inlineStr"/>
      <c r="O300">
        <f>(1-Summary!$B$55)*T300+Summary!$B$55*V300</f>
        <v/>
      </c>
      <c r="P300">
        <f>IF(B323=0,0,O300/B323)</f>
        <v/>
      </c>
      <c r="Q300">
        <f>IFERROR(1/IF(Inputs!$B$39="pvp",15,MAX(0.1,Skills!D21-IF(Skills!E21=TRUE,Inputs!$B$32,0))),0)</f>
        <v/>
      </c>
      <c r="R300">
        <f>IF(AND(Inputs!$B$39&lt;&gt;"pvp",Inputs!$B$44&gt;0),IF(Inputs!$B$44&lt;=0,0,(INT(Inputs!$B$44/IF(Inputs!$B$39="pvp",15,MAX(0.1,Skills!D21-IF(Skills!E21=TRUE,Inputs!$B$32,0))))+1)),0)</f>
        <v/>
      </c>
      <c r="S300">
        <f>IFERROR(O300/N300,0)</f>
        <v/>
      </c>
      <c r="T300" t="n">
        <v>0</v>
      </c>
      <c r="V300" t="n">
        <v>0</v>
      </c>
    </row>
    <row r="301">
      <c r="A301">
        <f>Skills!A22</f>
        <v/>
      </c>
      <c r="B301">
        <f>Skills!B22</f>
        <v/>
      </c>
      <c r="C301">
        <f>Inputs!$B$3&gt;=33</f>
        <v/>
      </c>
      <c r="D301">
        <f>IF(Skills!C22=1,60+Inputs!$B$25+Inputs!$B$29,IF(Skills!C22=2,90+Inputs!$B$26+Inputs!$B$29,IF(Skills!C22=3,120+Inputs!$B$27+Inputs!$B$29,MAX(0,(Inputs!$B$3-100)*3)+Inputs!$B$28+Inputs!$B$29)))</f>
        <v/>
      </c>
      <c r="E301">
        <f>INDEX(FactorTable!$B$2:$Y$301, MATCH(ROUND(MIN(300,MAX(1,D301)),0), FactorTable!$A$2:$A$301,0), Skills!M22+1)</f>
        <v/>
      </c>
      <c r="F301">
        <f>IF(Skills!N22=TRUE,(Skills!L22/10)*(E301/1000),Skills!L22/10)+Skills!O22</f>
        <v/>
      </c>
      <c r="G301">
        <f>Calc!G22</f>
        <v/>
      </c>
      <c r="H301">
        <f>Calc!H22</f>
        <v/>
      </c>
      <c r="I301">
        <f>IF(Skills!AA22&lt;&gt;"",1+(Skills!AA22/10)*(U282/1000)/100,1)</f>
        <v/>
      </c>
      <c r="J301" t="inlineStr"/>
      <c r="K301" t="inlineStr"/>
      <c r="L301" t="inlineStr"/>
      <c r="M301" t="inlineStr"/>
      <c r="N301" t="inlineStr"/>
      <c r="O301">
        <f>(1-Summary!$B$55)*T301+Summary!$B$55*V301</f>
        <v/>
      </c>
      <c r="P301">
        <f>IF(B323=0,0,O301/B323)</f>
        <v/>
      </c>
      <c r="Q301" t="n">
        <v>0</v>
      </c>
      <c r="R301" t="n">
        <v>0</v>
      </c>
      <c r="S301">
        <f>IFERROR(O301/N301,0)</f>
        <v/>
      </c>
      <c r="T301" t="n">
        <v>0</v>
      </c>
      <c r="V301" t="n">
        <v>0</v>
      </c>
    </row>
    <row r="302">
      <c r="A302">
        <f>Skills!A23</f>
        <v/>
      </c>
      <c r="B302">
        <f>Skills!B23</f>
        <v/>
      </c>
      <c r="C302">
        <f>Inputs!$B$3&gt;=38</f>
        <v/>
      </c>
      <c r="D302">
        <f>IF(Skills!C23=1,60+Inputs!$B$25+Inputs!$B$29,IF(Skills!C23=2,90+Inputs!$B$26+Inputs!$B$29,IF(Skills!C23=3,120+Inputs!$B$27+Inputs!$B$29,MAX(0,(Inputs!$B$3-100)*3)+Inputs!$B$28+Inputs!$B$29)))</f>
        <v/>
      </c>
      <c r="E302">
        <f>INDEX(FactorTable!$B$2:$Y$301, MATCH(ROUND(MIN(300,MAX(1,D302)),0), FactorTable!$A$2:$A$301,0), Skills!M23+1)</f>
        <v/>
      </c>
      <c r="F302">
        <f>IF(Skills!N23=TRUE,(Skills!L23/10)*(E302/1000),Skills!L23/10)+Skills!O23</f>
        <v/>
      </c>
      <c r="G302">
        <f>Calc!G23</f>
        <v/>
      </c>
      <c r="H302">
        <f>Calc!H23</f>
        <v/>
      </c>
      <c r="I302">
        <f>IF(Skills!AA23&lt;&gt;"",1+(Skills!AA23/10)*(U282/1000)/100,1)</f>
        <v/>
      </c>
      <c r="J302" t="inlineStr"/>
      <c r="K302" t="inlineStr"/>
      <c r="L302" t="inlineStr"/>
      <c r="M302" t="inlineStr"/>
      <c r="N302" t="inlineStr"/>
      <c r="O302">
        <f>(1-Summary!$B$55)*T302+Summary!$B$55*V302</f>
        <v/>
      </c>
      <c r="P302">
        <f>IF(B323=0,0,O302/B323)</f>
        <v/>
      </c>
      <c r="Q302" t="n">
        <v>0</v>
      </c>
      <c r="R302" t="n">
        <v>0</v>
      </c>
      <c r="S302">
        <f>IFERROR(O302/N302,0)</f>
        <v/>
      </c>
      <c r="T302" t="n">
        <v>0</v>
      </c>
      <c r="V302" t="n">
        <v>0</v>
      </c>
    </row>
    <row r="303">
      <c r="A303">
        <f>Skills!A24</f>
        <v/>
      </c>
      <c r="B303">
        <f>Skills!B24</f>
        <v/>
      </c>
      <c r="C303">
        <f>Inputs!$B$3&gt;=40</f>
        <v/>
      </c>
      <c r="D303">
        <f>IF(Skills!C24=1,60+Inputs!$B$25+Inputs!$B$29,IF(Skills!C24=2,90+Inputs!$B$26+Inputs!$B$29,IF(Skills!C24=3,120+Inputs!$B$27+Inputs!$B$29,MAX(0,(Inputs!$B$3-100)*3)+Inputs!$B$28+Inputs!$B$29)))</f>
        <v/>
      </c>
      <c r="E303">
        <f>INDEX(FactorTable!$B$2:$Y$301, MATCH(ROUND(MIN(300,MAX(1,D303)),0), FactorTable!$A$2:$A$301,0), Skills!M24+1)</f>
        <v/>
      </c>
      <c r="F303">
        <f>IF(Skills!N24=TRUE,(Skills!L24/10)*(E303/1000),Skills!L24/10)+Skills!O24</f>
        <v/>
      </c>
      <c r="G303">
        <f>Calc!G24</f>
        <v/>
      </c>
      <c r="H303">
        <f>Calc!H24</f>
        <v/>
      </c>
      <c r="I303">
        <f>IF(Skills!AA24&lt;&gt;"",1+(Skills!AA24/10)*(U282/1000)/100,1)</f>
        <v/>
      </c>
      <c r="J303" t="inlineStr"/>
      <c r="K303" t="inlineStr"/>
      <c r="L303" t="inlineStr"/>
      <c r="M303" t="inlineStr"/>
      <c r="N303" t="inlineStr"/>
      <c r="O303">
        <f>(1-Summary!$B$55)*T303+Summary!$B$55*V303</f>
        <v/>
      </c>
      <c r="P303">
        <f>IF(B323=0,0,O303/B323)</f>
        <v/>
      </c>
      <c r="Q303" t="n">
        <v>0</v>
      </c>
      <c r="R303" t="n">
        <v>0</v>
      </c>
      <c r="S303">
        <f>IFERROR(O303/N303,0)</f>
        <v/>
      </c>
      <c r="T303" t="n">
        <v>0</v>
      </c>
      <c r="V303" t="n">
        <v>0</v>
      </c>
    </row>
    <row r="304">
      <c r="A304">
        <f>Skills!A25</f>
        <v/>
      </c>
      <c r="B304">
        <f>Skills!B25</f>
        <v/>
      </c>
      <c r="C304">
        <f>Inputs!$B$3&gt;=45</f>
        <v/>
      </c>
      <c r="D304">
        <f>IF(Skills!C25=1,60+Inputs!$B$25+Inputs!$B$29,IF(Skills!C25=2,90+Inputs!$B$26+Inputs!$B$29,IF(Skills!C25=3,120+Inputs!$B$27+Inputs!$B$29,MAX(0,(Inputs!$B$3-100)*3)+Inputs!$B$28+Inputs!$B$29)))</f>
        <v/>
      </c>
      <c r="E304">
        <f>INDEX(FactorTable!$B$2:$Y$301, MATCH(ROUND(MIN(300,MAX(1,D304)),0), FactorTable!$A$2:$A$301,0), Skills!M25+1)</f>
        <v/>
      </c>
      <c r="F304">
        <f>IF(Skills!N25=TRUE,(Skills!L25/10)*(E304/1000),Skills!L25/10)+Skills!O25</f>
        <v/>
      </c>
      <c r="G304">
        <f>Calc!G25</f>
        <v/>
      </c>
      <c r="H304">
        <f>Calc!H25</f>
        <v/>
      </c>
      <c r="I304">
        <f>IF(Skills!AA25&lt;&gt;"",1+(Skills!AA25/10)*(U282/1000)/100,1)</f>
        <v/>
      </c>
      <c r="J304" t="inlineStr"/>
      <c r="K304" t="inlineStr"/>
      <c r="L304" t="inlineStr"/>
      <c r="M304" t="inlineStr"/>
      <c r="N304" t="inlineStr"/>
      <c r="O304">
        <f>(1-Summary!$B$55)*T304+Summary!$B$55*V304</f>
        <v/>
      </c>
      <c r="P304">
        <f>IF(B323=0,0,O304/B323)</f>
        <v/>
      </c>
      <c r="Q304" t="n">
        <v>0</v>
      </c>
      <c r="R304" t="n">
        <v>0</v>
      </c>
      <c r="S304">
        <f>IFERROR(O304/N304,0)</f>
        <v/>
      </c>
      <c r="T304" t="n">
        <v>0</v>
      </c>
      <c r="V304" t="n">
        <v>0</v>
      </c>
    </row>
    <row r="305">
      <c r="A305">
        <f>Skills!A26</f>
        <v/>
      </c>
      <c r="B305">
        <f>Skills!B26</f>
        <v/>
      </c>
      <c r="C305">
        <f>Inputs!$B$3&gt;=45</f>
        <v/>
      </c>
      <c r="D305">
        <f>IF(Skills!C26=1,60+Inputs!$B$25+Inputs!$B$29,IF(Skills!C26=2,90+Inputs!$B$26+Inputs!$B$29,IF(Skills!C26=3,120+Inputs!$B$27+Inputs!$B$29,MAX(0,(Inputs!$B$3-100)*3)+Inputs!$B$28+Inputs!$B$29)))</f>
        <v/>
      </c>
      <c r="E305">
        <f>INDEX(FactorTable!$B$2:$Y$301, MATCH(ROUND(MIN(300,MAX(1,D305)),0), FactorTable!$A$2:$A$301,0), Skills!M26+1)</f>
        <v/>
      </c>
      <c r="F305">
        <f>IF(Skills!N26=TRUE,(Skills!L26/10)*(E305/1000),Skills!L26/10)+Skills!O26</f>
        <v/>
      </c>
      <c r="G305">
        <f>Calc!G26</f>
        <v/>
      </c>
      <c r="H305">
        <f>Calc!H26</f>
        <v/>
      </c>
      <c r="I305">
        <f>IF(Skills!AA26&lt;&gt;"",1+(Skills!AA26/10)*(U282/1000)/100,1)</f>
        <v/>
      </c>
      <c r="J305" t="inlineStr"/>
      <c r="K305" t="inlineStr"/>
      <c r="L305" t="inlineStr"/>
      <c r="M305" t="inlineStr"/>
      <c r="N305" t="inlineStr"/>
      <c r="O305">
        <f>(1-Summary!$B$55)*T305+Summary!$B$55*V305</f>
        <v/>
      </c>
      <c r="P305">
        <f>IF(B323=0,0,O305/B323)</f>
        <v/>
      </c>
      <c r="Q305" t="n">
        <v>0</v>
      </c>
      <c r="R305" t="n">
        <v>0</v>
      </c>
      <c r="S305">
        <f>IFERROR(O305/N305,0)</f>
        <v/>
      </c>
      <c r="T305" t="n">
        <v>0</v>
      </c>
      <c r="V305" t="n">
        <v>0</v>
      </c>
    </row>
    <row r="306">
      <c r="A306">
        <f>Skills!A27</f>
        <v/>
      </c>
      <c r="B306">
        <f>Skills!B27</f>
        <v/>
      </c>
      <c r="C306">
        <f>Inputs!$B$3&gt;=72</f>
        <v/>
      </c>
      <c r="D306">
        <f>IF(Skills!C27=1,60+Inputs!$B$25+Inputs!$B$29,IF(Skills!C27=2,90+Inputs!$B$26+Inputs!$B$29,IF(Skills!C27=3,120+Inputs!$B$27+Inputs!$B$29,MAX(0,(Inputs!$B$3-100)*3)+Inputs!$B$28+Inputs!$B$29)))</f>
        <v/>
      </c>
      <c r="E306">
        <f>INDEX(FactorTable!$B$2:$Y$301, MATCH(ROUND(MIN(300,MAX(1,D306)),0), FactorTable!$A$2:$A$301,0), Skills!M27+1)</f>
        <v/>
      </c>
      <c r="F306">
        <f>IF(Skills!N27=TRUE,(Skills!L27/10)*(E306/1000),Skills!L27/10)+Skills!O27</f>
        <v/>
      </c>
      <c r="G306">
        <f>Calc!G27</f>
        <v/>
      </c>
      <c r="H306">
        <f>Calc!H27</f>
        <v/>
      </c>
      <c r="I306">
        <f>IF(Skills!AA27&lt;&gt;"",1+(Skills!AA27/10)*(U282/1000)/100,1)</f>
        <v/>
      </c>
      <c r="J306" t="inlineStr"/>
      <c r="K306" t="inlineStr"/>
      <c r="L306" t="inlineStr"/>
      <c r="M306" t="inlineStr"/>
      <c r="N306" t="inlineStr"/>
      <c r="O306">
        <f>(1-Summary!$B$55)*T306+Summary!$B$55*V306</f>
        <v/>
      </c>
      <c r="P306">
        <f>IF(B323=0,0,O306/B323)</f>
        <v/>
      </c>
      <c r="Q306" t="n">
        <v>0</v>
      </c>
      <c r="R306" t="n">
        <v>0</v>
      </c>
      <c r="S306">
        <f>IFERROR(O306/N306,0)</f>
        <v/>
      </c>
      <c r="T306" t="n">
        <v>0</v>
      </c>
      <c r="V306" t="n">
        <v>0</v>
      </c>
    </row>
    <row r="307">
      <c r="A307">
        <f>Skills!A28</f>
        <v/>
      </c>
      <c r="B307">
        <f>Skills!B28</f>
        <v/>
      </c>
      <c r="C307">
        <f>Inputs!$B$3&gt;=75</f>
        <v/>
      </c>
      <c r="D307">
        <f>IF(Skills!C28=1,60+Inputs!$B$25+Inputs!$B$29,IF(Skills!C28=2,90+Inputs!$B$26+Inputs!$B$29,IF(Skills!C28=3,120+Inputs!$B$27+Inputs!$B$29,MAX(0,(Inputs!$B$3-100)*3)+Inputs!$B$28+Inputs!$B$29)))</f>
        <v/>
      </c>
      <c r="E307">
        <f>INDEX(FactorTable!$B$2:$Y$301, MATCH(ROUND(MIN(300,MAX(1,D307)),0), FactorTable!$A$2:$A$301,0), Skills!M28+1)</f>
        <v/>
      </c>
      <c r="F307">
        <f>IF(Skills!N28=TRUE,(Skills!L28/10)*(E307/1000),Skills!L28/10)+Skills!O28</f>
        <v/>
      </c>
      <c r="G307">
        <f>Calc!G28</f>
        <v/>
      </c>
      <c r="H307">
        <f>Calc!H28</f>
        <v/>
      </c>
      <c r="I307">
        <f>IF(Skills!AA28&lt;&gt;"",1+(Skills!AA28/10)*(U282/1000)/100,1)</f>
        <v/>
      </c>
      <c r="J307" t="inlineStr"/>
      <c r="K307" t="inlineStr"/>
      <c r="L307" t="inlineStr"/>
      <c r="M307" t="inlineStr"/>
      <c r="N307" t="inlineStr"/>
      <c r="O307">
        <f>(1-Summary!$B$55)*T307+Summary!$B$55*V307</f>
        <v/>
      </c>
      <c r="P307">
        <f>IF(B323=0,0,O307/B323)</f>
        <v/>
      </c>
      <c r="Q307" t="n">
        <v>0</v>
      </c>
      <c r="R307" t="n">
        <v>0</v>
      </c>
      <c r="S307">
        <f>IFERROR(O307/N307,0)</f>
        <v/>
      </c>
      <c r="T307" t="n">
        <v>0</v>
      </c>
      <c r="V307" t="n">
        <v>0</v>
      </c>
    </row>
    <row r="308">
      <c r="A308">
        <f>Skills!A29</f>
        <v/>
      </c>
      <c r="B308">
        <f>Skills!B29</f>
        <v/>
      </c>
      <c r="C308">
        <f>Inputs!$B$3&gt;=120</f>
        <v/>
      </c>
      <c r="D308">
        <f>IF(Skills!C29=1,60+Inputs!$B$25+Inputs!$B$29,IF(Skills!C29=2,90+Inputs!$B$26+Inputs!$B$29,IF(Skills!C29=3,120+Inputs!$B$27+Inputs!$B$29,MAX(0,(Inputs!$B$3-100)*3)+Inputs!$B$28+Inputs!$B$29)))</f>
        <v/>
      </c>
      <c r="E308">
        <f>INDEX(FactorTable!$B$2:$Y$301, MATCH(ROUND(MIN(300,MAX(1,D308)),0), FactorTable!$A$2:$A$301,0), Skills!M29+1)</f>
        <v/>
      </c>
      <c r="F308">
        <f>IF(Skills!N29=TRUE,(Skills!L29/10)*(E308/1000),Skills!L29/10)+Skills!O29</f>
        <v/>
      </c>
      <c r="G308">
        <f>Calc!G29</f>
        <v/>
      </c>
      <c r="H308">
        <f>Calc!H29</f>
        <v/>
      </c>
      <c r="I308">
        <f>IF(Skills!AA29&lt;&gt;"",1+(Skills!AA29/10)*(U282/1000)/100,1)</f>
        <v/>
      </c>
      <c r="J308" t="inlineStr"/>
      <c r="K308" t="inlineStr"/>
      <c r="L308" t="inlineStr"/>
      <c r="M308" t="inlineStr"/>
      <c r="N308" t="inlineStr"/>
      <c r="O308">
        <f>(1-Summary!$B$55)*T308+Summary!$B$55*V308</f>
        <v/>
      </c>
      <c r="P308">
        <f>IF(B323=0,0,O308/B323)</f>
        <v/>
      </c>
      <c r="Q308" t="n">
        <v>0</v>
      </c>
      <c r="R308" t="n">
        <v>0</v>
      </c>
      <c r="S308">
        <f>IFERROR(O308/N308,0)</f>
        <v/>
      </c>
      <c r="T308" t="n">
        <v>0</v>
      </c>
      <c r="V308" t="n">
        <v>0</v>
      </c>
    </row>
    <row r="309">
      <c r="A309">
        <f>Skills!A30</f>
        <v/>
      </c>
      <c r="B309">
        <f>Skills!B30</f>
        <v/>
      </c>
      <c r="C309">
        <f>Inputs!$B$3&gt;=125</f>
        <v/>
      </c>
      <c r="D309">
        <f>IF(Skills!C30=1,60+Inputs!$B$25+Inputs!$B$29,IF(Skills!C30=2,90+Inputs!$B$26+Inputs!$B$29,IF(Skills!C30=3,120+Inputs!$B$27+Inputs!$B$29,MAX(0,(Inputs!$B$3-100)*3)+Inputs!$B$28+Inputs!$B$29)))</f>
        <v/>
      </c>
      <c r="E309">
        <f>INDEX(FactorTable!$B$2:$Y$301, MATCH(ROUND(MIN(300,MAX(1,D309)),0), FactorTable!$A$2:$A$301,0), Skills!M30+1)</f>
        <v/>
      </c>
      <c r="F309">
        <f>IF(Skills!N30=TRUE,(Skills!L30/10)*(E309/1000),Skills!L30/10)+Skills!O30</f>
        <v/>
      </c>
      <c r="G309">
        <f>Calc!G30</f>
        <v/>
      </c>
      <c r="H309">
        <f>Calc!H30</f>
        <v/>
      </c>
      <c r="I309">
        <f>IF(Skills!AA30&lt;&gt;"",1+(Skills!AA30/10)*(U282/1000)/100,1)</f>
        <v/>
      </c>
      <c r="J309" t="inlineStr"/>
      <c r="K309" t="inlineStr"/>
      <c r="L309" t="inlineStr"/>
      <c r="M309" t="inlineStr"/>
      <c r="N309" t="inlineStr"/>
      <c r="O309">
        <f>(1-Summary!$B$55)*T309+Summary!$B$55*V309</f>
        <v/>
      </c>
      <c r="P309">
        <f>IF(B323=0,0,O309/B323)</f>
        <v/>
      </c>
      <c r="Q309" t="n">
        <v>0</v>
      </c>
      <c r="R309" t="n">
        <v>0</v>
      </c>
      <c r="S309">
        <f>IFERROR(O309/N309,0)</f>
        <v/>
      </c>
      <c r="T309" t="n">
        <v>0</v>
      </c>
      <c r="V309" t="n">
        <v>0</v>
      </c>
    </row>
    <row r="310">
      <c r="A310">
        <f>Skills!A31</f>
        <v/>
      </c>
      <c r="B310">
        <f>Skills!B31</f>
        <v/>
      </c>
      <c r="C310">
        <f>Inputs!$B$3&gt;=107</f>
        <v/>
      </c>
      <c r="D310">
        <f>IF(Skills!C31=1,60+Inputs!$B$25+Inputs!$B$29,IF(Skills!C31=2,90+Inputs!$B$26+Inputs!$B$29,IF(Skills!C31=3,120+Inputs!$B$27+Inputs!$B$29,MAX(0,(Inputs!$B$3-100)*3)+Inputs!$B$28+Inputs!$B$29)))</f>
        <v/>
      </c>
      <c r="E310">
        <f>INDEX(FactorTable!$B$2:$Y$301, MATCH(ROUND(MIN(300,MAX(1,D310)),0), FactorTable!$A$2:$A$301,0), Skills!M31+1)</f>
        <v/>
      </c>
      <c r="F310">
        <f>IF(Skills!N31=TRUE,(Skills!L31/10)*(E310/1000),Skills!L31/10)+Skills!O31</f>
        <v/>
      </c>
      <c r="G310">
        <f>Calc!G31</f>
        <v/>
      </c>
      <c r="H310">
        <f>Calc!H31</f>
        <v/>
      </c>
      <c r="I310">
        <f>IF(Skills!AA31&lt;&gt;"",1+(Skills!AA31/10)*(U282/1000)/100,1)</f>
        <v/>
      </c>
      <c r="J310" t="inlineStr"/>
      <c r="K310" t="inlineStr"/>
      <c r="L310" t="inlineStr"/>
      <c r="M310" t="inlineStr"/>
      <c r="N310" t="inlineStr"/>
      <c r="O310">
        <f>(1-Summary!$B$55)*T310+Summary!$B$55*V310</f>
        <v/>
      </c>
      <c r="P310">
        <f>IF(B323=0,0,O310/B323)</f>
        <v/>
      </c>
      <c r="Q310" t="n">
        <v>0</v>
      </c>
      <c r="R310" t="n">
        <v>0</v>
      </c>
      <c r="S310">
        <f>IFERROR(O310/N310,0)</f>
        <v/>
      </c>
      <c r="T310" t="n">
        <v>0</v>
      </c>
      <c r="V310" t="n">
        <v>0</v>
      </c>
    </row>
    <row r="312">
      <c r="A312" t="inlineStr">
        <is>
          <t>Actions Per Second (pre-Adrenalin)</t>
        </is>
      </c>
      <c r="B312">
        <f>1+MIN(150,150*(1-(1-(Inputs!$B$11+((C301=TRUE)*(F301-Calc!F22)))/150)*(1-((C298=TRUE)*F298*IF(AND(Inputs!$B$39&lt;&gt;"pvp",Inputs!$B$44&gt;0),(((R298-1)*(Skills!Y19*(1+Inputs!$B$34/100))+MIN((Skills!Y19*(1+Inputs!$B$34/100)),MAX(0,Inputs!$B$44-((R298-1)*Skills!D19))))/Inputs!$B$44),IF(Inputs!$B$39="pvp",MIN((Skills!Y19*(1+Inputs!$B$34/100)),15)/15,(Skills!Y19*(1+Inputs!$B$34/100))/Skills!D19)))/150)))/100</f>
        <v/>
      </c>
    </row>
    <row r="313">
      <c r="A313" t="inlineStr">
        <is>
          <t>Alchemic Adrenaline Uptime</t>
        </is>
      </c>
      <c r="B313">
        <f>(Skills!Y6*(1+Inputs!$B$34/100))/((Skills!Y6*(1+Inputs!$B$34/100))+(5/B312))</f>
        <v/>
      </c>
    </row>
    <row r="314">
      <c r="A314" t="inlineStr">
        <is>
          <t>Attack Speed Buff Bonus %</t>
        </is>
      </c>
      <c r="B314">
        <f>((C298=TRUE)*F298*IF(AND(Inputs!$B$39&lt;&gt;"pvp",Inputs!$B$44&gt;0),(((R298-1)*(Skills!Y19*(1+Inputs!$B$34/100))+MIN((Skills!Y19*(1+Inputs!$B$34/100)),MAX(0,Inputs!$B$44-((R298-1)*Skills!D19))))/Inputs!$B$44),IF(Inputs!$B$39="pvp",MIN((Skills!Y19*(1+Inputs!$B$34/100)),15)/15,(Skills!Y19*(1+Inputs!$B$34/100))/Skills!D19)))+((C286=TRUE)*F286*B313)</f>
        <v/>
      </c>
    </row>
    <row r="315">
      <c r="A315" t="inlineStr">
        <is>
          <t>Actions Per Second (final)</t>
        </is>
      </c>
      <c r="B315">
        <f>1+MIN(150,150*(1-(1-(Inputs!$B$11+((C301=TRUE)*(F301-Calc!F22)))/150)*(1-B314/150)))/100</f>
        <v/>
      </c>
    </row>
    <row r="316">
      <c r="A316" t="inlineStr">
        <is>
          <t>Skill + Buff Cast Rate</t>
        </is>
      </c>
      <c r="B316">
        <f>IF(AND(Inputs!$B$39&lt;&gt;"pvp",Inputs!$B$44&gt;0),SUMPRODUCT((Skills!E2:E31=TRUE)*(C281:C310=TRUE)*R281:R310*Skills!F2:F31)/Inputs!$B$44,SUMPRODUCT((Skills!E2:E31=TRUE)*(C281:C310=TRUE)*Q281:Q310*Skills!F2:F31))</f>
        <v/>
      </c>
    </row>
    <row r="317">
      <c r="A317" t="inlineStr">
        <is>
          <t>Showdown Casts Per Second</t>
        </is>
      </c>
      <c r="B317">
        <f>MAX(0,B315-B316)</f>
        <v/>
      </c>
    </row>
    <row r="318">
      <c r="A318" t="inlineStr">
        <is>
          <t>Average Buff Multiplier</t>
        </is>
      </c>
      <c r="B318">
        <f>(1+(((C300=TRUE)*F300*IF(AND(Inputs!$B$39&lt;&gt;"pvp",Inputs!$B$44&gt;0),(((R300-1)*(Skills!Y21*(1+Inputs!$B$34/100))+MIN((Skills!Y21*(1+Inputs!$B$34/100)),MAX(0,Inputs!$B$44-((R300-1)*Skills!D21))))/Inputs!$B$44),IF(Inputs!$B$39="pvp",MIN((Skills!Y21*(1+Inputs!$B$34/100)),15)/15,(Skills!Y21*(1+Inputs!$B$34/100))/Skills!D21)))+((C307=TRUE)*(F307-Calc!F28))+((C297=TRUE)*(F297-Calc!F18)))/100)*(1+((C294=TRUE)*F294*IF(AND(Inputs!$B$39&lt;&gt;"pvp",Inputs!$B$44&gt;0),(((R294-1)*(Skills!Y15*(1+Inputs!$B$34/100))+MIN((Skills!Y15*(1+Inputs!$B$34/100)),MAX(0,Inputs!$B$44-((R294-1)*Skills!D15))))/Inputs!$B$44),IF(Inputs!$B$39="pvp",MIN((Skills!Y15*(1+Inputs!$B$34/100)),15)/15,(Skills!Y15*(1+Inputs!$B$34/100))/Skills!D15)))/100)*(1+((C285=TRUE)*F285*B313)/100)</f>
        <v/>
      </c>
    </row>
    <row r="319">
      <c r="A319" t="inlineStr">
        <is>
          <t>Global Crit Rate Bonus %</t>
        </is>
      </c>
      <c r="B319">
        <f>IF(Inputs!$B$3&gt;=47,8,0)+((C299=TRUE)*F299*IF(AND(Inputs!$B$39&lt;&gt;"pvp",Inputs!$B$44&gt;0),(((R299-1)*(Skills!Y20*(1+Inputs!$B$34/100))+MIN((Skills!Y20*(1+Inputs!$B$34/100)),MAX(0,Inputs!$B$44-((R299-1)*Skills!D20))))/Inputs!$B$44),IF(Inputs!$B$39="pvp",MIN((Skills!Y20*(1+Inputs!$B$34/100)),15)/15,(Skills!Y20*(1+Inputs!$B$34/100))/Skills!D20)))</f>
        <v/>
      </c>
    </row>
    <row r="320">
      <c r="A320" t="inlineStr">
        <is>
          <t>Global Monster Damage-Taken Bonus %</t>
        </is>
      </c>
      <c r="B320">
        <f>IF(Inputs!$B$3&gt;=82,15,0)+((C295=TRUE)*F295*IF(AND(Inputs!$B$39&lt;&gt;"pvp",Inputs!$B$44&gt;0),(((R295-1)*(Skills!Y16*(1+Inputs!$B$34/100))+MIN((Skills!Y16*(1+Inputs!$B$34/100)),MAX(0,Inputs!$B$44-((R295-1)*Skills!D16))))/Inputs!$B$44),IF(Inputs!$B$39="pvp",MIN((Skills!Y16*(1+Inputs!$B$34/100)),15)/15,(Skills!Y16*(1+Inputs!$B$34/100))/Skills!D16)))</f>
        <v/>
      </c>
    </row>
    <row r="321">
      <c r="A321" t="inlineStr">
        <is>
          <t>Shadow Partner Average Multiplier</t>
        </is>
      </c>
      <c r="B321">
        <f>1+((C290=TRUE)*F290*I290*Skills!J11/100)/100</f>
        <v/>
      </c>
    </row>
    <row r="322">
      <c r="A322" t="inlineStr">
        <is>
          <t>Global Critical Damage Bonus % (Frailty Curse Mastery Lv.111)</t>
        </is>
      </c>
      <c r="B322">
        <f>IF(Inputs!$B$3&gt;=111,30,0)*IF(AND(Inputs!$B$39&lt;&gt;"pvp",Inputs!$B$44&gt;0),(((R295-1)*(Skills!Y16*(1+Inputs!$B$34/100))+MIN((Skills!Y16*(1+Inputs!$B$34/100)),MAX(0,Inputs!$B$44-((R295-1)*Skills!D16))))/Inputs!$B$44),IF(Inputs!$B$39="pvp",MIN((Skills!Y16*(1+Inputs!$B$34/100)),15)/15,(Skills!Y16*(1+Inputs!$B$34/100))/Skills!D16))</f>
        <v/>
      </c>
    </row>
    <row r="323">
      <c r="A323" s="5" t="inlineStr">
        <is>
          <t>TOTAL DPS</t>
        </is>
      </c>
      <c r="B323" s="5">
        <f>SUM(O281:O310)</f>
        <v/>
      </c>
    </row>
    <row r="324">
      <c r="A324" t="inlineStr">
        <is>
          <t>Buff-Casting Startup Delay (s, fixed-duration only)</t>
        </is>
      </c>
      <c r="B324">
        <f>IF(AND(Inputs!$B$39&lt;&gt;"pvp",Inputs!$B$44&gt;0),SUMPRODUCT((Skills!Y2:Y31&gt;0)*(Skills!E2:E31=TRUE)*(C281:C310=TRUE))/B315,0)</f>
        <v/>
      </c>
    </row>
    <row r="325">
      <c r="A325" t="inlineStr">
        <is>
          <t>Boss-Only Total DPS (this block's swept value)</t>
        </is>
      </c>
      <c r="B325">
        <f>SUM(T281:T310)</f>
        <v/>
      </c>
    </row>
    <row r="326">
      <c r="A326" t="inlineStr">
        <is>
          <t>Normal-Only Total DPS (this block's swept value)</t>
        </is>
      </c>
      <c r="B326">
        <f>SUM(V281:V310)</f>
        <v/>
      </c>
    </row>
    <row r="328">
      <c r="A328" s="5" t="inlineStr">
        <is>
          <t>Stat: NORMAL_DAMAGE %</t>
        </is>
      </c>
    </row>
    <row r="329">
      <c r="A329" s="9" t="inlineStr">
        <is>
          <t>Key</t>
        </is>
      </c>
      <c r="B329" s="9" t="inlineStr">
        <is>
          <t>Name</t>
        </is>
      </c>
      <c r="C329" s="9" t="inlineStr">
        <is>
          <t>Unlocked</t>
        </is>
      </c>
      <c r="D329" s="9" t="inlineStr">
        <is>
          <t>InputLevel</t>
        </is>
      </c>
      <c r="E329" s="9" t="inlineStr">
        <is>
          <t>Factor</t>
        </is>
      </c>
      <c r="F329" s="9" t="inlineStr">
        <is>
          <t>CoefficientPercent</t>
        </is>
      </c>
      <c r="G329" s="9" t="inlineStr">
        <is>
          <t>EffectiveHits</t>
        </is>
      </c>
      <c r="H329" s="9" t="inlineStr">
        <is>
          <t>ProcProbability</t>
        </is>
      </c>
      <c r="I329" s="9" t="inlineStr">
        <is>
          <t>MapleHeroMultiplier</t>
        </is>
      </c>
      <c r="J329" s="9" t="inlineStr">
        <is>
          <t>BaseDamage</t>
        </is>
      </c>
      <c r="K329" s="9" t="inlineStr">
        <is>
          <t>BaseHitDamage</t>
        </is>
      </c>
      <c r="L329" s="9" t="inlineStr">
        <is>
          <t>NonCritAvg</t>
        </is>
      </c>
      <c r="M329" s="9" t="inlineStr">
        <is>
          <t>CritAvg</t>
        </is>
      </c>
      <c r="N329" s="9" t="inlineStr">
        <is>
          <t>ExpectedDamage(perHit)</t>
        </is>
      </c>
      <c r="O329" s="9" t="inlineStr">
        <is>
          <t>DPS</t>
        </is>
      </c>
      <c r="P329" s="9" t="inlineStr">
        <is>
          <t>% of Total</t>
        </is>
      </c>
      <c r="Q329" s="9" t="inlineStr">
        <is>
          <t>InvCooldown</t>
        </is>
      </c>
      <c r="R329" s="9" t="inlineStr">
        <is>
          <t>CastsInFight</t>
        </is>
      </c>
      <c r="S329" s="9" t="inlineStr">
        <is>
          <t>HitRate(perSec)</t>
        </is>
      </c>
      <c r="U329" t="inlineStr">
        <is>
          <t>helpers</t>
        </is>
      </c>
    </row>
    <row r="330">
      <c r="A330">
        <f>Skills!A2</f>
        <v/>
      </c>
      <c r="B330">
        <f>Skills!B2</f>
        <v/>
      </c>
      <c r="C330">
        <f>Inputs!$B$3&gt;=100</f>
        <v/>
      </c>
      <c r="D330" t="inlineStr"/>
      <c r="E330" t="inlineStr"/>
      <c r="F330">
        <f>U334+Skills!O2</f>
        <v/>
      </c>
      <c r="G330">
        <f>Calc!G2</f>
        <v/>
      </c>
      <c r="H330">
        <f>Calc!H2</f>
        <v/>
      </c>
      <c r="I330">
        <f>IF(Skills!AA2&lt;&gt;"",1+(Skills!AA2/10)*(U331/1000)/100,1)</f>
        <v/>
      </c>
      <c r="J330">
        <f>((Inputs!$B$6*(1+Inputs!$B$7/100))+(((Inputs!$B$12*(1+Inputs!$B$13/100))-(Inputs!$B$12*(1+Inputs!$B$13/100)))+0.25*(Inputs!$B$14-Inputs!$B$14))*(1+Inputs!$B$7/100))*(F330/100)</f>
        <v/>
      </c>
      <c r="K330">
        <f>J330*(1+((Inputs!$B$12*(1+Inputs!$B$13/100))*0.01+Inputs!$B$14*0.0025)/100)*(1+Inputs!$B$15/100)*(1+Inputs!$B$16/100)*(5000/(6000+Inputs!$B$43*(1-Inputs!$B$19/100)))*(1+(Inputs!$B$24+((C358=TRUE)*(F358-Calc!F30)))/100)*(1+Skills!R2/100)*(1+(IF(Skills!A2="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330)</f>
        <v/>
      </c>
      <c r="L330">
        <f>K330*(MIN(Inputs!$B$22+((C352=TRUE)*(F352-Calc!F24)),Inputs!$B$23)/100+Inputs!$B$23/100)/2</f>
        <v/>
      </c>
      <c r="M330">
        <f>L330*(1+(Inputs!$B$10+((C354=TRUE)*(F354-Calc!F26))+B371)/100)</f>
        <v/>
      </c>
      <c r="N330">
        <f>L330*(1-MIN((Inputs!$B$9+((C353=TRUE)*(F353-Calc!F25))+B368),100)/100)+M330*(MIN((Inputs!$B$9+((C353=TRUE)*(F353-Calc!F25))+B368),100)/100)</f>
        <v/>
      </c>
      <c r="O330">
        <f>(1-Summary!$B$55)*T330+Summary!$B$55*V330</f>
        <v/>
      </c>
      <c r="P330">
        <f>IF(B372=0,0,O330/B372)</f>
        <v/>
      </c>
      <c r="Q330" t="n">
        <v>0</v>
      </c>
      <c r="R330" t="n">
        <v>0</v>
      </c>
      <c r="S330">
        <f>IFERROR(O330/N330,0)</f>
        <v/>
      </c>
      <c r="T330">
        <f>IF(C330,(Skills!G2*N330*B366)*IF(Inputs!$B$39="pvp",1,1+(Inputs!$B$20+((C355=TRUE)*(F355-Calc!F27))+Skills!P2+B369)/100),0)</f>
        <v/>
      </c>
      <c r="U330">
        <f>MAX(0,(Inputs!$B$3-100)*3)+Inputs!$B$28+Inputs!$B$29</f>
        <v/>
      </c>
      <c r="V330">
        <f>IF(C330,(Skills!G2*N330*B366)*IF(Inputs!$B$39="pvp",1,(1+((Inputs!$B$21+1)+Skills!Q2+B369)/100)*(MIN((6+Inputs!$B$33),Inputs!$B$37))),0)</f>
        <v/>
      </c>
    </row>
    <row r="331">
      <c r="A331">
        <f>Skills!A3</f>
        <v/>
      </c>
      <c r="B331">
        <f>Skills!B3</f>
        <v/>
      </c>
      <c r="C331">
        <f>Inputs!$B$3&gt;=35</f>
        <v/>
      </c>
      <c r="D331">
        <f>IF(Skills!C3=1,60+Inputs!$B$25+Inputs!$B$29,IF(Skills!C3=2,90+Inputs!$B$26+Inputs!$B$29,IF(Skills!C3=3,120+Inputs!$B$27+Inputs!$B$29,MAX(0,(Inputs!$B$3-100)*3)+Inputs!$B$28+Inputs!$B$29)))</f>
        <v/>
      </c>
      <c r="E331">
        <f>INDEX(FactorTable!$B$2:$Y$301, MATCH(ROUND(MIN(300,MAX(1,D331)),0), FactorTable!$A$2:$A$301,0), Skills!M3+1)</f>
        <v/>
      </c>
      <c r="F331">
        <f>IF(Skills!N3=TRUE,(Skills!L3/10)*(E331/1000),Skills!L3/10)+Skills!O3</f>
        <v/>
      </c>
      <c r="G331">
        <f>Calc!G3</f>
        <v/>
      </c>
      <c r="H331">
        <f>Calc!H3</f>
        <v/>
      </c>
      <c r="I331">
        <f>IF(Skills!AA3&lt;&gt;"",1+(Skills!AA3/10)*(U331/1000)/100,1)</f>
        <v/>
      </c>
      <c r="J331">
        <f>((Inputs!$B$6*(1+Inputs!$B$7/100))+(((Inputs!$B$12*(1+Inputs!$B$13/100))-(Inputs!$B$12*(1+Inputs!$B$13/100)))+0.25*(Inputs!$B$14-Inputs!$B$14))*(1+Inputs!$B$7/100))*(F331/100)</f>
        <v/>
      </c>
      <c r="K331">
        <f>J331*(1+((Inputs!$B$12*(1+Inputs!$B$13/100))*0.01+Inputs!$B$14*0.0025)/100)*(1+Inputs!$B$15/100)*(1+Inputs!$B$16/100)*(5000/(6000+Inputs!$B$43*(1-Inputs!$B$19/100)))*(1+(Inputs!$B$24+((C358=TRUE)*(F358-Calc!F30)))/100)*(1+Skills!R3/100)*(1+(IF(Skills!A3="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331)</f>
        <v/>
      </c>
      <c r="L331">
        <f>K331*(MIN(Inputs!$B$22+((C352=TRUE)*(F352-Calc!F24)),Inputs!$B$23)/100+Inputs!$B$23/100)/2</f>
        <v/>
      </c>
      <c r="M331">
        <f>L331*(1+(Inputs!$B$10+((C354=TRUE)*(F354-Calc!F26))+B371)/100)</f>
        <v/>
      </c>
      <c r="N331">
        <f>L331*(1-MIN((Inputs!$B$9+((C353=TRUE)*(F353-Calc!F25))+B368),100)/100)+M331*(MIN((Inputs!$B$9+((C353=TRUE)*(F353-Calc!F25))+B368),100)/100)</f>
        <v/>
      </c>
      <c r="O331">
        <f>(1-Summary!$B$55)*T331+Summary!$B$55*V331</f>
        <v/>
      </c>
      <c r="P331">
        <f>IF(B372=0,0,O331/B372)</f>
        <v/>
      </c>
      <c r="Q331">
        <f>IFERROR(1/IF(Inputs!$B$39="pvp",15,MAX(0.1,Skills!D3-IF(Skills!E3=TRUE,Inputs!$B$32,0))),0)</f>
        <v/>
      </c>
      <c r="R331">
        <f>IF(AND(Inputs!$B$39&lt;&gt;"pvp",Inputs!$B$44&gt;0),IF(MAX(0,Inputs!$B$44-B373)&lt;=0,0,(INT(MAX(0,Inputs!$B$44-B373)/IF(Inputs!$B$39="pvp",15,MAX(0.1,Skills!D3-IF(Skills!E3=TRUE,Inputs!$B$32,0))))+1)),0)</f>
        <v/>
      </c>
      <c r="S331">
        <f>IFERROR(O331/N331,0)</f>
        <v/>
      </c>
      <c r="T331">
        <f>IF(C331,(H331*N331*IF(AND(Inputs!$B$39&lt;&gt;"pvp",Inputs!$B$44&gt;0),((Skills!G3*((R331-1)*IF(Skills!H3&gt;0,Skills!I3/Skills!H3,1)+IF(Skills!H3&gt;0,MIN(Skills!I3,MAX(0,MAX(0,Inputs!$B$44-B373)-((R331-1)*IF(Inputs!$B$39="pvp",15,MAX(0.1,Skills!D3-IF(Skills!E3=TRUE,Inputs!$B$32,0))))))/Skills!H3,1)))/Inputs!$B$44),G331*Q331))*IF(Inputs!$B$39="pvp",1,1+(Inputs!$B$20+((C355=TRUE)*(F355-Calc!F27))+Skills!P3+B369)/100),0)</f>
        <v/>
      </c>
      <c r="U331">
        <f>INDEX(FactorTable!$B$2:$Y$301, MATCH(ROUND(MIN(300,MAX(1,U330)),0), FactorTable!$A$2:$A$301,0), 24)</f>
        <v/>
      </c>
      <c r="V331">
        <f>IF(C331,(H331*N331*IF(AND(Inputs!$B$39&lt;&gt;"pvp",Inputs!$B$44&gt;0),((Skills!G3*((R331-1)*IF(Skills!H3&gt;0,Skills!I3/Skills!H3,1)+IF(Skills!H3&gt;0,MIN(Skills!I3,MAX(0,MAX(0,Inputs!$B$44-B373)-((R331-1)*IF(Inputs!$B$39="pvp",15,MAX(0.1,Skills!D3-IF(Skills!E3=TRUE,Inputs!$B$32,0))))))/Skills!H3,1)))/Inputs!$B$44),G331*Q331))*IF(Inputs!$B$39="pvp",1,(1+((Inputs!$B$21+1)+Skills!Q3+B369)/100)*(MIN(Skills!W3,Inputs!$B$37))),0)</f>
        <v/>
      </c>
    </row>
    <row r="332">
      <c r="A332">
        <f>Skills!A4</f>
        <v/>
      </c>
      <c r="B332">
        <f>Skills!B4</f>
        <v/>
      </c>
      <c r="C332">
        <f>Inputs!$B$3&gt;=40</f>
        <v/>
      </c>
      <c r="D332">
        <f>IF(Skills!C4=1,60+Inputs!$B$25+Inputs!$B$29,IF(Skills!C4=2,90+Inputs!$B$26+Inputs!$B$29,IF(Skills!C4=3,120+Inputs!$B$27+Inputs!$B$29,MAX(0,(Inputs!$B$3-100)*3)+Inputs!$B$28+Inputs!$B$29)))</f>
        <v/>
      </c>
      <c r="E332">
        <f>INDEX(FactorTable!$B$2:$Y$301, MATCH(ROUND(MIN(300,MAX(1,D332)),0), FactorTable!$A$2:$A$301,0), Skills!M4+1)</f>
        <v/>
      </c>
      <c r="F332">
        <f>IF(Skills!N4=TRUE,(Skills!L4/10)*(E332/1000),Skills!L4/10)+Skills!O4</f>
        <v/>
      </c>
      <c r="G332">
        <f>Calc!G4</f>
        <v/>
      </c>
      <c r="H332">
        <f>Calc!H4</f>
        <v/>
      </c>
      <c r="I332">
        <f>IF(Skills!AA4&lt;&gt;"",1+(Skills!AA4/10)*(U331/1000)/100,1)</f>
        <v/>
      </c>
      <c r="J332">
        <f>((Inputs!$B$6*(1+Inputs!$B$7/100))+(((Inputs!$B$12*(1+Inputs!$B$13/100))-(Inputs!$B$12*(1+Inputs!$B$13/100)))+0.25*(Inputs!$B$14-Inputs!$B$14))*(1+Inputs!$B$7/100))*(F332/100)</f>
        <v/>
      </c>
      <c r="K332">
        <f>J332*(1+((Inputs!$B$12*(1+Inputs!$B$13/100))*0.01+Inputs!$B$14*0.0025)/100)*(1+Inputs!$B$15/100)*(1+Inputs!$B$16/100)*(5000/(6000+Inputs!$B$43*(1-Inputs!$B$19/100)))*(1+(Inputs!$B$24+((C358=TRUE)*(F358-Calc!F30)))/100)*(1+Skills!R4/100)*(1+(IF(Skills!A4="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332)</f>
        <v/>
      </c>
      <c r="L332">
        <f>K332*(MIN(Inputs!$B$22+((C352=TRUE)*(F352-Calc!F24)),Inputs!$B$23)/100+Inputs!$B$23/100)/2</f>
        <v/>
      </c>
      <c r="M332">
        <f>L332*(1+(Inputs!$B$10+((C354=TRUE)*(F354-Calc!F26))+B371)/100)</f>
        <v/>
      </c>
      <c r="N332">
        <f>L332*(1-MIN((Inputs!$B$9+((C353=TRUE)*(F353-Calc!F25))+B368),100)/100)+M332*(MIN((Inputs!$B$9+((C353=TRUE)*(F353-Calc!F25))+B368),100)/100)</f>
        <v/>
      </c>
      <c r="O332">
        <f>(1-Summary!$B$55)*T332+Summary!$B$55*V332</f>
        <v/>
      </c>
      <c r="P332">
        <f>IF(B372=0,0,O332/B372)</f>
        <v/>
      </c>
      <c r="Q332">
        <f>IFERROR(1/IF(Inputs!$B$39="pvp",15,MAX(0.1,Skills!D4-IF(Skills!E4=TRUE,Inputs!$B$32,0))),0)</f>
        <v/>
      </c>
      <c r="R332">
        <f>IF(AND(Inputs!$B$39&lt;&gt;"pvp",Inputs!$B$44&gt;0),IF(MAX(0,Inputs!$B$44-B373)&lt;=0,0,(INT(MAX(0,Inputs!$B$44-B373)/IF(Inputs!$B$39="pvp",15,MAX(0.1,Skills!D4-IF(Skills!E4=TRUE,Inputs!$B$32,0))))+1)),0)</f>
        <v/>
      </c>
      <c r="S332">
        <f>IFERROR(O332/N332,0)</f>
        <v/>
      </c>
      <c r="T332">
        <f>IF(C332,(H332*N332*IF(AND(Inputs!$B$39&lt;&gt;"pvp",Inputs!$B$44&gt;0),((Skills!G4*((R332-1)*IF(Skills!H4&gt;0,Skills!I4/Skills!H4,1)+IF(Skills!H4&gt;0,MIN(Skills!I4,MAX(0,MAX(0,Inputs!$B$44-B373)-((R332-1)*IF(Inputs!$B$39="pvp",15,MAX(0.1,Skills!D4-IF(Skills!E4=TRUE,Inputs!$B$32,0))))))/Skills!H4,1)))/Inputs!$B$44),G332*Q332))*IF(Inputs!$B$39="pvp",1,1+(Inputs!$B$20+((C355=TRUE)*(F355-Calc!F27))+Skills!P4+B369)/100),0)</f>
        <v/>
      </c>
      <c r="U332">
        <f>MAX(0,(Inputs!$B$3-100)*3)+Inputs!$B$28+Inputs!$B$29</f>
        <v/>
      </c>
      <c r="V332">
        <f>IF(C332,(H332*N332*IF(AND(Inputs!$B$39&lt;&gt;"pvp",Inputs!$B$44&gt;0),((Skills!G4*((R332-1)*IF(Skills!H4&gt;0,Skills!I4/Skills!H4,1)+IF(Skills!H4&gt;0,MIN(Skills!I4,MAX(0,MAX(0,Inputs!$B$44-B373)-((R332-1)*IF(Inputs!$B$39="pvp",15,MAX(0.1,Skills!D4-IF(Skills!E4=TRUE,Inputs!$B$32,0))))))/Skills!H4,1)))/Inputs!$B$44),G332*Q332))*IF(Inputs!$B$39="pvp",1,(1+((Inputs!$B$21+1)+Skills!Q4+B369)/100)*(MIN(Skills!W4,Inputs!$B$37))),0)</f>
        <v/>
      </c>
    </row>
    <row r="333">
      <c r="A333">
        <f>Skills!A5</f>
        <v/>
      </c>
      <c r="B333">
        <f>Skills!B5</f>
        <v/>
      </c>
      <c r="C333">
        <f>Inputs!$B$3&gt;=63</f>
        <v/>
      </c>
      <c r="D333">
        <f>IF(Skills!C5=1,60+Inputs!$B$25+Inputs!$B$29,IF(Skills!C5=2,90+Inputs!$B$26+Inputs!$B$29,IF(Skills!C5=3,120+Inputs!$B$27+Inputs!$B$29,MAX(0,(Inputs!$B$3-100)*3)+Inputs!$B$28+Inputs!$B$29)))</f>
        <v/>
      </c>
      <c r="E333">
        <f>INDEX(FactorTable!$B$2:$Y$301, MATCH(ROUND(MIN(300,MAX(1,D333)),0), FactorTable!$A$2:$A$301,0), Skills!M5+1)</f>
        <v/>
      </c>
      <c r="F333">
        <f>IF(Skills!N5=TRUE,(Skills!L5/10)*(E333/1000),Skills!L5/10)+Skills!O5</f>
        <v/>
      </c>
      <c r="G333">
        <f>Calc!G5</f>
        <v/>
      </c>
      <c r="H333">
        <f>Calc!H5</f>
        <v/>
      </c>
      <c r="I333">
        <f>IF(Skills!AA5&lt;&gt;"",1+(Skills!AA5/10)*(U331/1000)/100,1)</f>
        <v/>
      </c>
      <c r="J333">
        <f>((Inputs!$B$6*(1+Inputs!$B$7/100))+(((Inputs!$B$12*(1+Inputs!$B$13/100))-(Inputs!$B$12*(1+Inputs!$B$13/100)))+0.25*(Inputs!$B$14-Inputs!$B$14))*(1+Inputs!$B$7/100))*(F333/100)</f>
        <v/>
      </c>
      <c r="K333">
        <f>J333*(1+((Inputs!$B$12*(1+Inputs!$B$13/100))*0.01+Inputs!$B$14*0.0025)/100)*(1+Inputs!$B$15/100)*(1+Inputs!$B$16/100)*(5000/(6000+Inputs!$B$43*(1-Inputs!$B$19/100)))*(1+(Inputs!$B$24+((C358=TRUE)*(F358-Calc!F30)))/100)*(1+Skills!R5/100)*(1+(IF(Skills!A5="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333)</f>
        <v/>
      </c>
      <c r="L333">
        <f>K333*(MIN(Inputs!$B$22+((C352=TRUE)*(F352-Calc!F24)),Inputs!$B$23)/100+Inputs!$B$23/100)/2</f>
        <v/>
      </c>
      <c r="M333">
        <f>L333*(1+(Inputs!$B$10+((C354=TRUE)*(F354-Calc!F26))+B371)/100)</f>
        <v/>
      </c>
      <c r="N333">
        <f>L333*(1-MIN((Inputs!$B$9+((C353=TRUE)*(F353-Calc!F25))+B368),100)/100)+M333*(MIN((Inputs!$B$9+((C353=TRUE)*(F353-Calc!F25))+B368),100)/100)</f>
        <v/>
      </c>
      <c r="O333">
        <f>(1-Summary!$B$55)*T333+Summary!$B$55*V333</f>
        <v/>
      </c>
      <c r="P333">
        <f>IF(B372=0,0,O333/B372)</f>
        <v/>
      </c>
      <c r="Q333">
        <f>IFERROR(1/IF(Inputs!$B$39="pvp",15,MAX(0.1,Skills!D5-IF(Skills!E5=TRUE,Inputs!$B$32,0))),0)</f>
        <v/>
      </c>
      <c r="R333">
        <f>IF(AND(Inputs!$B$39&lt;&gt;"pvp",Inputs!$B$44&gt;0),IF(MAX(0,Inputs!$B$44-B373)&lt;=0,0,(INT(MAX(0,Inputs!$B$44-B373)/IF(Inputs!$B$39="pvp",15,MAX(0.1,Skills!D5-IF(Skills!E5=TRUE,Inputs!$B$32,0))))+1)),0)</f>
        <v/>
      </c>
      <c r="S333">
        <f>IFERROR(O333/N333,0)</f>
        <v/>
      </c>
      <c r="T333">
        <f>IF(C333,(H333*N333*IF(AND(Inputs!$B$39&lt;&gt;"pvp",Inputs!$B$44&gt;0),((Skills!G5*((R333-1)*IF(Skills!H5&gt;0,Skills!I5/Skills!H5,1)+IF(Skills!H5&gt;0,MIN(Skills!I5,MAX(0,MAX(0,Inputs!$B$44-B373)-((R333-1)*IF(Inputs!$B$39="pvp",15,MAX(0.1,Skills!D5-IF(Skills!E5=TRUE,Inputs!$B$32,0))))))/Skills!H5,1)))/Inputs!$B$44),G333*Q333))*IF(Inputs!$B$39="pvp",1,1+(Inputs!$B$20+((C355=TRUE)*(F355-Calc!F27))+Skills!P5+B369)/100),0)</f>
        <v/>
      </c>
      <c r="U333">
        <f>INDEX(FactorTable!$B$2:$Y$301, MATCH(ROUND(MIN(300,MAX(1,U332)),0), FactorTable!$A$2:$A$301,0), 22)</f>
        <v/>
      </c>
      <c r="V333">
        <f>IF(C333,(H333*N333*IF(AND(Inputs!$B$39&lt;&gt;"pvp",Inputs!$B$44&gt;0),((Skills!G5*((R333-1)*IF(Skills!H5&gt;0,Skills!I5/Skills!H5,1)+IF(Skills!H5&gt;0,MIN(Skills!I5,MAX(0,MAX(0,Inputs!$B$44-B373)-((R333-1)*IF(Inputs!$B$39="pvp",15,MAX(0.1,Skills!D5-IF(Skills!E5=TRUE,Inputs!$B$32,0))))))/Skills!H5,1)))/Inputs!$B$44),G333*Q333))*IF(Inputs!$B$39="pvp",1,(1+((Inputs!$B$21+1)+Skills!Q5+B369)/100)*(MIN(Skills!W5,Inputs!$B$37))),0)</f>
        <v/>
      </c>
    </row>
    <row r="334">
      <c r="A334">
        <f>Skills!A6</f>
        <v/>
      </c>
      <c r="B334">
        <f>Skills!B6</f>
        <v/>
      </c>
      <c r="C334">
        <f>Inputs!$B$3&gt;=66</f>
        <v/>
      </c>
      <c r="D334">
        <f>IF(Skills!C6=1,60+Inputs!$B$25+Inputs!$B$29,IF(Skills!C6=2,90+Inputs!$B$26+Inputs!$B$29,IF(Skills!C6=3,120+Inputs!$B$27+Inputs!$B$29,MAX(0,(Inputs!$B$3-100)*3)+Inputs!$B$28+Inputs!$B$29)))</f>
        <v/>
      </c>
      <c r="E334">
        <f>INDEX(FactorTable!$B$2:$Y$301, MATCH(ROUND(MIN(300,MAX(1,D334)),0), FactorTable!$A$2:$A$301,0), Skills!M6+1)</f>
        <v/>
      </c>
      <c r="F334">
        <f>IF(Skills!N6=TRUE,(Skills!L6/10)*(E334/1000),Skills!L6/10)+Skills!O6</f>
        <v/>
      </c>
      <c r="G334">
        <f>Calc!G6</f>
        <v/>
      </c>
      <c r="H334">
        <f>Calc!H6</f>
        <v/>
      </c>
      <c r="I334">
        <f>IF(Skills!AA6&lt;&gt;"",1+(Skills!AA6/10)*(U331/1000)/100,1)</f>
        <v/>
      </c>
      <c r="J334" t="inlineStr"/>
      <c r="K334" t="inlineStr"/>
      <c r="L334" t="inlineStr"/>
      <c r="M334" t="inlineStr"/>
      <c r="N334" t="inlineStr"/>
      <c r="O334">
        <f>(1-Summary!$B$55)*T334+Summary!$B$55*V334</f>
        <v/>
      </c>
      <c r="P334">
        <f>IF(B372=0,0,O334/B372)</f>
        <v/>
      </c>
      <c r="Q334" t="n">
        <v>0</v>
      </c>
      <c r="R334" t="n">
        <v>0</v>
      </c>
      <c r="S334">
        <f>IFERROR(O334/N334,0)</f>
        <v/>
      </c>
      <c r="T334" t="n">
        <v>0</v>
      </c>
      <c r="U334">
        <f>290*U333/1000</f>
        <v/>
      </c>
      <c r="V334" t="n">
        <v>0</v>
      </c>
    </row>
    <row r="335">
      <c r="A335">
        <f>Skills!A7</f>
        <v/>
      </c>
      <c r="B335">
        <f>Skills!B7</f>
        <v/>
      </c>
      <c r="C335">
        <f>Inputs!$B$3&gt;=66</f>
        <v/>
      </c>
      <c r="D335">
        <f>IF(Skills!C7=1,60+Inputs!$B$25+Inputs!$B$29,IF(Skills!C7=2,90+Inputs!$B$26+Inputs!$B$29,IF(Skills!C7=3,120+Inputs!$B$27+Inputs!$B$29,MAX(0,(Inputs!$B$3-100)*3)+Inputs!$B$28+Inputs!$B$29)))</f>
        <v/>
      </c>
      <c r="E335">
        <f>INDEX(FactorTable!$B$2:$Y$301, MATCH(ROUND(MIN(300,MAX(1,D335)),0), FactorTable!$A$2:$A$301,0), Skills!M7+1)</f>
        <v/>
      </c>
      <c r="F335">
        <f>IF(Skills!N7=TRUE,(Skills!L7/10)*(E335/1000),Skills!L7/10)+Skills!O7</f>
        <v/>
      </c>
      <c r="G335">
        <f>Calc!G7</f>
        <v/>
      </c>
      <c r="H335">
        <f>Calc!H7</f>
        <v/>
      </c>
      <c r="I335">
        <f>IF(Skills!AA7&lt;&gt;"",1+(Skills!AA7/10)*(U331/1000)/100,1)</f>
        <v/>
      </c>
      <c r="J335" t="inlineStr"/>
      <c r="K335" t="inlineStr"/>
      <c r="L335" t="inlineStr"/>
      <c r="M335" t="inlineStr"/>
      <c r="N335" t="inlineStr"/>
      <c r="O335">
        <f>(1-Summary!$B$55)*T335+Summary!$B$55*V335</f>
        <v/>
      </c>
      <c r="P335">
        <f>IF(B372=0,0,O335/B372)</f>
        <v/>
      </c>
      <c r="Q335" t="n">
        <v>0</v>
      </c>
      <c r="R335" t="n">
        <v>0</v>
      </c>
      <c r="S335">
        <f>IFERROR(O335/N335,0)</f>
        <v/>
      </c>
      <c r="T335" t="n">
        <v>0</v>
      </c>
      <c r="V335" t="n">
        <v>0</v>
      </c>
    </row>
    <row r="336">
      <c r="A336">
        <f>Skills!A8</f>
        <v/>
      </c>
      <c r="B336">
        <f>Skills!B8</f>
        <v/>
      </c>
      <c r="C336">
        <f>Inputs!$B$3&gt;=69</f>
        <v/>
      </c>
      <c r="D336">
        <f>IF(Skills!C8=1,60+Inputs!$B$25+Inputs!$B$29,IF(Skills!C8=2,90+Inputs!$B$26+Inputs!$B$29,IF(Skills!C8=3,120+Inputs!$B$27+Inputs!$B$29,MAX(0,(Inputs!$B$3-100)*3)+Inputs!$B$28+Inputs!$B$29)))</f>
        <v/>
      </c>
      <c r="E336">
        <f>INDEX(FactorTable!$B$2:$Y$301, MATCH(ROUND(MIN(300,MAX(1,D336)),0), FactorTable!$A$2:$A$301,0), Skills!M8+1)</f>
        <v/>
      </c>
      <c r="F336">
        <f>IF(Skills!N8=TRUE,(Skills!L8/10)*(E336/1000),Skills!L8/10)+Skills!O8</f>
        <v/>
      </c>
      <c r="G336">
        <f>Calc!G8</f>
        <v/>
      </c>
      <c r="H336">
        <f>Calc!H8</f>
        <v/>
      </c>
      <c r="I336">
        <f>IF(Skills!AA8&lt;&gt;"",1+(Skills!AA8/10)*(U331/1000)/100,1)</f>
        <v/>
      </c>
      <c r="J336">
        <f>((Inputs!$B$6*(1+Inputs!$B$7/100))+(((Inputs!$B$12*(1+Inputs!$B$13/100))-(Inputs!$B$12*(1+Inputs!$B$13/100)))+0.25*(Inputs!$B$14-Inputs!$B$14))*(1+Inputs!$B$7/100))*(F336/100)</f>
        <v/>
      </c>
      <c r="K336">
        <f>J336*(1+((Inputs!$B$12*(1+Inputs!$B$13/100))*0.01+Inputs!$B$14*0.0025)/100)*(1+Inputs!$B$15/100)*(1+Inputs!$B$16/100)*(5000/(6000+Inputs!$B$43*(1-Inputs!$B$19/100)))*(1+(Inputs!$B$24+((C358=TRUE)*(F358-Calc!F30)))/100)*(1+Skills!R8/100)*(1+(IF(Skills!A8="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336)</f>
        <v/>
      </c>
      <c r="L336">
        <f>K336*(MIN(Inputs!$B$22+((C352=TRUE)*(F352-Calc!F24)),Inputs!$B$23)/100+Inputs!$B$23/100)/2</f>
        <v/>
      </c>
      <c r="M336">
        <f>L336*(1+(Inputs!$B$10+((C354=TRUE)*(F354-Calc!F26))+B371)/100)</f>
        <v/>
      </c>
      <c r="N336">
        <f>L336*(1-MIN((Inputs!$B$9+((C353=TRUE)*(F353-Calc!F25))+B368),100)/100)+M336*(MIN((Inputs!$B$9+((C353=TRUE)*(F353-Calc!F25))+B368),100)/100)</f>
        <v/>
      </c>
      <c r="O336">
        <f>(1-Summary!$B$55)*T336+Summary!$B$55*V336</f>
        <v/>
      </c>
      <c r="P336">
        <f>IF(B372=0,0,O336/B372)</f>
        <v/>
      </c>
      <c r="Q336">
        <f>IFERROR(1/IF(Inputs!$B$39="pvp",15,MAX(0.1,Skills!D8-IF(Skills!E8=TRUE,Inputs!$B$32,0))),0)</f>
        <v/>
      </c>
      <c r="R336">
        <f>IF(AND(Inputs!$B$39&lt;&gt;"pvp",Inputs!$B$44&gt;0),IF(MAX(0,Inputs!$B$44-B373)&lt;=0,0,(INT(MAX(0,Inputs!$B$44-B373)/IF(Inputs!$B$39="pvp",15,MAX(0.1,Skills!D8-IF(Skills!E8=TRUE,Inputs!$B$32,0))))+1)),0)</f>
        <v/>
      </c>
      <c r="S336">
        <f>IFERROR(O336/N336,0)</f>
        <v/>
      </c>
      <c r="T336">
        <f>IF(C336,(H336*N336*IF(AND(Inputs!$B$39&lt;&gt;"pvp",Inputs!$B$44&gt;0),((Skills!G8*((R336-1)*IF(Skills!H8&gt;0,Skills!I8/Skills!H8,1)+IF(Skills!H8&gt;0,MIN(Skills!I8,MAX(0,MAX(0,Inputs!$B$44-B373)-((R336-1)*IF(Inputs!$B$39="pvp",15,MAX(0.1,Skills!D8-IF(Skills!E8=TRUE,Inputs!$B$32,0))))))/Skills!H8,1)))/Inputs!$B$44),G336*Q336))*IF(Inputs!$B$39="pvp",1,1+(Inputs!$B$20+((C355=TRUE)*(F355-Calc!F27))+Skills!P8+B369)/100),0)</f>
        <v/>
      </c>
      <c r="V336">
        <f>IF(C336,(H336*N336*IF(AND(Inputs!$B$39&lt;&gt;"pvp",Inputs!$B$44&gt;0),((Skills!G8*((R336-1)*IF(Skills!H8&gt;0,Skills!I8/Skills!H8,1)+IF(Skills!H8&gt;0,MIN(Skills!I8,MAX(0,MAX(0,Inputs!$B$44-B373)-((R336-1)*IF(Inputs!$B$39="pvp",15,MAX(0.1,Skills!D8-IF(Skills!E8=TRUE,Inputs!$B$32,0))))))/Skills!H8,1)))/Inputs!$B$44),G336*Q336))*IF(Inputs!$B$39="pvp",1,(1+((Inputs!$B$21+1)+Skills!Q8+B369)/100)*(MIN(Skills!W8,Inputs!$B$37))),0)</f>
        <v/>
      </c>
    </row>
    <row r="337">
      <c r="A337">
        <f>Skills!A9</f>
        <v/>
      </c>
      <c r="B337">
        <f>Skills!B9</f>
        <v/>
      </c>
      <c r="C337">
        <f>Inputs!$B$3&gt;=72</f>
        <v/>
      </c>
      <c r="D337">
        <f>IF(Skills!C9=1,60+Inputs!$B$25+Inputs!$B$29,IF(Skills!C9=2,90+Inputs!$B$26+Inputs!$B$29,IF(Skills!C9=3,120+Inputs!$B$27+Inputs!$B$29,MAX(0,(Inputs!$B$3-100)*3)+Inputs!$B$28+Inputs!$B$29)))</f>
        <v/>
      </c>
      <c r="E337">
        <f>INDEX(FactorTable!$B$2:$Y$301, MATCH(ROUND(MIN(300,MAX(1,D337)),0), FactorTable!$A$2:$A$301,0), Skills!M9+1)</f>
        <v/>
      </c>
      <c r="F337">
        <f>IF(Skills!N9=TRUE,(Skills!L9/10)*(E337/1000),Skills!L9/10)+Skills!O9</f>
        <v/>
      </c>
      <c r="G337">
        <f>Calc!G9</f>
        <v/>
      </c>
      <c r="H337">
        <f>Calc!H9</f>
        <v/>
      </c>
      <c r="I337">
        <f>IF(Skills!AA9&lt;&gt;"",1+(Skills!AA9/10)*(U331/1000)/100,1)</f>
        <v/>
      </c>
      <c r="J337">
        <f>((Inputs!$B$6*(1+Inputs!$B$7/100))+(((Inputs!$B$12*(1+Inputs!$B$13/100))-(Inputs!$B$12*(1+Inputs!$B$13/100)))+0.25*(Inputs!$B$14-Inputs!$B$14))*(1+Inputs!$B$7/100))*(F337/100)</f>
        <v/>
      </c>
      <c r="K337">
        <f>J337*(1+((Inputs!$B$12*(1+Inputs!$B$13/100))*0.01+Inputs!$B$14*0.0025)/100)*(1+Inputs!$B$15/100)*(1+Inputs!$B$16/100)*(5000/(6000+Inputs!$B$43*(1-Inputs!$B$19/100)))*(1+(Inputs!$B$24+((C358=TRUE)*(F358-Calc!F30)))/100)*(1+Skills!R9/100)*(1+(IF(Skills!A9="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337)</f>
        <v/>
      </c>
      <c r="L337">
        <f>K337*(MIN(Inputs!$B$22+((C352=TRUE)*(F352-Calc!F24)),Inputs!$B$23)/100+Inputs!$B$23/100)/2</f>
        <v/>
      </c>
      <c r="M337">
        <f>L337*(1+(Inputs!$B$10+((C354=TRUE)*(F354-Calc!F26))+B371)/100)</f>
        <v/>
      </c>
      <c r="N337">
        <f>L337*(1-MIN((Inputs!$B$9+((C353=TRUE)*(F353-Calc!F25))+B368),100)/100)+M337*(MIN((Inputs!$B$9+((C353=TRUE)*(F353-Calc!F25))+B368),100)/100)</f>
        <v/>
      </c>
      <c r="O337">
        <f>(1-Summary!$B$55)*T337+Summary!$B$55*V337</f>
        <v/>
      </c>
      <c r="P337">
        <f>IF(B372=0,0,O337/B372)</f>
        <v/>
      </c>
      <c r="Q337">
        <f>IFERROR(1/IF(Inputs!$B$39="pvp",15,MAX(0.1,Skills!D9-IF(Skills!E9=TRUE,Inputs!$B$32,0))),0)</f>
        <v/>
      </c>
      <c r="R337">
        <f>IF(AND(Inputs!$B$39&lt;&gt;"pvp",Inputs!$B$44&gt;0),IF(MAX(0,Inputs!$B$44-B373)&lt;=0,0,(INT(MAX(0,Inputs!$B$44-B373)/IF(Inputs!$B$39="pvp",15,MAX(0.1,Skills!D9-IF(Skills!E9=TRUE,Inputs!$B$32,0))))+1)),0)</f>
        <v/>
      </c>
      <c r="S337">
        <f>IFERROR(O337/N337,0)</f>
        <v/>
      </c>
      <c r="T337">
        <f>IF(C337,(H337*N337*IF(AND(Inputs!$B$39&lt;&gt;"pvp",Inputs!$B$44&gt;0),((Skills!G9*((R337-1)*IF(Skills!H9&gt;0,Skills!I9/Skills!H9,1)+IF(Skills!H9&gt;0,MIN(Skills!I9,MAX(0,MAX(0,Inputs!$B$44-B373)-((R337-1)*IF(Inputs!$B$39="pvp",15,MAX(0.1,Skills!D9-IF(Skills!E9=TRUE,Inputs!$B$32,0))))))/Skills!H9,1)))/Inputs!$B$44),G337*Q337))*IF(Inputs!$B$39="pvp",1,1+(Inputs!$B$20+((C355=TRUE)*(F355-Calc!F27))+Skills!P9+B369)/100),0)</f>
        <v/>
      </c>
      <c r="V337">
        <f>IF(C337,(H337*N337*IF(AND(Inputs!$B$39&lt;&gt;"pvp",Inputs!$B$44&gt;0),((Skills!G9*((R337-1)*IF(Skills!H9&gt;0,Skills!I9/Skills!H9,1)+IF(Skills!H9&gt;0,MIN(Skills!I9,MAX(0,MAX(0,Inputs!$B$44-B373)-((R337-1)*IF(Inputs!$B$39="pvp",15,MAX(0.1,Skills!D9-IF(Skills!E9=TRUE,Inputs!$B$32,0))))))/Skills!H9,1)))/Inputs!$B$44),G337*Q337))*IF(Inputs!$B$39="pvp",1,(1+((Inputs!$B$21+1)+Skills!Q9+B369)/100)*(MIN(Skills!W9,Inputs!$B$37))),0)</f>
        <v/>
      </c>
    </row>
    <row r="338">
      <c r="A338">
        <f>Skills!A10</f>
        <v/>
      </c>
      <c r="B338">
        <f>Skills!B10</f>
        <v/>
      </c>
      <c r="C338">
        <f>Inputs!$B$3&gt;=117</f>
        <v/>
      </c>
      <c r="D338">
        <f>IF(Skills!C10=1,60+Inputs!$B$25+Inputs!$B$29,IF(Skills!C10=2,90+Inputs!$B$26+Inputs!$B$29,IF(Skills!C10=3,120+Inputs!$B$27+Inputs!$B$29,MAX(0,(Inputs!$B$3-100)*3)+Inputs!$B$28+Inputs!$B$29)))</f>
        <v/>
      </c>
      <c r="E338">
        <f>INDEX(FactorTable!$B$2:$Y$301, MATCH(ROUND(MIN(300,MAX(1,D338)),0), FactorTable!$A$2:$A$301,0), Skills!M10+1)</f>
        <v/>
      </c>
      <c r="F338">
        <f>IF(Skills!N10=TRUE,(Skills!L10/10)*(E338/1000),Skills!L10/10)+Skills!O10</f>
        <v/>
      </c>
      <c r="G338">
        <f>Calc!G10</f>
        <v/>
      </c>
      <c r="H338">
        <f>Calc!H10</f>
        <v/>
      </c>
      <c r="I338">
        <f>IF(Skills!AA10&lt;&gt;"",1+(Skills!AA10/10)*(U331/1000)/100,1)</f>
        <v/>
      </c>
      <c r="J338">
        <f>((Inputs!$B$6*(1+Inputs!$B$7/100))+(((Inputs!$B$12*(1+Inputs!$B$13/100))-(Inputs!$B$12*(1+Inputs!$B$13/100)))+0.25*(Inputs!$B$14-Inputs!$B$14))*(1+Inputs!$B$7/100))*(F338/100)</f>
        <v/>
      </c>
      <c r="K338">
        <f>J338*(1+((Inputs!$B$12*(1+Inputs!$B$13/100))*0.01+Inputs!$B$14*0.0025)/100)*(1+Inputs!$B$15/100)*(1+Inputs!$B$16/100)*(5000/(6000+Inputs!$B$43*(1-Inputs!$B$19/100)))*(1+(Inputs!$B$24+((C358=TRUE)*(F358-Calc!F30)))/100)*(1+Skills!R10/100)*(1+(IF(Skills!A10="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338)</f>
        <v/>
      </c>
      <c r="L338">
        <f>K338*(MIN(Inputs!$B$22+((C352=TRUE)*(F352-Calc!F24)),Inputs!$B$23)/100+Inputs!$B$23/100)/2</f>
        <v/>
      </c>
      <c r="M338">
        <f>L338*(1+(Inputs!$B$10+((C354=TRUE)*(F354-Calc!F26))+B371)/100)</f>
        <v/>
      </c>
      <c r="N338">
        <f>L338*(1-MIN((Inputs!$B$9+((C353=TRUE)*(F353-Calc!F25))+B368),100)/100)+M338*(MIN((Inputs!$B$9+((C353=TRUE)*(F353-Calc!F25))+B368),100)/100)</f>
        <v/>
      </c>
      <c r="O338">
        <f>(1-Summary!$B$55)*T338+Summary!$B$55*V338</f>
        <v/>
      </c>
      <c r="P338">
        <f>IF(B372=0,0,O338/B372)</f>
        <v/>
      </c>
      <c r="Q338" t="n">
        <v>0</v>
      </c>
      <c r="R338" t="n">
        <v>0</v>
      </c>
      <c r="S338" t="n">
        <v>0</v>
      </c>
      <c r="T338">
        <f>IF(C338,(0.2*SUMPRODUCT((Skills!Z2:Z31=TRUE)*(C330:C359=TRUE)*S330:S359)*N338)*IF(Inputs!$B$39="pvp",1,1+(Inputs!$B$20+((C355=TRUE)*(F355-Calc!F27))+Skills!P10+B369)/100),0)</f>
        <v/>
      </c>
      <c r="V338">
        <f>IF(C338,(0.2*SUMPRODUCT((Skills!Z2:Z31=TRUE)*(C330:C359=TRUE)*S330:S359)*N338)*IF(Inputs!$B$39="pvp",1,(1+((Inputs!$B$21+1)+Skills!Q10+B369)/100)*(MIN(Skills!W10,Inputs!$B$37))),0)</f>
        <v/>
      </c>
    </row>
    <row r="339">
      <c r="A339">
        <f>Skills!A11</f>
        <v/>
      </c>
      <c r="B339">
        <f>Skills!B11</f>
        <v/>
      </c>
      <c r="C339">
        <f>Inputs!$B$3&gt;=60</f>
        <v/>
      </c>
      <c r="D339">
        <f>IF(Skills!C11=1,60+Inputs!$B$25+Inputs!$B$29,IF(Skills!C11=2,90+Inputs!$B$26+Inputs!$B$29,IF(Skills!C11=3,120+Inputs!$B$27+Inputs!$B$29,MAX(0,(Inputs!$B$3-100)*3)+Inputs!$B$28+Inputs!$B$29)))</f>
        <v/>
      </c>
      <c r="E339">
        <f>INDEX(FactorTable!$B$2:$Y$301, MATCH(ROUND(MIN(300,MAX(1,D339)),0), FactorTable!$A$2:$A$301,0), Skills!M11+1)</f>
        <v/>
      </c>
      <c r="F339">
        <f>IF(Skills!N11=TRUE,(Skills!L11/10)*(E339/1000),Skills!L11/10)+Skills!O11</f>
        <v/>
      </c>
      <c r="G339">
        <f>Calc!G11</f>
        <v/>
      </c>
      <c r="H339">
        <f>Calc!H11</f>
        <v/>
      </c>
      <c r="I339">
        <f>IF(Skills!AA11&lt;&gt;"",1+(Skills!AA11/10)*(U331/1000)/100,1)</f>
        <v/>
      </c>
      <c r="J339" t="inlineStr"/>
      <c r="K339" t="inlineStr"/>
      <c r="L339" t="inlineStr"/>
      <c r="M339" t="inlineStr"/>
      <c r="N339" t="inlineStr"/>
      <c r="O339">
        <f>(1-Summary!$B$55)*T339+Summary!$B$55*V339</f>
        <v/>
      </c>
      <c r="P339">
        <f>IF(B372=0,0,O339/B372)</f>
        <v/>
      </c>
      <c r="Q339" t="n">
        <v>0</v>
      </c>
      <c r="R339" t="n">
        <v>0</v>
      </c>
      <c r="S339">
        <f>IFERROR(O339/N339,0)</f>
        <v/>
      </c>
      <c r="T339" t="n">
        <v>0</v>
      </c>
      <c r="V339" t="n">
        <v>0</v>
      </c>
    </row>
    <row r="340">
      <c r="A340">
        <f>Skills!A12</f>
        <v/>
      </c>
      <c r="B340">
        <f>Skills!B12</f>
        <v/>
      </c>
      <c r="C340">
        <f>Inputs!$B$3&gt;=103</f>
        <v/>
      </c>
      <c r="D340">
        <f>IF(Skills!C12=1,60+Inputs!$B$25+Inputs!$B$29,IF(Skills!C12=2,90+Inputs!$B$26+Inputs!$B$29,IF(Skills!C12=3,120+Inputs!$B$27+Inputs!$B$29,MAX(0,(Inputs!$B$3-100)*3)+Inputs!$B$28+Inputs!$B$29)))</f>
        <v/>
      </c>
      <c r="E340">
        <f>INDEX(FactorTable!$B$2:$Y$301, MATCH(ROUND(MIN(300,MAX(1,D340)),0), FactorTable!$A$2:$A$301,0), Skills!M12+1)</f>
        <v/>
      </c>
      <c r="F340">
        <f>IF(Skills!N12=TRUE,(Skills!L12/10)*(E340/1000),Skills!L12/10)+Skills!O12</f>
        <v/>
      </c>
      <c r="G340">
        <f>Calc!G12</f>
        <v/>
      </c>
      <c r="H340">
        <f>Calc!H12</f>
        <v/>
      </c>
      <c r="I340">
        <f>IF(Skills!AA12&lt;&gt;"",1+(Skills!AA12/10)*(U331/1000)/100,1)</f>
        <v/>
      </c>
      <c r="J340">
        <f>((Inputs!$B$6*(1+Inputs!$B$7/100))+(((Inputs!$B$12*(1+Inputs!$B$13/100))-(Inputs!$B$12*(1+Inputs!$B$13/100)))+0.25*(Inputs!$B$14-Inputs!$B$14))*(1+Inputs!$B$7/100))*(F340/100)</f>
        <v/>
      </c>
      <c r="K340">
        <f>J340*(1+((Inputs!$B$12*(1+Inputs!$B$13/100))*0.01+Inputs!$B$14*0.0025)/100)*(1+Inputs!$B$15/100)*(1+Inputs!$B$16/100)*(5000/(6000+Inputs!$B$43*(1-Inputs!$B$19/100)))*(1+(Inputs!$B$24+((C358=TRUE)*(F358-Calc!F30)))/100)*(1+Skills!R12/100)*(1+(IF(Skills!A12="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340)</f>
        <v/>
      </c>
      <c r="L340">
        <f>K340*(MIN(Inputs!$B$22+((C352=TRUE)*(F352-Calc!F24)),Inputs!$B$23)/100+Inputs!$B$23/100)/2</f>
        <v/>
      </c>
      <c r="M340">
        <f>L340*(1+(Inputs!$B$10+((C354=TRUE)*(F354-Calc!F26))+B371)/100)</f>
        <v/>
      </c>
      <c r="N340">
        <f>L340*(1-MIN((Inputs!$B$9+((C353=TRUE)*(F353-Calc!F25))+B368),100)/100)+M340*(MIN((Inputs!$B$9+((C353=TRUE)*(F353-Calc!F25))+B368),100)/100)</f>
        <v/>
      </c>
      <c r="O340">
        <f>(1-Summary!$B$55)*T340+Summary!$B$55*V340</f>
        <v/>
      </c>
      <c r="P340">
        <f>IF(B372=0,0,O340/B372)</f>
        <v/>
      </c>
      <c r="Q340">
        <f>IFERROR(1/IF(Inputs!$B$39="pvp",15,MAX(0.1,Skills!D12-IF(Skills!E12=TRUE,Inputs!$B$32,0))),0)</f>
        <v/>
      </c>
      <c r="R340">
        <f>IF(AND(Inputs!$B$39&lt;&gt;"pvp",Inputs!$B$44&gt;0),IF(MAX(0,Inputs!$B$44-B373)&lt;=0,0,(INT(MAX(0,Inputs!$B$44-B373)/IF(Inputs!$B$39="pvp",15,MAX(0.1,Skills!D12-IF(Skills!E12=TRUE,Inputs!$B$32,0))))+1)),0)</f>
        <v/>
      </c>
      <c r="S340">
        <f>IFERROR(O340/N340,0)</f>
        <v/>
      </c>
      <c r="T340">
        <f>IF(C340,(H340*N340*IF(AND(Inputs!$B$39&lt;&gt;"pvp",Inputs!$B$44&gt;0),((Skills!G12*((R340-1)*IF(Skills!H12&gt;0,Skills!I12/Skills!H12,1)+IF(Skills!H12&gt;0,MIN(Skills!I12,MAX(0,MAX(0,Inputs!$B$44-B373)-((R340-1)*IF(Inputs!$B$39="pvp",15,MAX(0.1,Skills!D12-IF(Skills!E12=TRUE,Inputs!$B$32,0))))))/Skills!H12,1)))/Inputs!$B$44),G340*Q340))*IF(Inputs!$B$39="pvp",1,1+(Inputs!$B$20+((C355=TRUE)*(F355-Calc!F27))+Skills!P12+B369)/100),0)</f>
        <v/>
      </c>
      <c r="V340">
        <f>IF(C340,(H340*N340*IF(AND(Inputs!$B$39&lt;&gt;"pvp",Inputs!$B$44&gt;0),((Skills!G12*((R340-1)*IF(Skills!H12&gt;0,Skills!I12/Skills!H12,1)+IF(Skills!H12&gt;0,MIN(Skills!I12,MAX(0,MAX(0,Inputs!$B$44-B373)-((R340-1)*IF(Inputs!$B$39="pvp",15,MAX(0.1,Skills!D12-IF(Skills!E12=TRUE,Inputs!$B$32,0))))))/Skills!H12,1)))/Inputs!$B$44),G340*Q340))*IF(Inputs!$B$39="pvp",1,(1+((Inputs!$B$21+1)+Skills!Q12+B369)/100)*(MIN(Skills!W12,Inputs!$B$37))),0)</f>
        <v/>
      </c>
    </row>
    <row r="341">
      <c r="A341">
        <f>Skills!A13</f>
        <v/>
      </c>
      <c r="B341">
        <f>Skills!B13</f>
        <v/>
      </c>
      <c r="C341">
        <f>Inputs!$B$3&gt;=105</f>
        <v/>
      </c>
      <c r="D341">
        <f>IF(Skills!C13=1,60+Inputs!$B$25+Inputs!$B$29,IF(Skills!C13=2,90+Inputs!$B$26+Inputs!$B$29,IF(Skills!C13=3,120+Inputs!$B$27+Inputs!$B$29,MAX(0,(Inputs!$B$3-100)*3)+Inputs!$B$28+Inputs!$B$29)))</f>
        <v/>
      </c>
      <c r="E341">
        <f>INDEX(FactorTable!$B$2:$Y$301, MATCH(ROUND(MIN(300,MAX(1,D341)),0), FactorTable!$A$2:$A$301,0), Skills!M13+1)</f>
        <v/>
      </c>
      <c r="F341">
        <f>IF(Skills!N13=TRUE,(Skills!L13/10)*(E341/1000),Skills!L13/10)+Skills!O13</f>
        <v/>
      </c>
      <c r="G341">
        <f>Calc!G13</f>
        <v/>
      </c>
      <c r="H341">
        <f>Calc!H13</f>
        <v/>
      </c>
      <c r="I341">
        <f>IF(Skills!AA13&lt;&gt;"",1+(Skills!AA13/10)*(U331/1000)/100,1)</f>
        <v/>
      </c>
      <c r="J341">
        <f>((Inputs!$B$6*(1+Inputs!$B$7/100))+(((Inputs!$B$12*(1+Inputs!$B$13/100))-(Inputs!$B$12*(1+Inputs!$B$13/100)))+0.25*(Inputs!$B$14-Inputs!$B$14))*(1+Inputs!$B$7/100))*(F341/100)</f>
        <v/>
      </c>
      <c r="K341">
        <f>J341*(1+((Inputs!$B$12*(1+Inputs!$B$13/100))*0.01+Inputs!$B$14*0.0025)/100)*(1+Inputs!$B$15/100)*(1+Inputs!$B$16/100)*(5000/(6000+Inputs!$B$43*(1-Inputs!$B$19/100)))*(1+(Inputs!$B$24+((C358=TRUE)*(F358-Calc!F30)))/100)*(1+Skills!R13/100)*(1+(IF(Skills!A13="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341)</f>
        <v/>
      </c>
      <c r="L341">
        <f>K341*(MIN(Inputs!$B$22+((C352=TRUE)*(F352-Calc!F24)),Inputs!$B$23)/100+Inputs!$B$23/100)/2</f>
        <v/>
      </c>
      <c r="M341">
        <f>L341*(1+(Inputs!$B$10+((C354=TRUE)*(F354-Calc!F26))+B371)/100)</f>
        <v/>
      </c>
      <c r="N341">
        <f>L341*(1-MIN((Inputs!$B$9+((C353=TRUE)*(F353-Calc!F25))+B368),100)/100)+M341*(MIN((Inputs!$B$9+((C353=TRUE)*(F353-Calc!F25))+B368),100)/100)</f>
        <v/>
      </c>
      <c r="O341">
        <f>(1-Summary!$B$55)*T341+Summary!$B$55*V341</f>
        <v/>
      </c>
      <c r="P341">
        <f>IF(B372=0,0,O341/B372)</f>
        <v/>
      </c>
      <c r="Q341">
        <f>IFERROR(1/IF(Inputs!$B$39="pvp",15,MAX(0.1,Skills!D13-IF(Skills!E13=TRUE,Inputs!$B$32,0))),0)</f>
        <v/>
      </c>
      <c r="R341">
        <f>IF(AND(Inputs!$B$39&lt;&gt;"pvp",Inputs!$B$44&gt;0),IF(MAX(0,Inputs!$B$44-B373)&lt;=0,0,(INT(MAX(0,Inputs!$B$44-B373)/IF(Inputs!$B$39="pvp",15,MAX(0.1,Skills!D13-IF(Skills!E13=TRUE,Inputs!$B$32,0))))+1)),0)</f>
        <v/>
      </c>
      <c r="S341">
        <f>IFERROR(O341/N341,0)</f>
        <v/>
      </c>
      <c r="T341">
        <f>IF(C341,(H341*N341*IF(AND(Inputs!$B$39&lt;&gt;"pvp",Inputs!$B$44&gt;0),((Skills!G13*((R341-1)*IF(Skills!H13&gt;0,Skills!I13/Skills!H13,1)+IF(Skills!H13&gt;0,MIN(Skills!I13,MAX(0,MAX(0,Inputs!$B$44-B373)-((R341-1)*IF(Inputs!$B$39="pvp",15,MAX(0.1,Skills!D13-IF(Skills!E13=TRUE,Inputs!$B$32,0))))))/Skills!H13,1)))/Inputs!$B$44),G341*Q341))*IF(Inputs!$B$39="pvp",1,1+(Inputs!$B$20+((C355=TRUE)*(F355-Calc!F27))+Skills!P13+B369)/100),0)</f>
        <v/>
      </c>
      <c r="V341">
        <f>IF(C341,(H341*N341*IF(AND(Inputs!$B$39&lt;&gt;"pvp",Inputs!$B$44&gt;0),((Skills!G13*((R341-1)*IF(Skills!H13&gt;0,Skills!I13/Skills!H13,1)+IF(Skills!H13&gt;0,MIN(Skills!I13,MAX(0,MAX(0,Inputs!$B$44-B373)-((R341-1)*IF(Inputs!$B$39="pvp",15,MAX(0.1,Skills!D13-IF(Skills!E13=TRUE,Inputs!$B$32,0))))))/Skills!H13,1)))/Inputs!$B$44),G341*Q341))*IF(Inputs!$B$39="pvp",1,(1+((Inputs!$B$21+1)+Skills!Q13+B369)/100)*(MIN(Skills!W13,Inputs!$B$37))),0)</f>
        <v/>
      </c>
    </row>
    <row r="342">
      <c r="A342">
        <f>Skills!A14</f>
        <v/>
      </c>
      <c r="B342">
        <f>Skills!B14</f>
        <v/>
      </c>
      <c r="C342">
        <f>Inputs!$B$3&gt;=105</f>
        <v/>
      </c>
      <c r="D342">
        <f>IF(Skills!C14=1,60+Inputs!$B$25+Inputs!$B$29,IF(Skills!C14=2,90+Inputs!$B$26+Inputs!$B$29,IF(Skills!C14=3,120+Inputs!$B$27+Inputs!$B$29,MAX(0,(Inputs!$B$3-100)*3)+Inputs!$B$28+Inputs!$B$29)))</f>
        <v/>
      </c>
      <c r="E342">
        <f>INDEX(FactorTable!$B$2:$Y$301, MATCH(ROUND(MIN(300,MAX(1,D342)),0), FactorTable!$A$2:$A$301,0), Skills!M14+1)</f>
        <v/>
      </c>
      <c r="F342">
        <f>IF(Skills!N14=TRUE,(Skills!L14/10)*(E342/1000),Skills!L14/10)+Skills!O14</f>
        <v/>
      </c>
      <c r="G342">
        <f>Calc!G14</f>
        <v/>
      </c>
      <c r="H342">
        <f>Calc!H14</f>
        <v/>
      </c>
      <c r="I342">
        <f>IF(Skills!AA14&lt;&gt;"",1+(Skills!AA14/10)*(U331/1000)/100,1)</f>
        <v/>
      </c>
      <c r="J342">
        <f>((Inputs!$B$6*(1+Inputs!$B$7/100))+(((Inputs!$B$12*(1+Inputs!$B$13/100))-(Inputs!$B$12*(1+Inputs!$B$13/100)))+0.25*(Inputs!$B$14-Inputs!$B$14))*(1+Inputs!$B$7/100))*(F342/100)</f>
        <v/>
      </c>
      <c r="K342">
        <f>J342*(1+((Inputs!$B$12*(1+Inputs!$B$13/100))*0.01+Inputs!$B$14*0.0025)/100)*(1+Inputs!$B$15/100)*(1+Inputs!$B$16/100)*(5000/(6000+Inputs!$B$43*(1-Inputs!$B$19/100)))*(1+(Inputs!$B$24+((C358=TRUE)*(F358-Calc!F30)))/100)*(1+Skills!R14/100)*(1+(IF(Skills!A14="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342)</f>
        <v/>
      </c>
      <c r="L342">
        <f>K342*(MIN(Inputs!$B$22+((C352=TRUE)*(F352-Calc!F24)),Inputs!$B$23)/100+Inputs!$B$23/100)/2</f>
        <v/>
      </c>
      <c r="M342">
        <f>L342*(1+(Inputs!$B$10+((C354=TRUE)*(F354-Calc!F26))+B371)/100)</f>
        <v/>
      </c>
      <c r="N342">
        <f>L342*(1-MIN((Inputs!$B$9+((C353=TRUE)*(F353-Calc!F25))+B368),100)/100)+M342*(MIN((Inputs!$B$9+((C353=TRUE)*(F353-Calc!F25))+B368),100)/100)</f>
        <v/>
      </c>
      <c r="O342">
        <f>(1-Summary!$B$55)*T342+Summary!$B$55*V342</f>
        <v/>
      </c>
      <c r="P342">
        <f>IF(B372=0,0,O342/B372)</f>
        <v/>
      </c>
      <c r="Q342">
        <f>IFERROR(1/IF(Inputs!$B$39="pvp",15,MAX(0.1,Skills!D14-IF(Skills!E14=TRUE,Inputs!$B$32,0))),0)</f>
        <v/>
      </c>
      <c r="R342">
        <f>IF(AND(Inputs!$B$39&lt;&gt;"pvp",Inputs!$B$44&gt;0),IF(MAX(0,Inputs!$B$44-B373)&lt;=0,0,(INT(MAX(0,Inputs!$B$44-B373)/IF(Inputs!$B$39="pvp",15,MAX(0.1,Skills!D14-IF(Skills!E14=TRUE,Inputs!$B$32,0))))+1)),0)</f>
        <v/>
      </c>
      <c r="S342">
        <f>IFERROR(O342/N342,0)</f>
        <v/>
      </c>
      <c r="T342">
        <f>IF(C342,(H342*N342*IF(AND(Inputs!$B$39&lt;&gt;"pvp",Inputs!$B$44&gt;0),((Skills!G14*((R342-1)*IF(Skills!H14&gt;0,Skills!I14/Skills!H14,1)+IF(Skills!H14&gt;0,MIN(Skills!I14,MAX(0,MAX(0,Inputs!$B$44-B373)-((R342-1)*IF(Inputs!$B$39="pvp",15,MAX(0.1,Skills!D14-IF(Skills!E14=TRUE,Inputs!$B$32,0))))))/Skills!H14,1)))/Inputs!$B$44),G342*Q342))*IF(Inputs!$B$39="pvp",1,1+(Inputs!$B$20+((C355=TRUE)*(F355-Calc!F27))+Skills!P14+B369)/100),0)</f>
        <v/>
      </c>
      <c r="V342">
        <f>IF(C342,(H342*N342*IF(AND(Inputs!$B$39&lt;&gt;"pvp",Inputs!$B$44&gt;0),((Skills!G14*((R342-1)*IF(Skills!H14&gt;0,Skills!I14/Skills!H14,1)+IF(Skills!H14&gt;0,MIN(Skills!I14,MAX(0,MAX(0,Inputs!$B$44-B373)-((R342-1)*IF(Inputs!$B$39="pvp",15,MAX(0.1,Skills!D14-IF(Skills!E14=TRUE,Inputs!$B$32,0))))))/Skills!H14,1)))/Inputs!$B$44),G342*Q342))*IF(Inputs!$B$39="pvp",1,(1+((Inputs!$B$21+1)+Skills!Q14+B369)/100)*(MIN(Skills!W14,Inputs!$B$37))),0)</f>
        <v/>
      </c>
    </row>
    <row r="343">
      <c r="A343">
        <f>Skills!A15</f>
        <v/>
      </c>
      <c r="B343">
        <f>Skills!B15</f>
        <v/>
      </c>
      <c r="C343">
        <f>Inputs!$B$3&gt;=110</f>
        <v/>
      </c>
      <c r="D343">
        <f>IF(Skills!C15=1,60+Inputs!$B$25+Inputs!$B$29,IF(Skills!C15=2,90+Inputs!$B$26+Inputs!$B$29,IF(Skills!C15=3,120+Inputs!$B$27+Inputs!$B$29,MAX(0,(Inputs!$B$3-100)*3)+Inputs!$B$28+Inputs!$B$29)))</f>
        <v/>
      </c>
      <c r="E343">
        <f>INDEX(FactorTable!$B$2:$Y$301, MATCH(ROUND(MIN(300,MAX(1,D343)),0), FactorTable!$A$2:$A$301,0), Skills!M15+1)</f>
        <v/>
      </c>
      <c r="F343">
        <f>IF(Skills!N15=TRUE,(Skills!L15/10)*(E343/1000),Skills!L15/10)+Skills!O15</f>
        <v/>
      </c>
      <c r="G343">
        <f>Calc!G15</f>
        <v/>
      </c>
      <c r="H343">
        <f>Calc!H15</f>
        <v/>
      </c>
      <c r="I343">
        <f>IF(Skills!AA15&lt;&gt;"",1+(Skills!AA15/10)*(U331/1000)/100,1)</f>
        <v/>
      </c>
      <c r="J343" t="inlineStr"/>
      <c r="K343" t="inlineStr"/>
      <c r="L343" t="inlineStr"/>
      <c r="M343" t="inlineStr"/>
      <c r="N343" t="inlineStr"/>
      <c r="O343">
        <f>(1-Summary!$B$55)*T343+Summary!$B$55*V343</f>
        <v/>
      </c>
      <c r="P343">
        <f>IF(B372=0,0,O343/B372)</f>
        <v/>
      </c>
      <c r="Q343">
        <f>IFERROR(1/IF(Inputs!$B$39="pvp",15,MAX(0.1,Skills!D15-IF(Skills!E15=TRUE,Inputs!$B$32,0))),0)</f>
        <v/>
      </c>
      <c r="R343">
        <f>IF(AND(Inputs!$B$39&lt;&gt;"pvp",Inputs!$B$44&gt;0),IF(Inputs!$B$44&lt;=0,0,(INT(Inputs!$B$44/IF(Inputs!$B$39="pvp",15,MAX(0.1,Skills!D15-IF(Skills!E15=TRUE,Inputs!$B$32,0))))+1)),0)</f>
        <v/>
      </c>
      <c r="S343">
        <f>IFERROR(O343/N343,0)</f>
        <v/>
      </c>
      <c r="T343" t="n">
        <v>0</v>
      </c>
      <c r="V343" t="n">
        <v>0</v>
      </c>
    </row>
    <row r="344">
      <c r="A344">
        <f>Skills!A16</f>
        <v/>
      </c>
      <c r="B344">
        <f>Skills!B16</f>
        <v/>
      </c>
      <c r="C344">
        <f>Inputs!$B$3&gt;=110</f>
        <v/>
      </c>
      <c r="D344">
        <f>IF(Skills!C16=1,60+Inputs!$B$25+Inputs!$B$29,IF(Skills!C16=2,90+Inputs!$B$26+Inputs!$B$29,IF(Skills!C16=3,120+Inputs!$B$27+Inputs!$B$29,MAX(0,(Inputs!$B$3-100)*3)+Inputs!$B$28+Inputs!$B$29)))</f>
        <v/>
      </c>
      <c r="E344">
        <f>INDEX(FactorTable!$B$2:$Y$301, MATCH(ROUND(MIN(300,MAX(1,D344)),0), FactorTable!$A$2:$A$301,0), Skills!M16+1)</f>
        <v/>
      </c>
      <c r="F344">
        <f>IF(Skills!N16=TRUE,(Skills!L16/10)*(E344/1000),Skills!L16/10)+Skills!O16</f>
        <v/>
      </c>
      <c r="G344">
        <f>Calc!G16</f>
        <v/>
      </c>
      <c r="H344">
        <f>Calc!H16</f>
        <v/>
      </c>
      <c r="I344">
        <f>IF(Skills!AA16&lt;&gt;"",1+(Skills!AA16/10)*(U331/1000)/100,1)</f>
        <v/>
      </c>
      <c r="J344" t="inlineStr"/>
      <c r="K344" t="inlineStr"/>
      <c r="L344" t="inlineStr"/>
      <c r="M344" t="inlineStr"/>
      <c r="N344" t="inlineStr"/>
      <c r="O344">
        <f>(1-Summary!$B$55)*T344+Summary!$B$55*V344</f>
        <v/>
      </c>
      <c r="P344">
        <f>IF(B372=0,0,O344/B372)</f>
        <v/>
      </c>
      <c r="Q344">
        <f>IFERROR(1/IF(Inputs!$B$39="pvp",15,MAX(0.1,Skills!D16-IF(Skills!E16=TRUE,Inputs!$B$32,0))),0)</f>
        <v/>
      </c>
      <c r="R344">
        <f>IF(AND(Inputs!$B$39&lt;&gt;"pvp",Inputs!$B$44&gt;0),IF(Inputs!$B$44&lt;=0,0,(INT(Inputs!$B$44/IF(Inputs!$B$39="pvp",15,MAX(0.1,Skills!D16-IF(Skills!E16=TRUE,Inputs!$B$32,0))))+1)),0)</f>
        <v/>
      </c>
      <c r="S344">
        <f>IFERROR(O344/N344,0)</f>
        <v/>
      </c>
      <c r="T344" t="n">
        <v>0</v>
      </c>
      <c r="V344" t="n">
        <v>0</v>
      </c>
    </row>
    <row r="345">
      <c r="A345">
        <f>Skills!A17</f>
        <v/>
      </c>
      <c r="B345">
        <f>Skills!B17</f>
        <v/>
      </c>
      <c r="C345">
        <f>Inputs!$B$3&gt;=115</f>
        <v/>
      </c>
      <c r="D345">
        <f>IF(Skills!C17=1,60+Inputs!$B$25+Inputs!$B$29,IF(Skills!C17=2,90+Inputs!$B$26+Inputs!$B$29,IF(Skills!C17=3,120+Inputs!$B$27+Inputs!$B$29,MAX(0,(Inputs!$B$3-100)*3)+Inputs!$B$28+Inputs!$B$29)))</f>
        <v/>
      </c>
      <c r="E345">
        <f>INDEX(FactorTable!$B$2:$Y$301, MATCH(ROUND(MIN(300,MAX(1,D345)),0), FactorTable!$A$2:$A$301,0), Skills!M17+1)</f>
        <v/>
      </c>
      <c r="F345">
        <f>IF(Skills!N17=TRUE,(Skills!L17/10)*(E345/1000),Skills!L17/10)+Skills!O17</f>
        <v/>
      </c>
      <c r="G345">
        <f>Calc!G17</f>
        <v/>
      </c>
      <c r="H345">
        <f>Calc!H17</f>
        <v/>
      </c>
      <c r="I345">
        <f>IF(Skills!AA17&lt;&gt;"",1+(Skills!AA17/10)*(U331/1000)/100,1)</f>
        <v/>
      </c>
      <c r="J345">
        <f>((Inputs!$B$6*(1+Inputs!$B$7/100))+(((Inputs!$B$12*(1+Inputs!$B$13/100))-(Inputs!$B$12*(1+Inputs!$B$13/100)))+0.25*(Inputs!$B$14-Inputs!$B$14))*(1+Inputs!$B$7/100))*(F345/100)</f>
        <v/>
      </c>
      <c r="K345">
        <f>J345*(1+((Inputs!$B$12*(1+Inputs!$B$13/100))*0.01+Inputs!$B$14*0.0025)/100)*(1+Inputs!$B$15/100)*(1+Inputs!$B$16/100)*(5000/(6000+Inputs!$B$43*(1-Inputs!$B$19/100)))*(1+(Inputs!$B$24+((C358=TRUE)*(F358-Calc!F30)))/100)*(1+Skills!R17/100)*(1+(IF(Skills!A17="SHOWDOWN",Inputs!$B$17+((C351=TRUE)*(F351-Calc!F23)),Inputs!$B$18+((C357=TRUE)*(F357-Calc!F29))))/100)*(((1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B370*I345)</f>
        <v/>
      </c>
      <c r="L345">
        <f>K345*(MIN(Inputs!$B$22+((C352=TRUE)*(F352-Calc!F24)),Inputs!$B$23)/100+Inputs!$B$23/100)/2</f>
        <v/>
      </c>
      <c r="M345">
        <f>L345*(1+(Inputs!$B$10+((C354=TRUE)*(F354-Calc!F26))+B371)/100)</f>
        <v/>
      </c>
      <c r="N345">
        <f>L345*(1-MIN((Inputs!$B$9+((C353=TRUE)*(F353-Calc!F25))+B368),100)/100)+M345*(MIN((Inputs!$B$9+((C353=TRUE)*(F353-Calc!F25))+B368),100)/100)</f>
        <v/>
      </c>
      <c r="O345">
        <f>(1-Summary!$B$55)*T345+Summary!$B$55*V345</f>
        <v/>
      </c>
      <c r="P345">
        <f>IF(B372=0,0,O345/B372)</f>
        <v/>
      </c>
      <c r="Q345" t="n">
        <v>0</v>
      </c>
      <c r="R345" t="n">
        <v>0</v>
      </c>
      <c r="S345">
        <f>IFERROR(O345/N345,0)</f>
        <v/>
      </c>
      <c r="T345">
        <f>IF(C345,(Inputs!$B$38*0.2*N345)*IF(Inputs!$B$39="pvp",1,1+(Inputs!$B$20+((C355=TRUE)*(F355-Calc!F27))+Skills!P17+B369)/100),0)</f>
        <v/>
      </c>
      <c r="V345">
        <f>IF(C345,(Inputs!$B$38*0.2*N345)*IF(Inputs!$B$39="pvp",1,(1+((Inputs!$B$21+1)+Skills!Q17+B369)/100)*(MIN(Skills!W17,Inputs!$B$37))),0)</f>
        <v/>
      </c>
    </row>
    <row r="346">
      <c r="A346">
        <f>Skills!A18</f>
        <v/>
      </c>
      <c r="B346">
        <f>Skills!B18</f>
        <v/>
      </c>
      <c r="C346">
        <f>Inputs!$B$3&gt;=115</f>
        <v/>
      </c>
      <c r="D346">
        <f>IF(Skills!C18=1,60+Inputs!$B$25+Inputs!$B$29,IF(Skills!C18=2,90+Inputs!$B$26+Inputs!$B$29,IF(Skills!C18=3,120+Inputs!$B$27+Inputs!$B$29,MAX(0,(Inputs!$B$3-100)*3)+Inputs!$B$28+Inputs!$B$29)))</f>
        <v/>
      </c>
      <c r="E346">
        <f>INDEX(FactorTable!$B$2:$Y$301, MATCH(ROUND(MIN(300,MAX(1,D346)),0), FactorTable!$A$2:$A$301,0), Skills!M18+1)</f>
        <v/>
      </c>
      <c r="F346">
        <f>IF(Skills!N18=TRUE,(Skills!L18/10)*(E346/1000),Skills!L18/10)+Skills!O18</f>
        <v/>
      </c>
      <c r="G346">
        <f>Calc!G18</f>
        <v/>
      </c>
      <c r="H346">
        <f>Calc!H18</f>
        <v/>
      </c>
      <c r="I346">
        <f>IF(Skills!AA18&lt;&gt;"",1+(Skills!AA18/10)*(U331/1000)/100,1)</f>
        <v/>
      </c>
      <c r="J346" t="inlineStr"/>
      <c r="K346" t="inlineStr"/>
      <c r="L346" t="inlineStr"/>
      <c r="M346" t="inlineStr"/>
      <c r="N346" t="inlineStr"/>
      <c r="O346">
        <f>(1-Summary!$B$55)*T346+Summary!$B$55*V346</f>
        <v/>
      </c>
      <c r="P346">
        <f>IF(B372=0,0,O346/B372)</f>
        <v/>
      </c>
      <c r="Q346" t="n">
        <v>0</v>
      </c>
      <c r="R346" t="n">
        <v>0</v>
      </c>
      <c r="S346">
        <f>IFERROR(O346/N346,0)</f>
        <v/>
      </c>
      <c r="T346" t="n">
        <v>0</v>
      </c>
      <c r="V346" t="n">
        <v>0</v>
      </c>
    </row>
    <row r="347">
      <c r="A347">
        <f>Skills!A19</f>
        <v/>
      </c>
      <c r="B347">
        <f>Skills!B19</f>
        <v/>
      </c>
      <c r="C347">
        <f>TRUE</f>
        <v/>
      </c>
      <c r="D347">
        <f>IF(Skills!C19=1,60+Inputs!$B$25+Inputs!$B$29,IF(Skills!C19=2,90+Inputs!$B$26+Inputs!$B$29,IF(Skills!C19=3,120+Inputs!$B$27+Inputs!$B$29,MAX(0,(Inputs!$B$3-100)*3)+Inputs!$B$28+Inputs!$B$29)))</f>
        <v/>
      </c>
      <c r="E347">
        <f>INDEX(FactorTable!$B$2:$Y$301, MATCH(ROUND(MIN(300,MAX(1,D347)),0), FactorTable!$A$2:$A$301,0), Skills!M19+1)</f>
        <v/>
      </c>
      <c r="F347">
        <f>IF(Skills!N19=TRUE,(Skills!L19/10)*(E347/1000),Skills!L19/10)+Skills!O19</f>
        <v/>
      </c>
      <c r="G347">
        <f>Calc!G19</f>
        <v/>
      </c>
      <c r="H347">
        <f>Calc!H19</f>
        <v/>
      </c>
      <c r="I347">
        <f>IF(Skills!AA19&lt;&gt;"",1+(Skills!AA19/10)*(U331/1000)/100,1)</f>
        <v/>
      </c>
      <c r="J347" t="inlineStr"/>
      <c r="K347" t="inlineStr"/>
      <c r="L347" t="inlineStr"/>
      <c r="M347" t="inlineStr"/>
      <c r="N347" t="inlineStr"/>
      <c r="O347">
        <f>(1-Summary!$B$55)*T347+Summary!$B$55*V347</f>
        <v/>
      </c>
      <c r="P347">
        <f>IF(B372=0,0,O347/B372)</f>
        <v/>
      </c>
      <c r="Q347">
        <f>IFERROR(1/IF(Inputs!$B$39="pvp",15,MAX(0.1,Skills!D19-IF(Skills!E19=TRUE,Inputs!$B$32,0))),0)</f>
        <v/>
      </c>
      <c r="R347">
        <f>IF(AND(Inputs!$B$39&lt;&gt;"pvp",Inputs!$B$44&gt;0),IF(Inputs!$B$44&lt;=0,0,(INT(Inputs!$B$44/IF(Inputs!$B$39="pvp",15,MAX(0.1,Skills!D19-IF(Skills!E19=TRUE,Inputs!$B$32,0))))+1)),0)</f>
        <v/>
      </c>
      <c r="S347">
        <f>IFERROR(O347/N347,0)</f>
        <v/>
      </c>
      <c r="T347" t="n">
        <v>0</v>
      </c>
      <c r="V347" t="n">
        <v>0</v>
      </c>
    </row>
    <row r="348">
      <c r="A348">
        <f>Skills!A20</f>
        <v/>
      </c>
      <c r="B348">
        <f>Skills!B20</f>
        <v/>
      </c>
      <c r="C348">
        <f>Inputs!$B$3&gt;=15</f>
        <v/>
      </c>
      <c r="D348">
        <f>IF(Skills!C20=1,60+Inputs!$B$25+Inputs!$B$29,IF(Skills!C20=2,90+Inputs!$B$26+Inputs!$B$29,IF(Skills!C20=3,120+Inputs!$B$27+Inputs!$B$29,MAX(0,(Inputs!$B$3-100)*3)+Inputs!$B$28+Inputs!$B$29)))</f>
        <v/>
      </c>
      <c r="E348">
        <f>INDEX(FactorTable!$B$2:$Y$301, MATCH(ROUND(MIN(300,MAX(1,D348)),0), FactorTable!$A$2:$A$301,0), Skills!M20+1)</f>
        <v/>
      </c>
      <c r="F348">
        <f>IF(Skills!N20=TRUE,(Skills!L20/10)*(E348/1000),Skills!L20/10)+Skills!O20</f>
        <v/>
      </c>
      <c r="G348">
        <f>Calc!G20</f>
        <v/>
      </c>
      <c r="H348">
        <f>Calc!H20</f>
        <v/>
      </c>
      <c r="I348">
        <f>IF(Skills!AA20&lt;&gt;"",1+(Skills!AA20/10)*(U331/1000)/100,1)</f>
        <v/>
      </c>
      <c r="J348" t="inlineStr"/>
      <c r="K348" t="inlineStr"/>
      <c r="L348" t="inlineStr"/>
      <c r="M348" t="inlineStr"/>
      <c r="N348" t="inlineStr"/>
      <c r="O348">
        <f>(1-Summary!$B$55)*T348+Summary!$B$55*V348</f>
        <v/>
      </c>
      <c r="P348">
        <f>IF(B372=0,0,O348/B372)</f>
        <v/>
      </c>
      <c r="Q348">
        <f>IFERROR(1/IF(Inputs!$B$39="pvp",15,MAX(0.1,Skills!D20-IF(Skills!E20=TRUE,Inputs!$B$32,0))),0)</f>
        <v/>
      </c>
      <c r="R348">
        <f>IF(AND(Inputs!$B$39&lt;&gt;"pvp",Inputs!$B$44&gt;0),IF(Inputs!$B$44&lt;=0,0,(INT(Inputs!$B$44/IF(Inputs!$B$39="pvp",15,MAX(0.1,Skills!D20-IF(Skills!E20=TRUE,Inputs!$B$32,0))))+1)),0)</f>
        <v/>
      </c>
      <c r="S348">
        <f>IFERROR(O348/N348,0)</f>
        <v/>
      </c>
      <c r="T348" t="n">
        <v>0</v>
      </c>
      <c r="V348" t="n">
        <v>0</v>
      </c>
    </row>
    <row r="349">
      <c r="A349">
        <f>Skills!A21</f>
        <v/>
      </c>
      <c r="B349">
        <f>Skills!B21</f>
        <v/>
      </c>
      <c r="C349">
        <f>Inputs!$B$3&gt;=15</f>
        <v/>
      </c>
      <c r="D349">
        <f>IF(Skills!C21=1,60+Inputs!$B$25+Inputs!$B$29,IF(Skills!C21=2,90+Inputs!$B$26+Inputs!$B$29,IF(Skills!C21=3,120+Inputs!$B$27+Inputs!$B$29,MAX(0,(Inputs!$B$3-100)*3)+Inputs!$B$28+Inputs!$B$29)))</f>
        <v/>
      </c>
      <c r="E349">
        <f>INDEX(FactorTable!$B$2:$Y$301, MATCH(ROUND(MIN(300,MAX(1,D349)),0), FactorTable!$A$2:$A$301,0), Skills!M21+1)</f>
        <v/>
      </c>
      <c r="F349">
        <f>IF(Skills!N21=TRUE,(Skills!L21/10)*(E349/1000),Skills!L21/10)+Skills!O21</f>
        <v/>
      </c>
      <c r="G349">
        <f>Calc!G21</f>
        <v/>
      </c>
      <c r="H349">
        <f>Calc!H21</f>
        <v/>
      </c>
      <c r="I349">
        <f>IF(Skills!AA21&lt;&gt;"",1+(Skills!AA21/10)*(U331/1000)/100,1)</f>
        <v/>
      </c>
      <c r="J349" t="inlineStr"/>
      <c r="K349" t="inlineStr"/>
      <c r="L349" t="inlineStr"/>
      <c r="M349" t="inlineStr"/>
      <c r="N349" t="inlineStr"/>
      <c r="O349">
        <f>(1-Summary!$B$55)*T349+Summary!$B$55*V349</f>
        <v/>
      </c>
      <c r="P349">
        <f>IF(B372=0,0,O349/B372)</f>
        <v/>
      </c>
      <c r="Q349">
        <f>IFERROR(1/IF(Inputs!$B$39="pvp",15,MAX(0.1,Skills!D21-IF(Skills!E21=TRUE,Inputs!$B$32,0))),0)</f>
        <v/>
      </c>
      <c r="R349">
        <f>IF(AND(Inputs!$B$39&lt;&gt;"pvp",Inputs!$B$44&gt;0),IF(Inputs!$B$44&lt;=0,0,(INT(Inputs!$B$44/IF(Inputs!$B$39="pvp",15,MAX(0.1,Skills!D21-IF(Skills!E21=TRUE,Inputs!$B$32,0))))+1)),0)</f>
        <v/>
      </c>
      <c r="S349">
        <f>IFERROR(O349/N349,0)</f>
        <v/>
      </c>
      <c r="T349" t="n">
        <v>0</v>
      </c>
      <c r="V349" t="n">
        <v>0</v>
      </c>
    </row>
    <row r="350">
      <c r="A350">
        <f>Skills!A22</f>
        <v/>
      </c>
      <c r="B350">
        <f>Skills!B22</f>
        <v/>
      </c>
      <c r="C350">
        <f>Inputs!$B$3&gt;=33</f>
        <v/>
      </c>
      <c r="D350">
        <f>IF(Skills!C22=1,60+Inputs!$B$25+Inputs!$B$29,IF(Skills!C22=2,90+Inputs!$B$26+Inputs!$B$29,IF(Skills!C22=3,120+Inputs!$B$27+Inputs!$B$29,MAX(0,(Inputs!$B$3-100)*3)+Inputs!$B$28+Inputs!$B$29)))</f>
        <v/>
      </c>
      <c r="E350">
        <f>INDEX(FactorTable!$B$2:$Y$301, MATCH(ROUND(MIN(300,MAX(1,D350)),0), FactorTable!$A$2:$A$301,0), Skills!M22+1)</f>
        <v/>
      </c>
      <c r="F350">
        <f>IF(Skills!N22=TRUE,(Skills!L22/10)*(E350/1000),Skills!L22/10)+Skills!O22</f>
        <v/>
      </c>
      <c r="G350">
        <f>Calc!G22</f>
        <v/>
      </c>
      <c r="H350">
        <f>Calc!H22</f>
        <v/>
      </c>
      <c r="I350">
        <f>IF(Skills!AA22&lt;&gt;"",1+(Skills!AA22/10)*(U331/1000)/100,1)</f>
        <v/>
      </c>
      <c r="J350" t="inlineStr"/>
      <c r="K350" t="inlineStr"/>
      <c r="L350" t="inlineStr"/>
      <c r="M350" t="inlineStr"/>
      <c r="N350" t="inlineStr"/>
      <c r="O350">
        <f>(1-Summary!$B$55)*T350+Summary!$B$55*V350</f>
        <v/>
      </c>
      <c r="P350">
        <f>IF(B372=0,0,O350/B372)</f>
        <v/>
      </c>
      <c r="Q350" t="n">
        <v>0</v>
      </c>
      <c r="R350" t="n">
        <v>0</v>
      </c>
      <c r="S350">
        <f>IFERROR(O350/N350,0)</f>
        <v/>
      </c>
      <c r="T350" t="n">
        <v>0</v>
      </c>
      <c r="V350" t="n">
        <v>0</v>
      </c>
    </row>
    <row r="351">
      <c r="A351">
        <f>Skills!A23</f>
        <v/>
      </c>
      <c r="B351">
        <f>Skills!B23</f>
        <v/>
      </c>
      <c r="C351">
        <f>Inputs!$B$3&gt;=38</f>
        <v/>
      </c>
      <c r="D351">
        <f>IF(Skills!C23=1,60+Inputs!$B$25+Inputs!$B$29,IF(Skills!C23=2,90+Inputs!$B$26+Inputs!$B$29,IF(Skills!C23=3,120+Inputs!$B$27+Inputs!$B$29,MAX(0,(Inputs!$B$3-100)*3)+Inputs!$B$28+Inputs!$B$29)))</f>
        <v/>
      </c>
      <c r="E351">
        <f>INDEX(FactorTable!$B$2:$Y$301, MATCH(ROUND(MIN(300,MAX(1,D351)),0), FactorTable!$A$2:$A$301,0), Skills!M23+1)</f>
        <v/>
      </c>
      <c r="F351">
        <f>IF(Skills!N23=TRUE,(Skills!L23/10)*(E351/1000),Skills!L23/10)+Skills!O23</f>
        <v/>
      </c>
      <c r="G351">
        <f>Calc!G23</f>
        <v/>
      </c>
      <c r="H351">
        <f>Calc!H23</f>
        <v/>
      </c>
      <c r="I351">
        <f>IF(Skills!AA23&lt;&gt;"",1+(Skills!AA23/10)*(U331/1000)/100,1)</f>
        <v/>
      </c>
      <c r="J351" t="inlineStr"/>
      <c r="K351" t="inlineStr"/>
      <c r="L351" t="inlineStr"/>
      <c r="M351" t="inlineStr"/>
      <c r="N351" t="inlineStr"/>
      <c r="O351">
        <f>(1-Summary!$B$55)*T351+Summary!$B$55*V351</f>
        <v/>
      </c>
      <c r="P351">
        <f>IF(B372=0,0,O351/B372)</f>
        <v/>
      </c>
      <c r="Q351" t="n">
        <v>0</v>
      </c>
      <c r="R351" t="n">
        <v>0</v>
      </c>
      <c r="S351">
        <f>IFERROR(O351/N351,0)</f>
        <v/>
      </c>
      <c r="T351" t="n">
        <v>0</v>
      </c>
      <c r="V351" t="n">
        <v>0</v>
      </c>
    </row>
    <row r="352">
      <c r="A352">
        <f>Skills!A24</f>
        <v/>
      </c>
      <c r="B352">
        <f>Skills!B24</f>
        <v/>
      </c>
      <c r="C352">
        <f>Inputs!$B$3&gt;=40</f>
        <v/>
      </c>
      <c r="D352">
        <f>IF(Skills!C24=1,60+Inputs!$B$25+Inputs!$B$29,IF(Skills!C24=2,90+Inputs!$B$26+Inputs!$B$29,IF(Skills!C24=3,120+Inputs!$B$27+Inputs!$B$29,MAX(0,(Inputs!$B$3-100)*3)+Inputs!$B$28+Inputs!$B$29)))</f>
        <v/>
      </c>
      <c r="E352">
        <f>INDEX(FactorTable!$B$2:$Y$301, MATCH(ROUND(MIN(300,MAX(1,D352)),0), FactorTable!$A$2:$A$301,0), Skills!M24+1)</f>
        <v/>
      </c>
      <c r="F352">
        <f>IF(Skills!N24=TRUE,(Skills!L24/10)*(E352/1000),Skills!L24/10)+Skills!O24</f>
        <v/>
      </c>
      <c r="G352">
        <f>Calc!G24</f>
        <v/>
      </c>
      <c r="H352">
        <f>Calc!H24</f>
        <v/>
      </c>
      <c r="I352">
        <f>IF(Skills!AA24&lt;&gt;"",1+(Skills!AA24/10)*(U331/1000)/100,1)</f>
        <v/>
      </c>
      <c r="J352" t="inlineStr"/>
      <c r="K352" t="inlineStr"/>
      <c r="L352" t="inlineStr"/>
      <c r="M352" t="inlineStr"/>
      <c r="N352" t="inlineStr"/>
      <c r="O352">
        <f>(1-Summary!$B$55)*T352+Summary!$B$55*V352</f>
        <v/>
      </c>
      <c r="P352">
        <f>IF(B372=0,0,O352/B372)</f>
        <v/>
      </c>
      <c r="Q352" t="n">
        <v>0</v>
      </c>
      <c r="R352" t="n">
        <v>0</v>
      </c>
      <c r="S352">
        <f>IFERROR(O352/N352,0)</f>
        <v/>
      </c>
      <c r="T352" t="n">
        <v>0</v>
      </c>
      <c r="V352" t="n">
        <v>0</v>
      </c>
    </row>
    <row r="353">
      <c r="A353">
        <f>Skills!A25</f>
        <v/>
      </c>
      <c r="B353">
        <f>Skills!B25</f>
        <v/>
      </c>
      <c r="C353">
        <f>Inputs!$B$3&gt;=45</f>
        <v/>
      </c>
      <c r="D353">
        <f>IF(Skills!C25=1,60+Inputs!$B$25+Inputs!$B$29,IF(Skills!C25=2,90+Inputs!$B$26+Inputs!$B$29,IF(Skills!C25=3,120+Inputs!$B$27+Inputs!$B$29,MAX(0,(Inputs!$B$3-100)*3)+Inputs!$B$28+Inputs!$B$29)))</f>
        <v/>
      </c>
      <c r="E353">
        <f>INDEX(FactorTable!$B$2:$Y$301, MATCH(ROUND(MIN(300,MAX(1,D353)),0), FactorTable!$A$2:$A$301,0), Skills!M25+1)</f>
        <v/>
      </c>
      <c r="F353">
        <f>IF(Skills!N25=TRUE,(Skills!L25/10)*(E353/1000),Skills!L25/10)+Skills!O25</f>
        <v/>
      </c>
      <c r="G353">
        <f>Calc!G25</f>
        <v/>
      </c>
      <c r="H353">
        <f>Calc!H25</f>
        <v/>
      </c>
      <c r="I353">
        <f>IF(Skills!AA25&lt;&gt;"",1+(Skills!AA25/10)*(U331/1000)/100,1)</f>
        <v/>
      </c>
      <c r="J353" t="inlineStr"/>
      <c r="K353" t="inlineStr"/>
      <c r="L353" t="inlineStr"/>
      <c r="M353" t="inlineStr"/>
      <c r="N353" t="inlineStr"/>
      <c r="O353">
        <f>(1-Summary!$B$55)*T353+Summary!$B$55*V353</f>
        <v/>
      </c>
      <c r="P353">
        <f>IF(B372=0,0,O353/B372)</f>
        <v/>
      </c>
      <c r="Q353" t="n">
        <v>0</v>
      </c>
      <c r="R353" t="n">
        <v>0</v>
      </c>
      <c r="S353">
        <f>IFERROR(O353/N353,0)</f>
        <v/>
      </c>
      <c r="T353" t="n">
        <v>0</v>
      </c>
      <c r="V353" t="n">
        <v>0</v>
      </c>
    </row>
    <row r="354">
      <c r="A354">
        <f>Skills!A26</f>
        <v/>
      </c>
      <c r="B354">
        <f>Skills!B26</f>
        <v/>
      </c>
      <c r="C354">
        <f>Inputs!$B$3&gt;=45</f>
        <v/>
      </c>
      <c r="D354">
        <f>IF(Skills!C26=1,60+Inputs!$B$25+Inputs!$B$29,IF(Skills!C26=2,90+Inputs!$B$26+Inputs!$B$29,IF(Skills!C26=3,120+Inputs!$B$27+Inputs!$B$29,MAX(0,(Inputs!$B$3-100)*3)+Inputs!$B$28+Inputs!$B$29)))</f>
        <v/>
      </c>
      <c r="E354">
        <f>INDEX(FactorTable!$B$2:$Y$301, MATCH(ROUND(MIN(300,MAX(1,D354)),0), FactorTable!$A$2:$A$301,0), Skills!M26+1)</f>
        <v/>
      </c>
      <c r="F354">
        <f>IF(Skills!N26=TRUE,(Skills!L26/10)*(E354/1000),Skills!L26/10)+Skills!O26</f>
        <v/>
      </c>
      <c r="G354">
        <f>Calc!G26</f>
        <v/>
      </c>
      <c r="H354">
        <f>Calc!H26</f>
        <v/>
      </c>
      <c r="I354">
        <f>IF(Skills!AA26&lt;&gt;"",1+(Skills!AA26/10)*(U331/1000)/100,1)</f>
        <v/>
      </c>
      <c r="J354" t="inlineStr"/>
      <c r="K354" t="inlineStr"/>
      <c r="L354" t="inlineStr"/>
      <c r="M354" t="inlineStr"/>
      <c r="N354" t="inlineStr"/>
      <c r="O354">
        <f>(1-Summary!$B$55)*T354+Summary!$B$55*V354</f>
        <v/>
      </c>
      <c r="P354">
        <f>IF(B372=0,0,O354/B372)</f>
        <v/>
      </c>
      <c r="Q354" t="n">
        <v>0</v>
      </c>
      <c r="R354" t="n">
        <v>0</v>
      </c>
      <c r="S354">
        <f>IFERROR(O354/N354,0)</f>
        <v/>
      </c>
      <c r="T354" t="n">
        <v>0</v>
      </c>
      <c r="V354" t="n">
        <v>0</v>
      </c>
    </row>
    <row r="355">
      <c r="A355">
        <f>Skills!A27</f>
        <v/>
      </c>
      <c r="B355">
        <f>Skills!B27</f>
        <v/>
      </c>
      <c r="C355">
        <f>Inputs!$B$3&gt;=72</f>
        <v/>
      </c>
      <c r="D355">
        <f>IF(Skills!C27=1,60+Inputs!$B$25+Inputs!$B$29,IF(Skills!C27=2,90+Inputs!$B$26+Inputs!$B$29,IF(Skills!C27=3,120+Inputs!$B$27+Inputs!$B$29,MAX(0,(Inputs!$B$3-100)*3)+Inputs!$B$28+Inputs!$B$29)))</f>
        <v/>
      </c>
      <c r="E355">
        <f>INDEX(FactorTable!$B$2:$Y$301, MATCH(ROUND(MIN(300,MAX(1,D355)),0), FactorTable!$A$2:$A$301,0), Skills!M27+1)</f>
        <v/>
      </c>
      <c r="F355">
        <f>IF(Skills!N27=TRUE,(Skills!L27/10)*(E355/1000),Skills!L27/10)+Skills!O27</f>
        <v/>
      </c>
      <c r="G355">
        <f>Calc!G27</f>
        <v/>
      </c>
      <c r="H355">
        <f>Calc!H27</f>
        <v/>
      </c>
      <c r="I355">
        <f>IF(Skills!AA27&lt;&gt;"",1+(Skills!AA27/10)*(U331/1000)/100,1)</f>
        <v/>
      </c>
      <c r="J355" t="inlineStr"/>
      <c r="K355" t="inlineStr"/>
      <c r="L355" t="inlineStr"/>
      <c r="M355" t="inlineStr"/>
      <c r="N355" t="inlineStr"/>
      <c r="O355">
        <f>(1-Summary!$B$55)*T355+Summary!$B$55*V355</f>
        <v/>
      </c>
      <c r="P355">
        <f>IF(B372=0,0,O355/B372)</f>
        <v/>
      </c>
      <c r="Q355" t="n">
        <v>0</v>
      </c>
      <c r="R355" t="n">
        <v>0</v>
      </c>
      <c r="S355">
        <f>IFERROR(O355/N355,0)</f>
        <v/>
      </c>
      <c r="T355" t="n">
        <v>0</v>
      </c>
      <c r="V355" t="n">
        <v>0</v>
      </c>
    </row>
    <row r="356">
      <c r="A356">
        <f>Skills!A28</f>
        <v/>
      </c>
      <c r="B356">
        <f>Skills!B28</f>
        <v/>
      </c>
      <c r="C356">
        <f>Inputs!$B$3&gt;=75</f>
        <v/>
      </c>
      <c r="D356">
        <f>IF(Skills!C28=1,60+Inputs!$B$25+Inputs!$B$29,IF(Skills!C28=2,90+Inputs!$B$26+Inputs!$B$29,IF(Skills!C28=3,120+Inputs!$B$27+Inputs!$B$29,MAX(0,(Inputs!$B$3-100)*3)+Inputs!$B$28+Inputs!$B$29)))</f>
        <v/>
      </c>
      <c r="E356">
        <f>INDEX(FactorTable!$B$2:$Y$301, MATCH(ROUND(MIN(300,MAX(1,D356)),0), FactorTable!$A$2:$A$301,0), Skills!M28+1)</f>
        <v/>
      </c>
      <c r="F356">
        <f>IF(Skills!N28=TRUE,(Skills!L28/10)*(E356/1000),Skills!L28/10)+Skills!O28</f>
        <v/>
      </c>
      <c r="G356">
        <f>Calc!G28</f>
        <v/>
      </c>
      <c r="H356">
        <f>Calc!H28</f>
        <v/>
      </c>
      <c r="I356">
        <f>IF(Skills!AA28&lt;&gt;"",1+(Skills!AA28/10)*(U331/1000)/100,1)</f>
        <v/>
      </c>
      <c r="J356" t="inlineStr"/>
      <c r="K356" t="inlineStr"/>
      <c r="L356" t="inlineStr"/>
      <c r="M356" t="inlineStr"/>
      <c r="N356" t="inlineStr"/>
      <c r="O356">
        <f>(1-Summary!$B$55)*T356+Summary!$B$55*V356</f>
        <v/>
      </c>
      <c r="P356">
        <f>IF(B372=0,0,O356/B372)</f>
        <v/>
      </c>
      <c r="Q356" t="n">
        <v>0</v>
      </c>
      <c r="R356" t="n">
        <v>0</v>
      </c>
      <c r="S356">
        <f>IFERROR(O356/N356,0)</f>
        <v/>
      </c>
      <c r="T356" t="n">
        <v>0</v>
      </c>
      <c r="V356" t="n">
        <v>0</v>
      </c>
    </row>
    <row r="357">
      <c r="A357">
        <f>Skills!A29</f>
        <v/>
      </c>
      <c r="B357">
        <f>Skills!B29</f>
        <v/>
      </c>
      <c r="C357">
        <f>Inputs!$B$3&gt;=120</f>
        <v/>
      </c>
      <c r="D357">
        <f>IF(Skills!C29=1,60+Inputs!$B$25+Inputs!$B$29,IF(Skills!C29=2,90+Inputs!$B$26+Inputs!$B$29,IF(Skills!C29=3,120+Inputs!$B$27+Inputs!$B$29,MAX(0,(Inputs!$B$3-100)*3)+Inputs!$B$28+Inputs!$B$29)))</f>
        <v/>
      </c>
      <c r="E357">
        <f>INDEX(FactorTable!$B$2:$Y$301, MATCH(ROUND(MIN(300,MAX(1,D357)),0), FactorTable!$A$2:$A$301,0), Skills!M29+1)</f>
        <v/>
      </c>
      <c r="F357">
        <f>IF(Skills!N29=TRUE,(Skills!L29/10)*(E357/1000),Skills!L29/10)+Skills!O29</f>
        <v/>
      </c>
      <c r="G357">
        <f>Calc!G29</f>
        <v/>
      </c>
      <c r="H357">
        <f>Calc!H29</f>
        <v/>
      </c>
      <c r="I357">
        <f>IF(Skills!AA29&lt;&gt;"",1+(Skills!AA29/10)*(U331/1000)/100,1)</f>
        <v/>
      </c>
      <c r="J357" t="inlineStr"/>
      <c r="K357" t="inlineStr"/>
      <c r="L357" t="inlineStr"/>
      <c r="M357" t="inlineStr"/>
      <c r="N357" t="inlineStr"/>
      <c r="O357">
        <f>(1-Summary!$B$55)*T357+Summary!$B$55*V357</f>
        <v/>
      </c>
      <c r="P357">
        <f>IF(B372=0,0,O357/B372)</f>
        <v/>
      </c>
      <c r="Q357" t="n">
        <v>0</v>
      </c>
      <c r="R357" t="n">
        <v>0</v>
      </c>
      <c r="S357">
        <f>IFERROR(O357/N357,0)</f>
        <v/>
      </c>
      <c r="T357" t="n">
        <v>0</v>
      </c>
      <c r="V357" t="n">
        <v>0</v>
      </c>
    </row>
    <row r="358">
      <c r="A358">
        <f>Skills!A30</f>
        <v/>
      </c>
      <c r="B358">
        <f>Skills!B30</f>
        <v/>
      </c>
      <c r="C358">
        <f>Inputs!$B$3&gt;=125</f>
        <v/>
      </c>
      <c r="D358">
        <f>IF(Skills!C30=1,60+Inputs!$B$25+Inputs!$B$29,IF(Skills!C30=2,90+Inputs!$B$26+Inputs!$B$29,IF(Skills!C30=3,120+Inputs!$B$27+Inputs!$B$29,MAX(0,(Inputs!$B$3-100)*3)+Inputs!$B$28+Inputs!$B$29)))</f>
        <v/>
      </c>
      <c r="E358">
        <f>INDEX(FactorTable!$B$2:$Y$301, MATCH(ROUND(MIN(300,MAX(1,D358)),0), FactorTable!$A$2:$A$301,0), Skills!M30+1)</f>
        <v/>
      </c>
      <c r="F358">
        <f>IF(Skills!N30=TRUE,(Skills!L30/10)*(E358/1000),Skills!L30/10)+Skills!O30</f>
        <v/>
      </c>
      <c r="G358">
        <f>Calc!G30</f>
        <v/>
      </c>
      <c r="H358">
        <f>Calc!H30</f>
        <v/>
      </c>
      <c r="I358">
        <f>IF(Skills!AA30&lt;&gt;"",1+(Skills!AA30/10)*(U331/1000)/100,1)</f>
        <v/>
      </c>
      <c r="J358" t="inlineStr"/>
      <c r="K358" t="inlineStr"/>
      <c r="L358" t="inlineStr"/>
      <c r="M358" t="inlineStr"/>
      <c r="N358" t="inlineStr"/>
      <c r="O358">
        <f>(1-Summary!$B$55)*T358+Summary!$B$55*V358</f>
        <v/>
      </c>
      <c r="P358">
        <f>IF(B372=0,0,O358/B372)</f>
        <v/>
      </c>
      <c r="Q358" t="n">
        <v>0</v>
      </c>
      <c r="R358" t="n">
        <v>0</v>
      </c>
      <c r="S358">
        <f>IFERROR(O358/N358,0)</f>
        <v/>
      </c>
      <c r="T358" t="n">
        <v>0</v>
      </c>
      <c r="V358" t="n">
        <v>0</v>
      </c>
    </row>
    <row r="359">
      <c r="A359">
        <f>Skills!A31</f>
        <v/>
      </c>
      <c r="B359">
        <f>Skills!B31</f>
        <v/>
      </c>
      <c r="C359">
        <f>Inputs!$B$3&gt;=107</f>
        <v/>
      </c>
      <c r="D359">
        <f>IF(Skills!C31=1,60+Inputs!$B$25+Inputs!$B$29,IF(Skills!C31=2,90+Inputs!$B$26+Inputs!$B$29,IF(Skills!C31=3,120+Inputs!$B$27+Inputs!$B$29,MAX(0,(Inputs!$B$3-100)*3)+Inputs!$B$28+Inputs!$B$29)))</f>
        <v/>
      </c>
      <c r="E359">
        <f>INDEX(FactorTable!$B$2:$Y$301, MATCH(ROUND(MIN(300,MAX(1,D359)),0), FactorTable!$A$2:$A$301,0), Skills!M31+1)</f>
        <v/>
      </c>
      <c r="F359">
        <f>IF(Skills!N31=TRUE,(Skills!L31/10)*(E359/1000),Skills!L31/10)+Skills!O31</f>
        <v/>
      </c>
      <c r="G359">
        <f>Calc!G31</f>
        <v/>
      </c>
      <c r="H359">
        <f>Calc!H31</f>
        <v/>
      </c>
      <c r="I359">
        <f>IF(Skills!AA31&lt;&gt;"",1+(Skills!AA31/10)*(U331/1000)/100,1)</f>
        <v/>
      </c>
      <c r="J359" t="inlineStr"/>
      <c r="K359" t="inlineStr"/>
      <c r="L359" t="inlineStr"/>
      <c r="M359" t="inlineStr"/>
      <c r="N359" t="inlineStr"/>
      <c r="O359">
        <f>(1-Summary!$B$55)*T359+Summary!$B$55*V359</f>
        <v/>
      </c>
      <c r="P359">
        <f>IF(B372=0,0,O359/B372)</f>
        <v/>
      </c>
      <c r="Q359" t="n">
        <v>0</v>
      </c>
      <c r="R359" t="n">
        <v>0</v>
      </c>
      <c r="S359">
        <f>IFERROR(O359/N359,0)</f>
        <v/>
      </c>
      <c r="T359" t="n">
        <v>0</v>
      </c>
      <c r="V359" t="n">
        <v>0</v>
      </c>
    </row>
    <row r="361">
      <c r="A361" t="inlineStr">
        <is>
          <t>Actions Per Second (pre-Adrenalin)</t>
        </is>
      </c>
      <c r="B361">
        <f>1+MIN(150,150*(1-(1-(Inputs!$B$11+((C350=TRUE)*(F350-Calc!F22)))/150)*(1-((C347=TRUE)*F347*IF(AND(Inputs!$B$39&lt;&gt;"pvp",Inputs!$B$44&gt;0),(((R347-1)*(Skills!Y19*(1+Inputs!$B$34/100))+MIN((Skills!Y19*(1+Inputs!$B$34/100)),MAX(0,Inputs!$B$44-((R347-1)*Skills!D19))))/Inputs!$B$44),IF(Inputs!$B$39="pvp",MIN((Skills!Y19*(1+Inputs!$B$34/100)),15)/15,(Skills!Y19*(1+Inputs!$B$34/100))/Skills!D19)))/150)))/100</f>
        <v/>
      </c>
    </row>
    <row r="362">
      <c r="A362" t="inlineStr">
        <is>
          <t>Alchemic Adrenaline Uptime</t>
        </is>
      </c>
      <c r="B362">
        <f>(Skills!Y6*(1+Inputs!$B$34/100))/((Skills!Y6*(1+Inputs!$B$34/100))+(5/B361))</f>
        <v/>
      </c>
    </row>
    <row r="363">
      <c r="A363" t="inlineStr">
        <is>
          <t>Attack Speed Buff Bonus %</t>
        </is>
      </c>
      <c r="B363">
        <f>((C347=TRUE)*F347*IF(AND(Inputs!$B$39&lt;&gt;"pvp",Inputs!$B$44&gt;0),(((R347-1)*(Skills!Y19*(1+Inputs!$B$34/100))+MIN((Skills!Y19*(1+Inputs!$B$34/100)),MAX(0,Inputs!$B$44-((R347-1)*Skills!D19))))/Inputs!$B$44),IF(Inputs!$B$39="pvp",MIN((Skills!Y19*(1+Inputs!$B$34/100)),15)/15,(Skills!Y19*(1+Inputs!$B$34/100))/Skills!D19)))+((C335=TRUE)*F335*B362)</f>
        <v/>
      </c>
    </row>
    <row r="364">
      <c r="A364" t="inlineStr">
        <is>
          <t>Actions Per Second (final)</t>
        </is>
      </c>
      <c r="B364">
        <f>1+MIN(150,150*(1-(1-(Inputs!$B$11+((C350=TRUE)*(F350-Calc!F22)))/150)*(1-B363/150)))/100</f>
        <v/>
      </c>
    </row>
    <row r="365">
      <c r="A365" t="inlineStr">
        <is>
          <t>Skill + Buff Cast Rate</t>
        </is>
      </c>
      <c r="B365">
        <f>IF(AND(Inputs!$B$39&lt;&gt;"pvp",Inputs!$B$44&gt;0),SUMPRODUCT((Skills!E2:E31=TRUE)*(C330:C359=TRUE)*R330:R359*Skills!F2:F31)/Inputs!$B$44,SUMPRODUCT((Skills!E2:E31=TRUE)*(C330:C359=TRUE)*Q330:Q359*Skills!F2:F31))</f>
        <v/>
      </c>
    </row>
    <row r="366">
      <c r="A366" t="inlineStr">
        <is>
          <t>Showdown Casts Per Second</t>
        </is>
      </c>
      <c r="B366">
        <f>MAX(0,B364-B365)</f>
        <v/>
      </c>
    </row>
    <row r="367">
      <c r="A367" t="inlineStr">
        <is>
          <t>Average Buff Multiplier</t>
        </is>
      </c>
      <c r="B367">
        <f>(1+(((C349=TRUE)*F349*IF(AND(Inputs!$B$39&lt;&gt;"pvp",Inputs!$B$44&gt;0),(((R349-1)*(Skills!Y21*(1+Inputs!$B$34/100))+MIN((Skills!Y21*(1+Inputs!$B$34/100)),MAX(0,Inputs!$B$44-((R349-1)*Skills!D21))))/Inputs!$B$44),IF(Inputs!$B$39="pvp",MIN((Skills!Y21*(1+Inputs!$B$34/100)),15)/15,(Skills!Y21*(1+Inputs!$B$34/100))/Skills!D21)))+((C356=TRUE)*(F356-Calc!F28))+((C346=TRUE)*(F346-Calc!F18)))/100)*(1+((C343=TRUE)*F343*IF(AND(Inputs!$B$39&lt;&gt;"pvp",Inputs!$B$44&gt;0),(((R343-1)*(Skills!Y15*(1+Inputs!$B$34/100))+MIN((Skills!Y15*(1+Inputs!$B$34/100)),MAX(0,Inputs!$B$44-((R343-1)*Skills!D15))))/Inputs!$B$44),IF(Inputs!$B$39="pvp",MIN((Skills!Y15*(1+Inputs!$B$34/100)),15)/15,(Skills!Y15*(1+Inputs!$B$34/100))/Skills!D15)))/100)*(1+((C334=TRUE)*F334*B362)/100)</f>
        <v/>
      </c>
    </row>
    <row r="368">
      <c r="A368" t="inlineStr">
        <is>
          <t>Global Crit Rate Bonus %</t>
        </is>
      </c>
      <c r="B368">
        <f>IF(Inputs!$B$3&gt;=47,8,0)+((C348=TRUE)*F348*IF(AND(Inputs!$B$39&lt;&gt;"pvp",Inputs!$B$44&gt;0),(((R348-1)*(Skills!Y20*(1+Inputs!$B$34/100))+MIN((Skills!Y20*(1+Inputs!$B$34/100)),MAX(0,Inputs!$B$44-((R348-1)*Skills!D20))))/Inputs!$B$44),IF(Inputs!$B$39="pvp",MIN((Skills!Y20*(1+Inputs!$B$34/100)),15)/15,(Skills!Y20*(1+Inputs!$B$34/100))/Skills!D20)))</f>
        <v/>
      </c>
    </row>
    <row r="369">
      <c r="A369" t="inlineStr">
        <is>
          <t>Global Monster Damage-Taken Bonus %</t>
        </is>
      </c>
      <c r="B369">
        <f>IF(Inputs!$B$3&gt;=82,15,0)+((C344=TRUE)*F344*IF(AND(Inputs!$B$39&lt;&gt;"pvp",Inputs!$B$44&gt;0),(((R344-1)*(Skills!Y16*(1+Inputs!$B$34/100))+MIN((Skills!Y16*(1+Inputs!$B$34/100)),MAX(0,Inputs!$B$44-((R344-1)*Skills!D16))))/Inputs!$B$44),IF(Inputs!$B$39="pvp",MIN((Skills!Y16*(1+Inputs!$B$34/100)),15)/15,(Skills!Y16*(1+Inputs!$B$34/100))/Skills!D16)))</f>
        <v/>
      </c>
    </row>
    <row r="370">
      <c r="A370" t="inlineStr">
        <is>
          <t>Shadow Partner Average Multiplier</t>
        </is>
      </c>
      <c r="B370">
        <f>1+((C339=TRUE)*F339*I339*Skills!J11/100)/100</f>
        <v/>
      </c>
    </row>
    <row r="371">
      <c r="A371" t="inlineStr">
        <is>
          <t>Global Critical Damage Bonus % (Frailty Curse Mastery Lv.111)</t>
        </is>
      </c>
      <c r="B371">
        <f>IF(Inputs!$B$3&gt;=111,30,0)*IF(AND(Inputs!$B$39&lt;&gt;"pvp",Inputs!$B$44&gt;0),(((R344-1)*(Skills!Y16*(1+Inputs!$B$34/100))+MIN((Skills!Y16*(1+Inputs!$B$34/100)),MAX(0,Inputs!$B$44-((R344-1)*Skills!D16))))/Inputs!$B$44),IF(Inputs!$B$39="pvp",MIN((Skills!Y16*(1+Inputs!$B$34/100)),15)/15,(Skills!Y16*(1+Inputs!$B$34/100))/Skills!D16))</f>
        <v/>
      </c>
    </row>
    <row r="372">
      <c r="A372" s="5" t="inlineStr">
        <is>
          <t>TOTAL DPS</t>
        </is>
      </c>
      <c r="B372" s="5">
        <f>SUM(O330:O359)</f>
        <v/>
      </c>
    </row>
    <row r="373">
      <c r="A373" t="inlineStr">
        <is>
          <t>Buff-Casting Startup Delay (s, fixed-duration only)</t>
        </is>
      </c>
      <c r="B373">
        <f>IF(AND(Inputs!$B$39&lt;&gt;"pvp",Inputs!$B$44&gt;0),SUMPRODUCT((Skills!Y2:Y31&gt;0)*(Skills!E2:E31=TRUE)*(C330:C359=TRUE))/B364,0)</f>
        <v/>
      </c>
    </row>
    <row r="374">
      <c r="A374" t="inlineStr">
        <is>
          <t>Boss-Only Total DPS (this block's swept value)</t>
        </is>
      </c>
      <c r="B374">
        <f>SUM(T330:T359)</f>
        <v/>
      </c>
    </row>
    <row r="375">
      <c r="A375" t="inlineStr">
        <is>
          <t>Normal-Only Total DPS (this block's swept value)</t>
        </is>
      </c>
      <c r="B375">
        <f>SUM(V330:V359)</f>
        <v/>
      </c>
    </row>
    <row r="377">
      <c r="A377" s="5" t="inlineStr">
        <is>
          <t>Stat: FINAL_DAMAGE % (multiplicative source)</t>
        </is>
      </c>
    </row>
    <row r="378">
      <c r="A378" s="9" t="inlineStr">
        <is>
          <t>Key</t>
        </is>
      </c>
      <c r="B378" s="9" t="inlineStr">
        <is>
          <t>Name</t>
        </is>
      </c>
      <c r="C378" s="9" t="inlineStr">
        <is>
          <t>Unlocked</t>
        </is>
      </c>
      <c r="D378" s="9" t="inlineStr">
        <is>
          <t>InputLevel</t>
        </is>
      </c>
      <c r="E378" s="9" t="inlineStr">
        <is>
          <t>Factor</t>
        </is>
      </c>
      <c r="F378" s="9" t="inlineStr">
        <is>
          <t>CoefficientPercent</t>
        </is>
      </c>
      <c r="G378" s="9" t="inlineStr">
        <is>
          <t>EffectiveHits</t>
        </is>
      </c>
      <c r="H378" s="9" t="inlineStr">
        <is>
          <t>ProcProbability</t>
        </is>
      </c>
      <c r="I378" s="9" t="inlineStr">
        <is>
          <t>MapleHeroMultiplier</t>
        </is>
      </c>
      <c r="J378" s="9" t="inlineStr">
        <is>
          <t>BaseDamage</t>
        </is>
      </c>
      <c r="K378" s="9" t="inlineStr">
        <is>
          <t>BaseHitDamage</t>
        </is>
      </c>
      <c r="L378" s="9" t="inlineStr">
        <is>
          <t>NonCritAvg</t>
        </is>
      </c>
      <c r="M378" s="9" t="inlineStr">
        <is>
          <t>CritAvg</t>
        </is>
      </c>
      <c r="N378" s="9" t="inlineStr">
        <is>
          <t>ExpectedDamage(perHit)</t>
        </is>
      </c>
      <c r="O378" s="9" t="inlineStr">
        <is>
          <t>DPS</t>
        </is>
      </c>
      <c r="P378" s="9" t="inlineStr">
        <is>
          <t>% of Total</t>
        </is>
      </c>
      <c r="Q378" s="9" t="inlineStr">
        <is>
          <t>InvCooldown</t>
        </is>
      </c>
      <c r="R378" s="9" t="inlineStr">
        <is>
          <t>CastsInFight</t>
        </is>
      </c>
      <c r="S378" s="9" t="inlineStr">
        <is>
          <t>HitRate(perSec)</t>
        </is>
      </c>
      <c r="U378" t="inlineStr">
        <is>
          <t>helpers</t>
        </is>
      </c>
    </row>
    <row r="379">
      <c r="A379">
        <f>Skills!A2</f>
        <v/>
      </c>
      <c r="B379">
        <f>Skills!B2</f>
        <v/>
      </c>
      <c r="C379">
        <f>Inputs!$B$3&gt;=100</f>
        <v/>
      </c>
      <c r="D379" t="inlineStr"/>
      <c r="E379" t="inlineStr"/>
      <c r="F379">
        <f>U383+Skills!O2</f>
        <v/>
      </c>
      <c r="G379">
        <f>Calc!G2</f>
        <v/>
      </c>
      <c r="H379">
        <f>Calc!H2</f>
        <v/>
      </c>
      <c r="I379">
        <f>IF(Skills!AA2&lt;&gt;"",1+(Skills!AA2/10)*(U380/1000)/100,1)</f>
        <v/>
      </c>
      <c r="J379">
        <f>((Inputs!$B$6*(1+Inputs!$B$7/100))+(((Inputs!$B$12*(1+Inputs!$B$13/100))-(Inputs!$B$12*(1+Inputs!$B$13/100)))+0.25*(Inputs!$B$14-Inputs!$B$14))*(1+Inputs!$B$7/100))*(F379/100)</f>
        <v/>
      </c>
      <c r="K379">
        <f>J379*(1+((Inputs!$B$12*(1+Inputs!$B$13/100))*0.01+Inputs!$B$14*0.0025)/100)*(1+Inputs!$B$15/100)*(1+Inputs!$B$16/100)*(5000/(6000+Inputs!$B$43*(1-Inputs!$B$19/100)))*(1+(((((1+Inputs!$B$24/100)*(1.01))-1)*100)+((C407=TRUE)*(F407-Calc!F30)))/100)*(1+Skills!R2/100)*(1+(IF(Skills!A2="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379)</f>
        <v/>
      </c>
      <c r="L379">
        <f>K379*(MIN(Inputs!$B$22+((C401=TRUE)*(F401-Calc!F24)),Inputs!$B$23)/100+Inputs!$B$23/100)/2</f>
        <v/>
      </c>
      <c r="M379">
        <f>L379*(1+(Inputs!$B$10+((C403=TRUE)*(F403-Calc!F26))+B420)/100)</f>
        <v/>
      </c>
      <c r="N379">
        <f>L379*(1-MIN((Inputs!$B$9+((C402=TRUE)*(F402-Calc!F25))+B417),100)/100)+M379*(MIN((Inputs!$B$9+((C402=TRUE)*(F402-Calc!F25))+B417),100)/100)</f>
        <v/>
      </c>
      <c r="O379">
        <f>(1-Summary!$B$55)*T379+Summary!$B$55*V379</f>
        <v/>
      </c>
      <c r="P379">
        <f>IF(B421=0,0,O379/B421)</f>
        <v/>
      </c>
      <c r="Q379" t="n">
        <v>0</v>
      </c>
      <c r="R379" t="n">
        <v>0</v>
      </c>
      <c r="S379">
        <f>IFERROR(O379/N379,0)</f>
        <v/>
      </c>
      <c r="T379">
        <f>IF(C379,(Skills!G2*N379*B415)*IF(Inputs!$B$39="pvp",1,1+(Inputs!$B$20+((C404=TRUE)*(F404-Calc!F27))+Skills!P2+B418)/100),0)</f>
        <v/>
      </c>
      <c r="U379">
        <f>MAX(0,(Inputs!$B$3-100)*3)+Inputs!$B$28+Inputs!$B$29</f>
        <v/>
      </c>
      <c r="V379">
        <f>IF(C379,(Skills!G2*N379*B415)*IF(Inputs!$B$39="pvp",1,(1+(Inputs!$B$21+Skills!Q2+B418)/100)*(MIN((6+Inputs!$B$33),Inputs!$B$37))),0)</f>
        <v/>
      </c>
    </row>
    <row r="380">
      <c r="A380">
        <f>Skills!A3</f>
        <v/>
      </c>
      <c r="B380">
        <f>Skills!B3</f>
        <v/>
      </c>
      <c r="C380">
        <f>Inputs!$B$3&gt;=35</f>
        <v/>
      </c>
      <c r="D380">
        <f>IF(Skills!C3=1,60+Inputs!$B$25+Inputs!$B$29,IF(Skills!C3=2,90+Inputs!$B$26+Inputs!$B$29,IF(Skills!C3=3,120+Inputs!$B$27+Inputs!$B$29,MAX(0,(Inputs!$B$3-100)*3)+Inputs!$B$28+Inputs!$B$29)))</f>
        <v/>
      </c>
      <c r="E380">
        <f>INDEX(FactorTable!$B$2:$Y$301, MATCH(ROUND(MIN(300,MAX(1,D380)),0), FactorTable!$A$2:$A$301,0), Skills!M3+1)</f>
        <v/>
      </c>
      <c r="F380">
        <f>IF(Skills!N3=TRUE,(Skills!L3/10)*(E380/1000),Skills!L3/10)+Skills!O3</f>
        <v/>
      </c>
      <c r="G380">
        <f>Calc!G3</f>
        <v/>
      </c>
      <c r="H380">
        <f>Calc!H3</f>
        <v/>
      </c>
      <c r="I380">
        <f>IF(Skills!AA3&lt;&gt;"",1+(Skills!AA3/10)*(U380/1000)/100,1)</f>
        <v/>
      </c>
      <c r="J380">
        <f>((Inputs!$B$6*(1+Inputs!$B$7/100))+(((Inputs!$B$12*(1+Inputs!$B$13/100))-(Inputs!$B$12*(1+Inputs!$B$13/100)))+0.25*(Inputs!$B$14-Inputs!$B$14))*(1+Inputs!$B$7/100))*(F380/100)</f>
        <v/>
      </c>
      <c r="K380">
        <f>J380*(1+((Inputs!$B$12*(1+Inputs!$B$13/100))*0.01+Inputs!$B$14*0.0025)/100)*(1+Inputs!$B$15/100)*(1+Inputs!$B$16/100)*(5000/(6000+Inputs!$B$43*(1-Inputs!$B$19/100)))*(1+(((((1+Inputs!$B$24/100)*(1.01))-1)*100)+((C407=TRUE)*(F407-Calc!F30)))/100)*(1+Skills!R3/100)*(1+(IF(Skills!A3="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380)</f>
        <v/>
      </c>
      <c r="L380">
        <f>K380*(MIN(Inputs!$B$22+((C401=TRUE)*(F401-Calc!F24)),Inputs!$B$23)/100+Inputs!$B$23/100)/2</f>
        <v/>
      </c>
      <c r="M380">
        <f>L380*(1+(Inputs!$B$10+((C403=TRUE)*(F403-Calc!F26))+B420)/100)</f>
        <v/>
      </c>
      <c r="N380">
        <f>L380*(1-MIN((Inputs!$B$9+((C402=TRUE)*(F402-Calc!F25))+B417),100)/100)+M380*(MIN((Inputs!$B$9+((C402=TRUE)*(F402-Calc!F25))+B417),100)/100)</f>
        <v/>
      </c>
      <c r="O380">
        <f>(1-Summary!$B$55)*T380+Summary!$B$55*V380</f>
        <v/>
      </c>
      <c r="P380">
        <f>IF(B421=0,0,O380/B421)</f>
        <v/>
      </c>
      <c r="Q380">
        <f>IFERROR(1/IF(Inputs!$B$39="pvp",15,MAX(0.1,Skills!D3-IF(Skills!E3=TRUE,Inputs!$B$32,0))),0)</f>
        <v/>
      </c>
      <c r="R380">
        <f>IF(AND(Inputs!$B$39&lt;&gt;"pvp",Inputs!$B$44&gt;0),IF(MAX(0,Inputs!$B$44-B422)&lt;=0,0,(INT(MAX(0,Inputs!$B$44-B422)/IF(Inputs!$B$39="pvp",15,MAX(0.1,Skills!D3-IF(Skills!E3=TRUE,Inputs!$B$32,0))))+1)),0)</f>
        <v/>
      </c>
      <c r="S380">
        <f>IFERROR(O380/N380,0)</f>
        <v/>
      </c>
      <c r="T380">
        <f>IF(C380,(H380*N380*IF(AND(Inputs!$B$39&lt;&gt;"pvp",Inputs!$B$44&gt;0),((Skills!G3*((R380-1)*IF(Skills!H3&gt;0,Skills!I3/Skills!H3,1)+IF(Skills!H3&gt;0,MIN(Skills!I3,MAX(0,MAX(0,Inputs!$B$44-B422)-((R380-1)*IF(Inputs!$B$39="pvp",15,MAX(0.1,Skills!D3-IF(Skills!E3=TRUE,Inputs!$B$32,0))))))/Skills!H3,1)))/Inputs!$B$44),G380*Q380))*IF(Inputs!$B$39="pvp",1,1+(Inputs!$B$20+((C404=TRUE)*(F404-Calc!F27))+Skills!P3+B418)/100),0)</f>
        <v/>
      </c>
      <c r="U380">
        <f>INDEX(FactorTable!$B$2:$Y$301, MATCH(ROUND(MIN(300,MAX(1,U379)),0), FactorTable!$A$2:$A$301,0), 24)</f>
        <v/>
      </c>
      <c r="V380">
        <f>IF(C380,(H380*N380*IF(AND(Inputs!$B$39&lt;&gt;"pvp",Inputs!$B$44&gt;0),((Skills!G3*((R380-1)*IF(Skills!H3&gt;0,Skills!I3/Skills!H3,1)+IF(Skills!H3&gt;0,MIN(Skills!I3,MAX(0,MAX(0,Inputs!$B$44-B422)-((R380-1)*IF(Inputs!$B$39="pvp",15,MAX(0.1,Skills!D3-IF(Skills!E3=TRUE,Inputs!$B$32,0))))))/Skills!H3,1)))/Inputs!$B$44),G380*Q380))*IF(Inputs!$B$39="pvp",1,(1+(Inputs!$B$21+Skills!Q3+B418)/100)*(MIN(Skills!W3,Inputs!$B$37))),0)</f>
        <v/>
      </c>
    </row>
    <row r="381">
      <c r="A381">
        <f>Skills!A4</f>
        <v/>
      </c>
      <c r="B381">
        <f>Skills!B4</f>
        <v/>
      </c>
      <c r="C381">
        <f>Inputs!$B$3&gt;=40</f>
        <v/>
      </c>
      <c r="D381">
        <f>IF(Skills!C4=1,60+Inputs!$B$25+Inputs!$B$29,IF(Skills!C4=2,90+Inputs!$B$26+Inputs!$B$29,IF(Skills!C4=3,120+Inputs!$B$27+Inputs!$B$29,MAX(0,(Inputs!$B$3-100)*3)+Inputs!$B$28+Inputs!$B$29)))</f>
        <v/>
      </c>
      <c r="E381">
        <f>INDEX(FactorTable!$B$2:$Y$301, MATCH(ROUND(MIN(300,MAX(1,D381)),0), FactorTable!$A$2:$A$301,0), Skills!M4+1)</f>
        <v/>
      </c>
      <c r="F381">
        <f>IF(Skills!N4=TRUE,(Skills!L4/10)*(E381/1000),Skills!L4/10)+Skills!O4</f>
        <v/>
      </c>
      <c r="G381">
        <f>Calc!G4</f>
        <v/>
      </c>
      <c r="H381">
        <f>Calc!H4</f>
        <v/>
      </c>
      <c r="I381">
        <f>IF(Skills!AA4&lt;&gt;"",1+(Skills!AA4/10)*(U380/1000)/100,1)</f>
        <v/>
      </c>
      <c r="J381">
        <f>((Inputs!$B$6*(1+Inputs!$B$7/100))+(((Inputs!$B$12*(1+Inputs!$B$13/100))-(Inputs!$B$12*(1+Inputs!$B$13/100)))+0.25*(Inputs!$B$14-Inputs!$B$14))*(1+Inputs!$B$7/100))*(F381/100)</f>
        <v/>
      </c>
      <c r="K381">
        <f>J381*(1+((Inputs!$B$12*(1+Inputs!$B$13/100))*0.01+Inputs!$B$14*0.0025)/100)*(1+Inputs!$B$15/100)*(1+Inputs!$B$16/100)*(5000/(6000+Inputs!$B$43*(1-Inputs!$B$19/100)))*(1+(((((1+Inputs!$B$24/100)*(1.01))-1)*100)+((C407=TRUE)*(F407-Calc!F30)))/100)*(1+Skills!R4/100)*(1+(IF(Skills!A4="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381)</f>
        <v/>
      </c>
      <c r="L381">
        <f>K381*(MIN(Inputs!$B$22+((C401=TRUE)*(F401-Calc!F24)),Inputs!$B$23)/100+Inputs!$B$23/100)/2</f>
        <v/>
      </c>
      <c r="M381">
        <f>L381*(1+(Inputs!$B$10+((C403=TRUE)*(F403-Calc!F26))+B420)/100)</f>
        <v/>
      </c>
      <c r="N381">
        <f>L381*(1-MIN((Inputs!$B$9+((C402=TRUE)*(F402-Calc!F25))+B417),100)/100)+M381*(MIN((Inputs!$B$9+((C402=TRUE)*(F402-Calc!F25))+B417),100)/100)</f>
        <v/>
      </c>
      <c r="O381">
        <f>(1-Summary!$B$55)*T381+Summary!$B$55*V381</f>
        <v/>
      </c>
      <c r="P381">
        <f>IF(B421=0,0,O381/B421)</f>
        <v/>
      </c>
      <c r="Q381">
        <f>IFERROR(1/IF(Inputs!$B$39="pvp",15,MAX(0.1,Skills!D4-IF(Skills!E4=TRUE,Inputs!$B$32,0))),0)</f>
        <v/>
      </c>
      <c r="R381">
        <f>IF(AND(Inputs!$B$39&lt;&gt;"pvp",Inputs!$B$44&gt;0),IF(MAX(0,Inputs!$B$44-B422)&lt;=0,0,(INT(MAX(0,Inputs!$B$44-B422)/IF(Inputs!$B$39="pvp",15,MAX(0.1,Skills!D4-IF(Skills!E4=TRUE,Inputs!$B$32,0))))+1)),0)</f>
        <v/>
      </c>
      <c r="S381">
        <f>IFERROR(O381/N381,0)</f>
        <v/>
      </c>
      <c r="T381">
        <f>IF(C381,(H381*N381*IF(AND(Inputs!$B$39&lt;&gt;"pvp",Inputs!$B$44&gt;0),((Skills!G4*((R381-1)*IF(Skills!H4&gt;0,Skills!I4/Skills!H4,1)+IF(Skills!H4&gt;0,MIN(Skills!I4,MAX(0,MAX(0,Inputs!$B$44-B422)-((R381-1)*IF(Inputs!$B$39="pvp",15,MAX(0.1,Skills!D4-IF(Skills!E4=TRUE,Inputs!$B$32,0))))))/Skills!H4,1)))/Inputs!$B$44),G381*Q381))*IF(Inputs!$B$39="pvp",1,1+(Inputs!$B$20+((C404=TRUE)*(F404-Calc!F27))+Skills!P4+B418)/100),0)</f>
        <v/>
      </c>
      <c r="U381">
        <f>MAX(0,(Inputs!$B$3-100)*3)+Inputs!$B$28+Inputs!$B$29</f>
        <v/>
      </c>
      <c r="V381">
        <f>IF(C381,(H381*N381*IF(AND(Inputs!$B$39&lt;&gt;"pvp",Inputs!$B$44&gt;0),((Skills!G4*((R381-1)*IF(Skills!H4&gt;0,Skills!I4/Skills!H4,1)+IF(Skills!H4&gt;0,MIN(Skills!I4,MAX(0,MAX(0,Inputs!$B$44-B422)-((R381-1)*IF(Inputs!$B$39="pvp",15,MAX(0.1,Skills!D4-IF(Skills!E4=TRUE,Inputs!$B$32,0))))))/Skills!H4,1)))/Inputs!$B$44),G381*Q381))*IF(Inputs!$B$39="pvp",1,(1+(Inputs!$B$21+Skills!Q4+B418)/100)*(MIN(Skills!W4,Inputs!$B$37))),0)</f>
        <v/>
      </c>
    </row>
    <row r="382">
      <c r="A382">
        <f>Skills!A5</f>
        <v/>
      </c>
      <c r="B382">
        <f>Skills!B5</f>
        <v/>
      </c>
      <c r="C382">
        <f>Inputs!$B$3&gt;=63</f>
        <v/>
      </c>
      <c r="D382">
        <f>IF(Skills!C5=1,60+Inputs!$B$25+Inputs!$B$29,IF(Skills!C5=2,90+Inputs!$B$26+Inputs!$B$29,IF(Skills!C5=3,120+Inputs!$B$27+Inputs!$B$29,MAX(0,(Inputs!$B$3-100)*3)+Inputs!$B$28+Inputs!$B$29)))</f>
        <v/>
      </c>
      <c r="E382">
        <f>INDEX(FactorTable!$B$2:$Y$301, MATCH(ROUND(MIN(300,MAX(1,D382)),0), FactorTable!$A$2:$A$301,0), Skills!M5+1)</f>
        <v/>
      </c>
      <c r="F382">
        <f>IF(Skills!N5=TRUE,(Skills!L5/10)*(E382/1000),Skills!L5/10)+Skills!O5</f>
        <v/>
      </c>
      <c r="G382">
        <f>Calc!G5</f>
        <v/>
      </c>
      <c r="H382">
        <f>Calc!H5</f>
        <v/>
      </c>
      <c r="I382">
        <f>IF(Skills!AA5&lt;&gt;"",1+(Skills!AA5/10)*(U380/1000)/100,1)</f>
        <v/>
      </c>
      <c r="J382">
        <f>((Inputs!$B$6*(1+Inputs!$B$7/100))+(((Inputs!$B$12*(1+Inputs!$B$13/100))-(Inputs!$B$12*(1+Inputs!$B$13/100)))+0.25*(Inputs!$B$14-Inputs!$B$14))*(1+Inputs!$B$7/100))*(F382/100)</f>
        <v/>
      </c>
      <c r="K382">
        <f>J382*(1+((Inputs!$B$12*(1+Inputs!$B$13/100))*0.01+Inputs!$B$14*0.0025)/100)*(1+Inputs!$B$15/100)*(1+Inputs!$B$16/100)*(5000/(6000+Inputs!$B$43*(1-Inputs!$B$19/100)))*(1+(((((1+Inputs!$B$24/100)*(1.01))-1)*100)+((C407=TRUE)*(F407-Calc!F30)))/100)*(1+Skills!R5/100)*(1+(IF(Skills!A5="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382)</f>
        <v/>
      </c>
      <c r="L382">
        <f>K382*(MIN(Inputs!$B$22+((C401=TRUE)*(F401-Calc!F24)),Inputs!$B$23)/100+Inputs!$B$23/100)/2</f>
        <v/>
      </c>
      <c r="M382">
        <f>L382*(1+(Inputs!$B$10+((C403=TRUE)*(F403-Calc!F26))+B420)/100)</f>
        <v/>
      </c>
      <c r="N382">
        <f>L382*(1-MIN((Inputs!$B$9+((C402=TRUE)*(F402-Calc!F25))+B417),100)/100)+M382*(MIN((Inputs!$B$9+((C402=TRUE)*(F402-Calc!F25))+B417),100)/100)</f>
        <v/>
      </c>
      <c r="O382">
        <f>(1-Summary!$B$55)*T382+Summary!$B$55*V382</f>
        <v/>
      </c>
      <c r="P382">
        <f>IF(B421=0,0,O382/B421)</f>
        <v/>
      </c>
      <c r="Q382">
        <f>IFERROR(1/IF(Inputs!$B$39="pvp",15,MAX(0.1,Skills!D5-IF(Skills!E5=TRUE,Inputs!$B$32,0))),0)</f>
        <v/>
      </c>
      <c r="R382">
        <f>IF(AND(Inputs!$B$39&lt;&gt;"pvp",Inputs!$B$44&gt;0),IF(MAX(0,Inputs!$B$44-B422)&lt;=0,0,(INT(MAX(0,Inputs!$B$44-B422)/IF(Inputs!$B$39="pvp",15,MAX(0.1,Skills!D5-IF(Skills!E5=TRUE,Inputs!$B$32,0))))+1)),0)</f>
        <v/>
      </c>
      <c r="S382">
        <f>IFERROR(O382/N382,0)</f>
        <v/>
      </c>
      <c r="T382">
        <f>IF(C382,(H382*N382*IF(AND(Inputs!$B$39&lt;&gt;"pvp",Inputs!$B$44&gt;0),((Skills!G5*((R382-1)*IF(Skills!H5&gt;0,Skills!I5/Skills!H5,1)+IF(Skills!H5&gt;0,MIN(Skills!I5,MAX(0,MAX(0,Inputs!$B$44-B422)-((R382-1)*IF(Inputs!$B$39="pvp",15,MAX(0.1,Skills!D5-IF(Skills!E5=TRUE,Inputs!$B$32,0))))))/Skills!H5,1)))/Inputs!$B$44),G382*Q382))*IF(Inputs!$B$39="pvp",1,1+(Inputs!$B$20+((C404=TRUE)*(F404-Calc!F27))+Skills!P5+B418)/100),0)</f>
        <v/>
      </c>
      <c r="U382">
        <f>INDEX(FactorTable!$B$2:$Y$301, MATCH(ROUND(MIN(300,MAX(1,U381)),0), FactorTable!$A$2:$A$301,0), 22)</f>
        <v/>
      </c>
      <c r="V382">
        <f>IF(C382,(H382*N382*IF(AND(Inputs!$B$39&lt;&gt;"pvp",Inputs!$B$44&gt;0),((Skills!G5*((R382-1)*IF(Skills!H5&gt;0,Skills!I5/Skills!H5,1)+IF(Skills!H5&gt;0,MIN(Skills!I5,MAX(0,MAX(0,Inputs!$B$44-B422)-((R382-1)*IF(Inputs!$B$39="pvp",15,MAX(0.1,Skills!D5-IF(Skills!E5=TRUE,Inputs!$B$32,0))))))/Skills!H5,1)))/Inputs!$B$44),G382*Q382))*IF(Inputs!$B$39="pvp",1,(1+(Inputs!$B$21+Skills!Q5+B418)/100)*(MIN(Skills!W5,Inputs!$B$37))),0)</f>
        <v/>
      </c>
    </row>
    <row r="383">
      <c r="A383">
        <f>Skills!A6</f>
        <v/>
      </c>
      <c r="B383">
        <f>Skills!B6</f>
        <v/>
      </c>
      <c r="C383">
        <f>Inputs!$B$3&gt;=66</f>
        <v/>
      </c>
      <c r="D383">
        <f>IF(Skills!C6=1,60+Inputs!$B$25+Inputs!$B$29,IF(Skills!C6=2,90+Inputs!$B$26+Inputs!$B$29,IF(Skills!C6=3,120+Inputs!$B$27+Inputs!$B$29,MAX(0,(Inputs!$B$3-100)*3)+Inputs!$B$28+Inputs!$B$29)))</f>
        <v/>
      </c>
      <c r="E383">
        <f>INDEX(FactorTable!$B$2:$Y$301, MATCH(ROUND(MIN(300,MAX(1,D383)),0), FactorTable!$A$2:$A$301,0), Skills!M6+1)</f>
        <v/>
      </c>
      <c r="F383">
        <f>IF(Skills!N6=TRUE,(Skills!L6/10)*(E383/1000),Skills!L6/10)+Skills!O6</f>
        <v/>
      </c>
      <c r="G383">
        <f>Calc!G6</f>
        <v/>
      </c>
      <c r="H383">
        <f>Calc!H6</f>
        <v/>
      </c>
      <c r="I383">
        <f>IF(Skills!AA6&lt;&gt;"",1+(Skills!AA6/10)*(U380/1000)/100,1)</f>
        <v/>
      </c>
      <c r="J383" t="inlineStr"/>
      <c r="K383" t="inlineStr"/>
      <c r="L383" t="inlineStr"/>
      <c r="M383" t="inlineStr"/>
      <c r="N383" t="inlineStr"/>
      <c r="O383">
        <f>(1-Summary!$B$55)*T383+Summary!$B$55*V383</f>
        <v/>
      </c>
      <c r="P383">
        <f>IF(B421=0,0,O383/B421)</f>
        <v/>
      </c>
      <c r="Q383" t="n">
        <v>0</v>
      </c>
      <c r="R383" t="n">
        <v>0</v>
      </c>
      <c r="S383">
        <f>IFERROR(O383/N383,0)</f>
        <v/>
      </c>
      <c r="T383" t="n">
        <v>0</v>
      </c>
      <c r="U383">
        <f>290*U382/1000</f>
        <v/>
      </c>
      <c r="V383" t="n">
        <v>0</v>
      </c>
    </row>
    <row r="384">
      <c r="A384">
        <f>Skills!A7</f>
        <v/>
      </c>
      <c r="B384">
        <f>Skills!B7</f>
        <v/>
      </c>
      <c r="C384">
        <f>Inputs!$B$3&gt;=66</f>
        <v/>
      </c>
      <c r="D384">
        <f>IF(Skills!C7=1,60+Inputs!$B$25+Inputs!$B$29,IF(Skills!C7=2,90+Inputs!$B$26+Inputs!$B$29,IF(Skills!C7=3,120+Inputs!$B$27+Inputs!$B$29,MAX(0,(Inputs!$B$3-100)*3)+Inputs!$B$28+Inputs!$B$29)))</f>
        <v/>
      </c>
      <c r="E384">
        <f>INDEX(FactorTable!$B$2:$Y$301, MATCH(ROUND(MIN(300,MAX(1,D384)),0), FactorTable!$A$2:$A$301,0), Skills!M7+1)</f>
        <v/>
      </c>
      <c r="F384">
        <f>IF(Skills!N7=TRUE,(Skills!L7/10)*(E384/1000),Skills!L7/10)+Skills!O7</f>
        <v/>
      </c>
      <c r="G384">
        <f>Calc!G7</f>
        <v/>
      </c>
      <c r="H384">
        <f>Calc!H7</f>
        <v/>
      </c>
      <c r="I384">
        <f>IF(Skills!AA7&lt;&gt;"",1+(Skills!AA7/10)*(U380/1000)/100,1)</f>
        <v/>
      </c>
      <c r="J384" t="inlineStr"/>
      <c r="K384" t="inlineStr"/>
      <c r="L384" t="inlineStr"/>
      <c r="M384" t="inlineStr"/>
      <c r="N384" t="inlineStr"/>
      <c r="O384">
        <f>(1-Summary!$B$55)*T384+Summary!$B$55*V384</f>
        <v/>
      </c>
      <c r="P384">
        <f>IF(B421=0,0,O384/B421)</f>
        <v/>
      </c>
      <c r="Q384" t="n">
        <v>0</v>
      </c>
      <c r="R384" t="n">
        <v>0</v>
      </c>
      <c r="S384">
        <f>IFERROR(O384/N384,0)</f>
        <v/>
      </c>
      <c r="T384" t="n">
        <v>0</v>
      </c>
      <c r="V384" t="n">
        <v>0</v>
      </c>
    </row>
    <row r="385">
      <c r="A385">
        <f>Skills!A8</f>
        <v/>
      </c>
      <c r="B385">
        <f>Skills!B8</f>
        <v/>
      </c>
      <c r="C385">
        <f>Inputs!$B$3&gt;=69</f>
        <v/>
      </c>
      <c r="D385">
        <f>IF(Skills!C8=1,60+Inputs!$B$25+Inputs!$B$29,IF(Skills!C8=2,90+Inputs!$B$26+Inputs!$B$29,IF(Skills!C8=3,120+Inputs!$B$27+Inputs!$B$29,MAX(0,(Inputs!$B$3-100)*3)+Inputs!$B$28+Inputs!$B$29)))</f>
        <v/>
      </c>
      <c r="E385">
        <f>INDEX(FactorTable!$B$2:$Y$301, MATCH(ROUND(MIN(300,MAX(1,D385)),0), FactorTable!$A$2:$A$301,0), Skills!M8+1)</f>
        <v/>
      </c>
      <c r="F385">
        <f>IF(Skills!N8=TRUE,(Skills!L8/10)*(E385/1000),Skills!L8/10)+Skills!O8</f>
        <v/>
      </c>
      <c r="G385">
        <f>Calc!G8</f>
        <v/>
      </c>
      <c r="H385">
        <f>Calc!H8</f>
        <v/>
      </c>
      <c r="I385">
        <f>IF(Skills!AA8&lt;&gt;"",1+(Skills!AA8/10)*(U380/1000)/100,1)</f>
        <v/>
      </c>
      <c r="J385">
        <f>((Inputs!$B$6*(1+Inputs!$B$7/100))+(((Inputs!$B$12*(1+Inputs!$B$13/100))-(Inputs!$B$12*(1+Inputs!$B$13/100)))+0.25*(Inputs!$B$14-Inputs!$B$14))*(1+Inputs!$B$7/100))*(F385/100)</f>
        <v/>
      </c>
      <c r="K385">
        <f>J385*(1+((Inputs!$B$12*(1+Inputs!$B$13/100))*0.01+Inputs!$B$14*0.0025)/100)*(1+Inputs!$B$15/100)*(1+Inputs!$B$16/100)*(5000/(6000+Inputs!$B$43*(1-Inputs!$B$19/100)))*(1+(((((1+Inputs!$B$24/100)*(1.01))-1)*100)+((C407=TRUE)*(F407-Calc!F30)))/100)*(1+Skills!R8/100)*(1+(IF(Skills!A8="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385)</f>
        <v/>
      </c>
      <c r="L385">
        <f>K385*(MIN(Inputs!$B$22+((C401=TRUE)*(F401-Calc!F24)),Inputs!$B$23)/100+Inputs!$B$23/100)/2</f>
        <v/>
      </c>
      <c r="M385">
        <f>L385*(1+(Inputs!$B$10+((C403=TRUE)*(F403-Calc!F26))+B420)/100)</f>
        <v/>
      </c>
      <c r="N385">
        <f>L385*(1-MIN((Inputs!$B$9+((C402=TRUE)*(F402-Calc!F25))+B417),100)/100)+M385*(MIN((Inputs!$B$9+((C402=TRUE)*(F402-Calc!F25))+B417),100)/100)</f>
        <v/>
      </c>
      <c r="O385">
        <f>(1-Summary!$B$55)*T385+Summary!$B$55*V385</f>
        <v/>
      </c>
      <c r="P385">
        <f>IF(B421=0,0,O385/B421)</f>
        <v/>
      </c>
      <c r="Q385">
        <f>IFERROR(1/IF(Inputs!$B$39="pvp",15,MAX(0.1,Skills!D8-IF(Skills!E8=TRUE,Inputs!$B$32,0))),0)</f>
        <v/>
      </c>
      <c r="R385">
        <f>IF(AND(Inputs!$B$39&lt;&gt;"pvp",Inputs!$B$44&gt;0),IF(MAX(0,Inputs!$B$44-B422)&lt;=0,0,(INT(MAX(0,Inputs!$B$44-B422)/IF(Inputs!$B$39="pvp",15,MAX(0.1,Skills!D8-IF(Skills!E8=TRUE,Inputs!$B$32,0))))+1)),0)</f>
        <v/>
      </c>
      <c r="S385">
        <f>IFERROR(O385/N385,0)</f>
        <v/>
      </c>
      <c r="T385">
        <f>IF(C385,(H385*N385*IF(AND(Inputs!$B$39&lt;&gt;"pvp",Inputs!$B$44&gt;0),((Skills!G8*((R385-1)*IF(Skills!H8&gt;0,Skills!I8/Skills!H8,1)+IF(Skills!H8&gt;0,MIN(Skills!I8,MAX(0,MAX(0,Inputs!$B$44-B422)-((R385-1)*IF(Inputs!$B$39="pvp",15,MAX(0.1,Skills!D8-IF(Skills!E8=TRUE,Inputs!$B$32,0))))))/Skills!H8,1)))/Inputs!$B$44),G385*Q385))*IF(Inputs!$B$39="pvp",1,1+(Inputs!$B$20+((C404=TRUE)*(F404-Calc!F27))+Skills!P8+B418)/100),0)</f>
        <v/>
      </c>
      <c r="V385">
        <f>IF(C385,(H385*N385*IF(AND(Inputs!$B$39&lt;&gt;"pvp",Inputs!$B$44&gt;0),((Skills!G8*((R385-1)*IF(Skills!H8&gt;0,Skills!I8/Skills!H8,1)+IF(Skills!H8&gt;0,MIN(Skills!I8,MAX(0,MAX(0,Inputs!$B$44-B422)-((R385-1)*IF(Inputs!$B$39="pvp",15,MAX(0.1,Skills!D8-IF(Skills!E8=TRUE,Inputs!$B$32,0))))))/Skills!H8,1)))/Inputs!$B$44),G385*Q385))*IF(Inputs!$B$39="pvp",1,(1+(Inputs!$B$21+Skills!Q8+B418)/100)*(MIN(Skills!W8,Inputs!$B$37))),0)</f>
        <v/>
      </c>
    </row>
    <row r="386">
      <c r="A386">
        <f>Skills!A9</f>
        <v/>
      </c>
      <c r="B386">
        <f>Skills!B9</f>
        <v/>
      </c>
      <c r="C386">
        <f>Inputs!$B$3&gt;=72</f>
        <v/>
      </c>
      <c r="D386">
        <f>IF(Skills!C9=1,60+Inputs!$B$25+Inputs!$B$29,IF(Skills!C9=2,90+Inputs!$B$26+Inputs!$B$29,IF(Skills!C9=3,120+Inputs!$B$27+Inputs!$B$29,MAX(0,(Inputs!$B$3-100)*3)+Inputs!$B$28+Inputs!$B$29)))</f>
        <v/>
      </c>
      <c r="E386">
        <f>INDEX(FactorTable!$B$2:$Y$301, MATCH(ROUND(MIN(300,MAX(1,D386)),0), FactorTable!$A$2:$A$301,0), Skills!M9+1)</f>
        <v/>
      </c>
      <c r="F386">
        <f>IF(Skills!N9=TRUE,(Skills!L9/10)*(E386/1000),Skills!L9/10)+Skills!O9</f>
        <v/>
      </c>
      <c r="G386">
        <f>Calc!G9</f>
        <v/>
      </c>
      <c r="H386">
        <f>Calc!H9</f>
        <v/>
      </c>
      <c r="I386">
        <f>IF(Skills!AA9&lt;&gt;"",1+(Skills!AA9/10)*(U380/1000)/100,1)</f>
        <v/>
      </c>
      <c r="J386">
        <f>((Inputs!$B$6*(1+Inputs!$B$7/100))+(((Inputs!$B$12*(1+Inputs!$B$13/100))-(Inputs!$B$12*(1+Inputs!$B$13/100)))+0.25*(Inputs!$B$14-Inputs!$B$14))*(1+Inputs!$B$7/100))*(F386/100)</f>
        <v/>
      </c>
      <c r="K386">
        <f>J386*(1+((Inputs!$B$12*(1+Inputs!$B$13/100))*0.01+Inputs!$B$14*0.0025)/100)*(1+Inputs!$B$15/100)*(1+Inputs!$B$16/100)*(5000/(6000+Inputs!$B$43*(1-Inputs!$B$19/100)))*(1+(((((1+Inputs!$B$24/100)*(1.01))-1)*100)+((C407=TRUE)*(F407-Calc!F30)))/100)*(1+Skills!R9/100)*(1+(IF(Skills!A9="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386)</f>
        <v/>
      </c>
      <c r="L386">
        <f>K386*(MIN(Inputs!$B$22+((C401=TRUE)*(F401-Calc!F24)),Inputs!$B$23)/100+Inputs!$B$23/100)/2</f>
        <v/>
      </c>
      <c r="M386">
        <f>L386*(1+(Inputs!$B$10+((C403=TRUE)*(F403-Calc!F26))+B420)/100)</f>
        <v/>
      </c>
      <c r="N386">
        <f>L386*(1-MIN((Inputs!$B$9+((C402=TRUE)*(F402-Calc!F25))+B417),100)/100)+M386*(MIN((Inputs!$B$9+((C402=TRUE)*(F402-Calc!F25))+B417),100)/100)</f>
        <v/>
      </c>
      <c r="O386">
        <f>(1-Summary!$B$55)*T386+Summary!$B$55*V386</f>
        <v/>
      </c>
      <c r="P386">
        <f>IF(B421=0,0,O386/B421)</f>
        <v/>
      </c>
      <c r="Q386">
        <f>IFERROR(1/IF(Inputs!$B$39="pvp",15,MAX(0.1,Skills!D9-IF(Skills!E9=TRUE,Inputs!$B$32,0))),0)</f>
        <v/>
      </c>
      <c r="R386">
        <f>IF(AND(Inputs!$B$39&lt;&gt;"pvp",Inputs!$B$44&gt;0),IF(MAX(0,Inputs!$B$44-B422)&lt;=0,0,(INT(MAX(0,Inputs!$B$44-B422)/IF(Inputs!$B$39="pvp",15,MAX(0.1,Skills!D9-IF(Skills!E9=TRUE,Inputs!$B$32,0))))+1)),0)</f>
        <v/>
      </c>
      <c r="S386">
        <f>IFERROR(O386/N386,0)</f>
        <v/>
      </c>
      <c r="T386">
        <f>IF(C386,(H386*N386*IF(AND(Inputs!$B$39&lt;&gt;"pvp",Inputs!$B$44&gt;0),((Skills!G9*((R386-1)*IF(Skills!H9&gt;0,Skills!I9/Skills!H9,1)+IF(Skills!H9&gt;0,MIN(Skills!I9,MAX(0,MAX(0,Inputs!$B$44-B422)-((R386-1)*IF(Inputs!$B$39="pvp",15,MAX(0.1,Skills!D9-IF(Skills!E9=TRUE,Inputs!$B$32,0))))))/Skills!H9,1)))/Inputs!$B$44),G386*Q386))*IF(Inputs!$B$39="pvp",1,1+(Inputs!$B$20+((C404=TRUE)*(F404-Calc!F27))+Skills!P9+B418)/100),0)</f>
        <v/>
      </c>
      <c r="V386">
        <f>IF(C386,(H386*N386*IF(AND(Inputs!$B$39&lt;&gt;"pvp",Inputs!$B$44&gt;0),((Skills!G9*((R386-1)*IF(Skills!H9&gt;0,Skills!I9/Skills!H9,1)+IF(Skills!H9&gt;0,MIN(Skills!I9,MAX(0,MAX(0,Inputs!$B$44-B422)-((R386-1)*IF(Inputs!$B$39="pvp",15,MAX(0.1,Skills!D9-IF(Skills!E9=TRUE,Inputs!$B$32,0))))))/Skills!H9,1)))/Inputs!$B$44),G386*Q386))*IF(Inputs!$B$39="pvp",1,(1+(Inputs!$B$21+Skills!Q9+B418)/100)*(MIN(Skills!W9,Inputs!$B$37))),0)</f>
        <v/>
      </c>
    </row>
    <row r="387">
      <c r="A387">
        <f>Skills!A10</f>
        <v/>
      </c>
      <c r="B387">
        <f>Skills!B10</f>
        <v/>
      </c>
      <c r="C387">
        <f>Inputs!$B$3&gt;=117</f>
        <v/>
      </c>
      <c r="D387">
        <f>IF(Skills!C10=1,60+Inputs!$B$25+Inputs!$B$29,IF(Skills!C10=2,90+Inputs!$B$26+Inputs!$B$29,IF(Skills!C10=3,120+Inputs!$B$27+Inputs!$B$29,MAX(0,(Inputs!$B$3-100)*3)+Inputs!$B$28+Inputs!$B$29)))</f>
        <v/>
      </c>
      <c r="E387">
        <f>INDEX(FactorTable!$B$2:$Y$301, MATCH(ROUND(MIN(300,MAX(1,D387)),0), FactorTable!$A$2:$A$301,0), Skills!M10+1)</f>
        <v/>
      </c>
      <c r="F387">
        <f>IF(Skills!N10=TRUE,(Skills!L10/10)*(E387/1000),Skills!L10/10)+Skills!O10</f>
        <v/>
      </c>
      <c r="G387">
        <f>Calc!G10</f>
        <v/>
      </c>
      <c r="H387">
        <f>Calc!H10</f>
        <v/>
      </c>
      <c r="I387">
        <f>IF(Skills!AA10&lt;&gt;"",1+(Skills!AA10/10)*(U380/1000)/100,1)</f>
        <v/>
      </c>
      <c r="J387">
        <f>((Inputs!$B$6*(1+Inputs!$B$7/100))+(((Inputs!$B$12*(1+Inputs!$B$13/100))-(Inputs!$B$12*(1+Inputs!$B$13/100)))+0.25*(Inputs!$B$14-Inputs!$B$14))*(1+Inputs!$B$7/100))*(F387/100)</f>
        <v/>
      </c>
      <c r="K387">
        <f>J387*(1+((Inputs!$B$12*(1+Inputs!$B$13/100))*0.01+Inputs!$B$14*0.0025)/100)*(1+Inputs!$B$15/100)*(1+Inputs!$B$16/100)*(5000/(6000+Inputs!$B$43*(1-Inputs!$B$19/100)))*(1+(((((1+Inputs!$B$24/100)*(1.01))-1)*100)+((C407=TRUE)*(F407-Calc!F30)))/100)*(1+Skills!R10/100)*(1+(IF(Skills!A10="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387)</f>
        <v/>
      </c>
      <c r="L387">
        <f>K387*(MIN(Inputs!$B$22+((C401=TRUE)*(F401-Calc!F24)),Inputs!$B$23)/100+Inputs!$B$23/100)/2</f>
        <v/>
      </c>
      <c r="M387">
        <f>L387*(1+(Inputs!$B$10+((C403=TRUE)*(F403-Calc!F26))+B420)/100)</f>
        <v/>
      </c>
      <c r="N387">
        <f>L387*(1-MIN((Inputs!$B$9+((C402=TRUE)*(F402-Calc!F25))+B417),100)/100)+M387*(MIN((Inputs!$B$9+((C402=TRUE)*(F402-Calc!F25))+B417),100)/100)</f>
        <v/>
      </c>
      <c r="O387">
        <f>(1-Summary!$B$55)*T387+Summary!$B$55*V387</f>
        <v/>
      </c>
      <c r="P387">
        <f>IF(B421=0,0,O387/B421)</f>
        <v/>
      </c>
      <c r="Q387" t="n">
        <v>0</v>
      </c>
      <c r="R387" t="n">
        <v>0</v>
      </c>
      <c r="S387" t="n">
        <v>0</v>
      </c>
      <c r="T387">
        <f>IF(C387,(0.2*SUMPRODUCT((Skills!Z2:Z31=TRUE)*(C379:C408=TRUE)*S379:S408)*N387)*IF(Inputs!$B$39="pvp",1,1+(Inputs!$B$20+((C404=TRUE)*(F404-Calc!F27))+Skills!P10+B418)/100),0)</f>
        <v/>
      </c>
      <c r="V387">
        <f>IF(C387,(0.2*SUMPRODUCT((Skills!Z2:Z31=TRUE)*(C379:C408=TRUE)*S379:S408)*N387)*IF(Inputs!$B$39="pvp",1,(1+(Inputs!$B$21+Skills!Q10+B418)/100)*(MIN(Skills!W10,Inputs!$B$37))),0)</f>
        <v/>
      </c>
    </row>
    <row r="388">
      <c r="A388">
        <f>Skills!A11</f>
        <v/>
      </c>
      <c r="B388">
        <f>Skills!B11</f>
        <v/>
      </c>
      <c r="C388">
        <f>Inputs!$B$3&gt;=60</f>
        <v/>
      </c>
      <c r="D388">
        <f>IF(Skills!C11=1,60+Inputs!$B$25+Inputs!$B$29,IF(Skills!C11=2,90+Inputs!$B$26+Inputs!$B$29,IF(Skills!C11=3,120+Inputs!$B$27+Inputs!$B$29,MAX(0,(Inputs!$B$3-100)*3)+Inputs!$B$28+Inputs!$B$29)))</f>
        <v/>
      </c>
      <c r="E388">
        <f>INDEX(FactorTable!$B$2:$Y$301, MATCH(ROUND(MIN(300,MAX(1,D388)),0), FactorTable!$A$2:$A$301,0), Skills!M11+1)</f>
        <v/>
      </c>
      <c r="F388">
        <f>IF(Skills!N11=TRUE,(Skills!L11/10)*(E388/1000),Skills!L11/10)+Skills!O11</f>
        <v/>
      </c>
      <c r="G388">
        <f>Calc!G11</f>
        <v/>
      </c>
      <c r="H388">
        <f>Calc!H11</f>
        <v/>
      </c>
      <c r="I388">
        <f>IF(Skills!AA11&lt;&gt;"",1+(Skills!AA11/10)*(U380/1000)/100,1)</f>
        <v/>
      </c>
      <c r="J388" t="inlineStr"/>
      <c r="K388" t="inlineStr"/>
      <c r="L388" t="inlineStr"/>
      <c r="M388" t="inlineStr"/>
      <c r="N388" t="inlineStr"/>
      <c r="O388">
        <f>(1-Summary!$B$55)*T388+Summary!$B$55*V388</f>
        <v/>
      </c>
      <c r="P388">
        <f>IF(B421=0,0,O388/B421)</f>
        <v/>
      </c>
      <c r="Q388" t="n">
        <v>0</v>
      </c>
      <c r="R388" t="n">
        <v>0</v>
      </c>
      <c r="S388">
        <f>IFERROR(O388/N388,0)</f>
        <v/>
      </c>
      <c r="T388" t="n">
        <v>0</v>
      </c>
      <c r="V388" t="n">
        <v>0</v>
      </c>
    </row>
    <row r="389">
      <c r="A389">
        <f>Skills!A12</f>
        <v/>
      </c>
      <c r="B389">
        <f>Skills!B12</f>
        <v/>
      </c>
      <c r="C389">
        <f>Inputs!$B$3&gt;=103</f>
        <v/>
      </c>
      <c r="D389">
        <f>IF(Skills!C12=1,60+Inputs!$B$25+Inputs!$B$29,IF(Skills!C12=2,90+Inputs!$B$26+Inputs!$B$29,IF(Skills!C12=3,120+Inputs!$B$27+Inputs!$B$29,MAX(0,(Inputs!$B$3-100)*3)+Inputs!$B$28+Inputs!$B$29)))</f>
        <v/>
      </c>
      <c r="E389">
        <f>INDEX(FactorTable!$B$2:$Y$301, MATCH(ROUND(MIN(300,MAX(1,D389)),0), FactorTable!$A$2:$A$301,0), Skills!M12+1)</f>
        <v/>
      </c>
      <c r="F389">
        <f>IF(Skills!N12=TRUE,(Skills!L12/10)*(E389/1000),Skills!L12/10)+Skills!O12</f>
        <v/>
      </c>
      <c r="G389">
        <f>Calc!G12</f>
        <v/>
      </c>
      <c r="H389">
        <f>Calc!H12</f>
        <v/>
      </c>
      <c r="I389">
        <f>IF(Skills!AA12&lt;&gt;"",1+(Skills!AA12/10)*(U380/1000)/100,1)</f>
        <v/>
      </c>
      <c r="J389">
        <f>((Inputs!$B$6*(1+Inputs!$B$7/100))+(((Inputs!$B$12*(1+Inputs!$B$13/100))-(Inputs!$B$12*(1+Inputs!$B$13/100)))+0.25*(Inputs!$B$14-Inputs!$B$14))*(1+Inputs!$B$7/100))*(F389/100)</f>
        <v/>
      </c>
      <c r="K389">
        <f>J389*(1+((Inputs!$B$12*(1+Inputs!$B$13/100))*0.01+Inputs!$B$14*0.0025)/100)*(1+Inputs!$B$15/100)*(1+Inputs!$B$16/100)*(5000/(6000+Inputs!$B$43*(1-Inputs!$B$19/100)))*(1+(((((1+Inputs!$B$24/100)*(1.01))-1)*100)+((C407=TRUE)*(F407-Calc!F30)))/100)*(1+Skills!R12/100)*(1+(IF(Skills!A12="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389)</f>
        <v/>
      </c>
      <c r="L389">
        <f>K389*(MIN(Inputs!$B$22+((C401=TRUE)*(F401-Calc!F24)),Inputs!$B$23)/100+Inputs!$B$23/100)/2</f>
        <v/>
      </c>
      <c r="M389">
        <f>L389*(1+(Inputs!$B$10+((C403=TRUE)*(F403-Calc!F26))+B420)/100)</f>
        <v/>
      </c>
      <c r="N389">
        <f>L389*(1-MIN((Inputs!$B$9+((C402=TRUE)*(F402-Calc!F25))+B417),100)/100)+M389*(MIN((Inputs!$B$9+((C402=TRUE)*(F402-Calc!F25))+B417),100)/100)</f>
        <v/>
      </c>
      <c r="O389">
        <f>(1-Summary!$B$55)*T389+Summary!$B$55*V389</f>
        <v/>
      </c>
      <c r="P389">
        <f>IF(B421=0,0,O389/B421)</f>
        <v/>
      </c>
      <c r="Q389">
        <f>IFERROR(1/IF(Inputs!$B$39="pvp",15,MAX(0.1,Skills!D12-IF(Skills!E12=TRUE,Inputs!$B$32,0))),0)</f>
        <v/>
      </c>
      <c r="R389">
        <f>IF(AND(Inputs!$B$39&lt;&gt;"pvp",Inputs!$B$44&gt;0),IF(MAX(0,Inputs!$B$44-B422)&lt;=0,0,(INT(MAX(0,Inputs!$B$44-B422)/IF(Inputs!$B$39="pvp",15,MAX(0.1,Skills!D12-IF(Skills!E12=TRUE,Inputs!$B$32,0))))+1)),0)</f>
        <v/>
      </c>
      <c r="S389">
        <f>IFERROR(O389/N389,0)</f>
        <v/>
      </c>
      <c r="T389">
        <f>IF(C389,(H389*N389*IF(AND(Inputs!$B$39&lt;&gt;"pvp",Inputs!$B$44&gt;0),((Skills!G12*((R389-1)*IF(Skills!H12&gt;0,Skills!I12/Skills!H12,1)+IF(Skills!H12&gt;0,MIN(Skills!I12,MAX(0,MAX(0,Inputs!$B$44-B422)-((R389-1)*IF(Inputs!$B$39="pvp",15,MAX(0.1,Skills!D12-IF(Skills!E12=TRUE,Inputs!$B$32,0))))))/Skills!H12,1)))/Inputs!$B$44),G389*Q389))*IF(Inputs!$B$39="pvp",1,1+(Inputs!$B$20+((C404=TRUE)*(F404-Calc!F27))+Skills!P12+B418)/100),0)</f>
        <v/>
      </c>
      <c r="V389">
        <f>IF(C389,(H389*N389*IF(AND(Inputs!$B$39&lt;&gt;"pvp",Inputs!$B$44&gt;0),((Skills!G12*((R389-1)*IF(Skills!H12&gt;0,Skills!I12/Skills!H12,1)+IF(Skills!H12&gt;0,MIN(Skills!I12,MAX(0,MAX(0,Inputs!$B$44-B422)-((R389-1)*IF(Inputs!$B$39="pvp",15,MAX(0.1,Skills!D12-IF(Skills!E12=TRUE,Inputs!$B$32,0))))))/Skills!H12,1)))/Inputs!$B$44),G389*Q389))*IF(Inputs!$B$39="pvp",1,(1+(Inputs!$B$21+Skills!Q12+B418)/100)*(MIN(Skills!W12,Inputs!$B$37))),0)</f>
        <v/>
      </c>
    </row>
    <row r="390">
      <c r="A390">
        <f>Skills!A13</f>
        <v/>
      </c>
      <c r="B390">
        <f>Skills!B13</f>
        <v/>
      </c>
      <c r="C390">
        <f>Inputs!$B$3&gt;=105</f>
        <v/>
      </c>
      <c r="D390">
        <f>IF(Skills!C13=1,60+Inputs!$B$25+Inputs!$B$29,IF(Skills!C13=2,90+Inputs!$B$26+Inputs!$B$29,IF(Skills!C13=3,120+Inputs!$B$27+Inputs!$B$29,MAX(0,(Inputs!$B$3-100)*3)+Inputs!$B$28+Inputs!$B$29)))</f>
        <v/>
      </c>
      <c r="E390">
        <f>INDEX(FactorTable!$B$2:$Y$301, MATCH(ROUND(MIN(300,MAX(1,D390)),0), FactorTable!$A$2:$A$301,0), Skills!M13+1)</f>
        <v/>
      </c>
      <c r="F390">
        <f>IF(Skills!N13=TRUE,(Skills!L13/10)*(E390/1000),Skills!L13/10)+Skills!O13</f>
        <v/>
      </c>
      <c r="G390">
        <f>Calc!G13</f>
        <v/>
      </c>
      <c r="H390">
        <f>Calc!H13</f>
        <v/>
      </c>
      <c r="I390">
        <f>IF(Skills!AA13&lt;&gt;"",1+(Skills!AA13/10)*(U380/1000)/100,1)</f>
        <v/>
      </c>
      <c r="J390">
        <f>((Inputs!$B$6*(1+Inputs!$B$7/100))+(((Inputs!$B$12*(1+Inputs!$B$13/100))-(Inputs!$B$12*(1+Inputs!$B$13/100)))+0.25*(Inputs!$B$14-Inputs!$B$14))*(1+Inputs!$B$7/100))*(F390/100)</f>
        <v/>
      </c>
      <c r="K390">
        <f>J390*(1+((Inputs!$B$12*(1+Inputs!$B$13/100))*0.01+Inputs!$B$14*0.0025)/100)*(1+Inputs!$B$15/100)*(1+Inputs!$B$16/100)*(5000/(6000+Inputs!$B$43*(1-Inputs!$B$19/100)))*(1+(((((1+Inputs!$B$24/100)*(1.01))-1)*100)+((C407=TRUE)*(F407-Calc!F30)))/100)*(1+Skills!R13/100)*(1+(IF(Skills!A13="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390)</f>
        <v/>
      </c>
      <c r="L390">
        <f>K390*(MIN(Inputs!$B$22+((C401=TRUE)*(F401-Calc!F24)),Inputs!$B$23)/100+Inputs!$B$23/100)/2</f>
        <v/>
      </c>
      <c r="M390">
        <f>L390*(1+(Inputs!$B$10+((C403=TRUE)*(F403-Calc!F26))+B420)/100)</f>
        <v/>
      </c>
      <c r="N390">
        <f>L390*(1-MIN((Inputs!$B$9+((C402=TRUE)*(F402-Calc!F25))+B417),100)/100)+M390*(MIN((Inputs!$B$9+((C402=TRUE)*(F402-Calc!F25))+B417),100)/100)</f>
        <v/>
      </c>
      <c r="O390">
        <f>(1-Summary!$B$55)*T390+Summary!$B$55*V390</f>
        <v/>
      </c>
      <c r="P390">
        <f>IF(B421=0,0,O390/B421)</f>
        <v/>
      </c>
      <c r="Q390">
        <f>IFERROR(1/IF(Inputs!$B$39="pvp",15,MAX(0.1,Skills!D13-IF(Skills!E13=TRUE,Inputs!$B$32,0))),0)</f>
        <v/>
      </c>
      <c r="R390">
        <f>IF(AND(Inputs!$B$39&lt;&gt;"pvp",Inputs!$B$44&gt;0),IF(MAX(0,Inputs!$B$44-B422)&lt;=0,0,(INT(MAX(0,Inputs!$B$44-B422)/IF(Inputs!$B$39="pvp",15,MAX(0.1,Skills!D13-IF(Skills!E13=TRUE,Inputs!$B$32,0))))+1)),0)</f>
        <v/>
      </c>
      <c r="S390">
        <f>IFERROR(O390/N390,0)</f>
        <v/>
      </c>
      <c r="T390">
        <f>IF(C390,(H390*N390*IF(AND(Inputs!$B$39&lt;&gt;"pvp",Inputs!$B$44&gt;0),((Skills!G13*((R390-1)*IF(Skills!H13&gt;0,Skills!I13/Skills!H13,1)+IF(Skills!H13&gt;0,MIN(Skills!I13,MAX(0,MAX(0,Inputs!$B$44-B422)-((R390-1)*IF(Inputs!$B$39="pvp",15,MAX(0.1,Skills!D13-IF(Skills!E13=TRUE,Inputs!$B$32,0))))))/Skills!H13,1)))/Inputs!$B$44),G390*Q390))*IF(Inputs!$B$39="pvp",1,1+(Inputs!$B$20+((C404=TRUE)*(F404-Calc!F27))+Skills!P13+B418)/100),0)</f>
        <v/>
      </c>
      <c r="V390">
        <f>IF(C390,(H390*N390*IF(AND(Inputs!$B$39&lt;&gt;"pvp",Inputs!$B$44&gt;0),((Skills!G13*((R390-1)*IF(Skills!H13&gt;0,Skills!I13/Skills!H13,1)+IF(Skills!H13&gt;0,MIN(Skills!I13,MAX(0,MAX(0,Inputs!$B$44-B422)-((R390-1)*IF(Inputs!$B$39="pvp",15,MAX(0.1,Skills!D13-IF(Skills!E13=TRUE,Inputs!$B$32,0))))))/Skills!H13,1)))/Inputs!$B$44),G390*Q390))*IF(Inputs!$B$39="pvp",1,(1+(Inputs!$B$21+Skills!Q13+B418)/100)*(MIN(Skills!W13,Inputs!$B$37))),0)</f>
        <v/>
      </c>
    </row>
    <row r="391">
      <c r="A391">
        <f>Skills!A14</f>
        <v/>
      </c>
      <c r="B391">
        <f>Skills!B14</f>
        <v/>
      </c>
      <c r="C391">
        <f>Inputs!$B$3&gt;=105</f>
        <v/>
      </c>
      <c r="D391">
        <f>IF(Skills!C14=1,60+Inputs!$B$25+Inputs!$B$29,IF(Skills!C14=2,90+Inputs!$B$26+Inputs!$B$29,IF(Skills!C14=3,120+Inputs!$B$27+Inputs!$B$29,MAX(0,(Inputs!$B$3-100)*3)+Inputs!$B$28+Inputs!$B$29)))</f>
        <v/>
      </c>
      <c r="E391">
        <f>INDEX(FactorTable!$B$2:$Y$301, MATCH(ROUND(MIN(300,MAX(1,D391)),0), FactorTable!$A$2:$A$301,0), Skills!M14+1)</f>
        <v/>
      </c>
      <c r="F391">
        <f>IF(Skills!N14=TRUE,(Skills!L14/10)*(E391/1000),Skills!L14/10)+Skills!O14</f>
        <v/>
      </c>
      <c r="G391">
        <f>Calc!G14</f>
        <v/>
      </c>
      <c r="H391">
        <f>Calc!H14</f>
        <v/>
      </c>
      <c r="I391">
        <f>IF(Skills!AA14&lt;&gt;"",1+(Skills!AA14/10)*(U380/1000)/100,1)</f>
        <v/>
      </c>
      <c r="J391">
        <f>((Inputs!$B$6*(1+Inputs!$B$7/100))+(((Inputs!$B$12*(1+Inputs!$B$13/100))-(Inputs!$B$12*(1+Inputs!$B$13/100)))+0.25*(Inputs!$B$14-Inputs!$B$14))*(1+Inputs!$B$7/100))*(F391/100)</f>
        <v/>
      </c>
      <c r="K391">
        <f>J391*(1+((Inputs!$B$12*(1+Inputs!$B$13/100))*0.01+Inputs!$B$14*0.0025)/100)*(1+Inputs!$B$15/100)*(1+Inputs!$B$16/100)*(5000/(6000+Inputs!$B$43*(1-Inputs!$B$19/100)))*(1+(((((1+Inputs!$B$24/100)*(1.01))-1)*100)+((C407=TRUE)*(F407-Calc!F30)))/100)*(1+Skills!R14/100)*(1+(IF(Skills!A14="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391)</f>
        <v/>
      </c>
      <c r="L391">
        <f>K391*(MIN(Inputs!$B$22+((C401=TRUE)*(F401-Calc!F24)),Inputs!$B$23)/100+Inputs!$B$23/100)/2</f>
        <v/>
      </c>
      <c r="M391">
        <f>L391*(1+(Inputs!$B$10+((C403=TRUE)*(F403-Calc!F26))+B420)/100)</f>
        <v/>
      </c>
      <c r="N391">
        <f>L391*(1-MIN((Inputs!$B$9+((C402=TRUE)*(F402-Calc!F25))+B417),100)/100)+M391*(MIN((Inputs!$B$9+((C402=TRUE)*(F402-Calc!F25))+B417),100)/100)</f>
        <v/>
      </c>
      <c r="O391">
        <f>(1-Summary!$B$55)*T391+Summary!$B$55*V391</f>
        <v/>
      </c>
      <c r="P391">
        <f>IF(B421=0,0,O391/B421)</f>
        <v/>
      </c>
      <c r="Q391">
        <f>IFERROR(1/IF(Inputs!$B$39="pvp",15,MAX(0.1,Skills!D14-IF(Skills!E14=TRUE,Inputs!$B$32,0))),0)</f>
        <v/>
      </c>
      <c r="R391">
        <f>IF(AND(Inputs!$B$39&lt;&gt;"pvp",Inputs!$B$44&gt;0),IF(MAX(0,Inputs!$B$44-B422)&lt;=0,0,(INT(MAX(0,Inputs!$B$44-B422)/IF(Inputs!$B$39="pvp",15,MAX(0.1,Skills!D14-IF(Skills!E14=TRUE,Inputs!$B$32,0))))+1)),0)</f>
        <v/>
      </c>
      <c r="S391">
        <f>IFERROR(O391/N391,0)</f>
        <v/>
      </c>
      <c r="T391">
        <f>IF(C391,(H391*N391*IF(AND(Inputs!$B$39&lt;&gt;"pvp",Inputs!$B$44&gt;0),((Skills!G14*((R391-1)*IF(Skills!H14&gt;0,Skills!I14/Skills!H14,1)+IF(Skills!H14&gt;0,MIN(Skills!I14,MAX(0,MAX(0,Inputs!$B$44-B422)-((R391-1)*IF(Inputs!$B$39="pvp",15,MAX(0.1,Skills!D14-IF(Skills!E14=TRUE,Inputs!$B$32,0))))))/Skills!H14,1)))/Inputs!$B$44),G391*Q391))*IF(Inputs!$B$39="pvp",1,1+(Inputs!$B$20+((C404=TRUE)*(F404-Calc!F27))+Skills!P14+B418)/100),0)</f>
        <v/>
      </c>
      <c r="V391">
        <f>IF(C391,(H391*N391*IF(AND(Inputs!$B$39&lt;&gt;"pvp",Inputs!$B$44&gt;0),((Skills!G14*((R391-1)*IF(Skills!H14&gt;0,Skills!I14/Skills!H14,1)+IF(Skills!H14&gt;0,MIN(Skills!I14,MAX(0,MAX(0,Inputs!$B$44-B422)-((R391-1)*IF(Inputs!$B$39="pvp",15,MAX(0.1,Skills!D14-IF(Skills!E14=TRUE,Inputs!$B$32,0))))))/Skills!H14,1)))/Inputs!$B$44),G391*Q391))*IF(Inputs!$B$39="pvp",1,(1+(Inputs!$B$21+Skills!Q14+B418)/100)*(MIN(Skills!W14,Inputs!$B$37))),0)</f>
        <v/>
      </c>
    </row>
    <row r="392">
      <c r="A392">
        <f>Skills!A15</f>
        <v/>
      </c>
      <c r="B392">
        <f>Skills!B15</f>
        <v/>
      </c>
      <c r="C392">
        <f>Inputs!$B$3&gt;=110</f>
        <v/>
      </c>
      <c r="D392">
        <f>IF(Skills!C15=1,60+Inputs!$B$25+Inputs!$B$29,IF(Skills!C15=2,90+Inputs!$B$26+Inputs!$B$29,IF(Skills!C15=3,120+Inputs!$B$27+Inputs!$B$29,MAX(0,(Inputs!$B$3-100)*3)+Inputs!$B$28+Inputs!$B$29)))</f>
        <v/>
      </c>
      <c r="E392">
        <f>INDEX(FactorTable!$B$2:$Y$301, MATCH(ROUND(MIN(300,MAX(1,D392)),0), FactorTable!$A$2:$A$301,0), Skills!M15+1)</f>
        <v/>
      </c>
      <c r="F392">
        <f>IF(Skills!N15=TRUE,(Skills!L15/10)*(E392/1000),Skills!L15/10)+Skills!O15</f>
        <v/>
      </c>
      <c r="G392">
        <f>Calc!G15</f>
        <v/>
      </c>
      <c r="H392">
        <f>Calc!H15</f>
        <v/>
      </c>
      <c r="I392">
        <f>IF(Skills!AA15&lt;&gt;"",1+(Skills!AA15/10)*(U380/1000)/100,1)</f>
        <v/>
      </c>
      <c r="J392" t="inlineStr"/>
      <c r="K392" t="inlineStr"/>
      <c r="L392" t="inlineStr"/>
      <c r="M392" t="inlineStr"/>
      <c r="N392" t="inlineStr"/>
      <c r="O392">
        <f>(1-Summary!$B$55)*T392+Summary!$B$55*V392</f>
        <v/>
      </c>
      <c r="P392">
        <f>IF(B421=0,0,O392/B421)</f>
        <v/>
      </c>
      <c r="Q392">
        <f>IFERROR(1/IF(Inputs!$B$39="pvp",15,MAX(0.1,Skills!D15-IF(Skills!E15=TRUE,Inputs!$B$32,0))),0)</f>
        <v/>
      </c>
      <c r="R392">
        <f>IF(AND(Inputs!$B$39&lt;&gt;"pvp",Inputs!$B$44&gt;0),IF(Inputs!$B$44&lt;=0,0,(INT(Inputs!$B$44/IF(Inputs!$B$39="pvp",15,MAX(0.1,Skills!D15-IF(Skills!E15=TRUE,Inputs!$B$32,0))))+1)),0)</f>
        <v/>
      </c>
      <c r="S392">
        <f>IFERROR(O392/N392,0)</f>
        <v/>
      </c>
      <c r="T392" t="n">
        <v>0</v>
      </c>
      <c r="V392" t="n">
        <v>0</v>
      </c>
    </row>
    <row r="393">
      <c r="A393">
        <f>Skills!A16</f>
        <v/>
      </c>
      <c r="B393">
        <f>Skills!B16</f>
        <v/>
      </c>
      <c r="C393">
        <f>Inputs!$B$3&gt;=110</f>
        <v/>
      </c>
      <c r="D393">
        <f>IF(Skills!C16=1,60+Inputs!$B$25+Inputs!$B$29,IF(Skills!C16=2,90+Inputs!$B$26+Inputs!$B$29,IF(Skills!C16=3,120+Inputs!$B$27+Inputs!$B$29,MAX(0,(Inputs!$B$3-100)*3)+Inputs!$B$28+Inputs!$B$29)))</f>
        <v/>
      </c>
      <c r="E393">
        <f>INDEX(FactorTable!$B$2:$Y$301, MATCH(ROUND(MIN(300,MAX(1,D393)),0), FactorTable!$A$2:$A$301,0), Skills!M16+1)</f>
        <v/>
      </c>
      <c r="F393">
        <f>IF(Skills!N16=TRUE,(Skills!L16/10)*(E393/1000),Skills!L16/10)+Skills!O16</f>
        <v/>
      </c>
      <c r="G393">
        <f>Calc!G16</f>
        <v/>
      </c>
      <c r="H393">
        <f>Calc!H16</f>
        <v/>
      </c>
      <c r="I393">
        <f>IF(Skills!AA16&lt;&gt;"",1+(Skills!AA16/10)*(U380/1000)/100,1)</f>
        <v/>
      </c>
      <c r="J393" t="inlineStr"/>
      <c r="K393" t="inlineStr"/>
      <c r="L393" t="inlineStr"/>
      <c r="M393" t="inlineStr"/>
      <c r="N393" t="inlineStr"/>
      <c r="O393">
        <f>(1-Summary!$B$55)*T393+Summary!$B$55*V393</f>
        <v/>
      </c>
      <c r="P393">
        <f>IF(B421=0,0,O393/B421)</f>
        <v/>
      </c>
      <c r="Q393">
        <f>IFERROR(1/IF(Inputs!$B$39="pvp",15,MAX(0.1,Skills!D16-IF(Skills!E16=TRUE,Inputs!$B$32,0))),0)</f>
        <v/>
      </c>
      <c r="R393">
        <f>IF(AND(Inputs!$B$39&lt;&gt;"pvp",Inputs!$B$44&gt;0),IF(Inputs!$B$44&lt;=0,0,(INT(Inputs!$B$44/IF(Inputs!$B$39="pvp",15,MAX(0.1,Skills!D16-IF(Skills!E16=TRUE,Inputs!$B$32,0))))+1)),0)</f>
        <v/>
      </c>
      <c r="S393">
        <f>IFERROR(O393/N393,0)</f>
        <v/>
      </c>
      <c r="T393" t="n">
        <v>0</v>
      </c>
      <c r="V393" t="n">
        <v>0</v>
      </c>
    </row>
    <row r="394">
      <c r="A394">
        <f>Skills!A17</f>
        <v/>
      </c>
      <c r="B394">
        <f>Skills!B17</f>
        <v/>
      </c>
      <c r="C394">
        <f>Inputs!$B$3&gt;=115</f>
        <v/>
      </c>
      <c r="D394">
        <f>IF(Skills!C17=1,60+Inputs!$B$25+Inputs!$B$29,IF(Skills!C17=2,90+Inputs!$B$26+Inputs!$B$29,IF(Skills!C17=3,120+Inputs!$B$27+Inputs!$B$29,MAX(0,(Inputs!$B$3-100)*3)+Inputs!$B$28+Inputs!$B$29)))</f>
        <v/>
      </c>
      <c r="E394">
        <f>INDEX(FactorTable!$B$2:$Y$301, MATCH(ROUND(MIN(300,MAX(1,D394)),0), FactorTable!$A$2:$A$301,0), Skills!M17+1)</f>
        <v/>
      </c>
      <c r="F394">
        <f>IF(Skills!N17=TRUE,(Skills!L17/10)*(E394/1000),Skills!L17/10)+Skills!O17</f>
        <v/>
      </c>
      <c r="G394">
        <f>Calc!G17</f>
        <v/>
      </c>
      <c r="H394">
        <f>Calc!H17</f>
        <v/>
      </c>
      <c r="I394">
        <f>IF(Skills!AA17&lt;&gt;"",1+(Skills!AA17/10)*(U380/1000)/100,1)</f>
        <v/>
      </c>
      <c r="J394">
        <f>((Inputs!$B$6*(1+Inputs!$B$7/100))+(((Inputs!$B$12*(1+Inputs!$B$13/100))-(Inputs!$B$12*(1+Inputs!$B$13/100)))+0.25*(Inputs!$B$14-Inputs!$B$14))*(1+Inputs!$B$7/100))*(F394/100)</f>
        <v/>
      </c>
      <c r="K394">
        <f>J394*(1+((Inputs!$B$12*(1+Inputs!$B$13/100))*0.01+Inputs!$B$14*0.0025)/100)*(1+Inputs!$B$15/100)*(1+Inputs!$B$16/100)*(5000/(6000+Inputs!$B$43*(1-Inputs!$B$19/100)))*(1+(((((1+Inputs!$B$24/100)*(1.01))-1)*100)+((C407=TRUE)*(F407-Calc!F30)))/100)*(1+Skills!R17/100)*(1+(IF(Skills!A17="SHOWDOWN",Inputs!$B$17+((C400=TRUE)*(F400-Calc!F23)),Inputs!$B$18+((C406=TRUE)*(F406-Calc!F29))))/100)*(((1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B419*I394)</f>
        <v/>
      </c>
      <c r="L394">
        <f>K394*(MIN(Inputs!$B$22+((C401=TRUE)*(F401-Calc!F24)),Inputs!$B$23)/100+Inputs!$B$23/100)/2</f>
        <v/>
      </c>
      <c r="M394">
        <f>L394*(1+(Inputs!$B$10+((C403=TRUE)*(F403-Calc!F26))+B420)/100)</f>
        <v/>
      </c>
      <c r="N394">
        <f>L394*(1-MIN((Inputs!$B$9+((C402=TRUE)*(F402-Calc!F25))+B417),100)/100)+M394*(MIN((Inputs!$B$9+((C402=TRUE)*(F402-Calc!F25))+B417),100)/100)</f>
        <v/>
      </c>
      <c r="O394">
        <f>(1-Summary!$B$55)*T394+Summary!$B$55*V394</f>
        <v/>
      </c>
      <c r="P394">
        <f>IF(B421=0,0,O394/B421)</f>
        <v/>
      </c>
      <c r="Q394" t="n">
        <v>0</v>
      </c>
      <c r="R394" t="n">
        <v>0</v>
      </c>
      <c r="S394">
        <f>IFERROR(O394/N394,0)</f>
        <v/>
      </c>
      <c r="T394">
        <f>IF(C394,(Inputs!$B$38*0.2*N394)*IF(Inputs!$B$39="pvp",1,1+(Inputs!$B$20+((C404=TRUE)*(F404-Calc!F27))+Skills!P17+B418)/100),0)</f>
        <v/>
      </c>
      <c r="V394">
        <f>IF(C394,(Inputs!$B$38*0.2*N394)*IF(Inputs!$B$39="pvp",1,(1+(Inputs!$B$21+Skills!Q17+B418)/100)*(MIN(Skills!W17,Inputs!$B$37))),0)</f>
        <v/>
      </c>
    </row>
    <row r="395">
      <c r="A395">
        <f>Skills!A18</f>
        <v/>
      </c>
      <c r="B395">
        <f>Skills!B18</f>
        <v/>
      </c>
      <c r="C395">
        <f>Inputs!$B$3&gt;=115</f>
        <v/>
      </c>
      <c r="D395">
        <f>IF(Skills!C18=1,60+Inputs!$B$25+Inputs!$B$29,IF(Skills!C18=2,90+Inputs!$B$26+Inputs!$B$29,IF(Skills!C18=3,120+Inputs!$B$27+Inputs!$B$29,MAX(0,(Inputs!$B$3-100)*3)+Inputs!$B$28+Inputs!$B$29)))</f>
        <v/>
      </c>
      <c r="E395">
        <f>INDEX(FactorTable!$B$2:$Y$301, MATCH(ROUND(MIN(300,MAX(1,D395)),0), FactorTable!$A$2:$A$301,0), Skills!M18+1)</f>
        <v/>
      </c>
      <c r="F395">
        <f>IF(Skills!N18=TRUE,(Skills!L18/10)*(E395/1000),Skills!L18/10)+Skills!O18</f>
        <v/>
      </c>
      <c r="G395">
        <f>Calc!G18</f>
        <v/>
      </c>
      <c r="H395">
        <f>Calc!H18</f>
        <v/>
      </c>
      <c r="I395">
        <f>IF(Skills!AA18&lt;&gt;"",1+(Skills!AA18/10)*(U380/1000)/100,1)</f>
        <v/>
      </c>
      <c r="J395" t="inlineStr"/>
      <c r="K395" t="inlineStr"/>
      <c r="L395" t="inlineStr"/>
      <c r="M395" t="inlineStr"/>
      <c r="N395" t="inlineStr"/>
      <c r="O395">
        <f>(1-Summary!$B$55)*T395+Summary!$B$55*V395</f>
        <v/>
      </c>
      <c r="P395">
        <f>IF(B421=0,0,O395/B421)</f>
        <v/>
      </c>
      <c r="Q395" t="n">
        <v>0</v>
      </c>
      <c r="R395" t="n">
        <v>0</v>
      </c>
      <c r="S395">
        <f>IFERROR(O395/N395,0)</f>
        <v/>
      </c>
      <c r="T395" t="n">
        <v>0</v>
      </c>
      <c r="V395" t="n">
        <v>0</v>
      </c>
    </row>
    <row r="396">
      <c r="A396">
        <f>Skills!A19</f>
        <v/>
      </c>
      <c r="B396">
        <f>Skills!B19</f>
        <v/>
      </c>
      <c r="C396">
        <f>TRUE</f>
        <v/>
      </c>
      <c r="D396">
        <f>IF(Skills!C19=1,60+Inputs!$B$25+Inputs!$B$29,IF(Skills!C19=2,90+Inputs!$B$26+Inputs!$B$29,IF(Skills!C19=3,120+Inputs!$B$27+Inputs!$B$29,MAX(0,(Inputs!$B$3-100)*3)+Inputs!$B$28+Inputs!$B$29)))</f>
        <v/>
      </c>
      <c r="E396">
        <f>INDEX(FactorTable!$B$2:$Y$301, MATCH(ROUND(MIN(300,MAX(1,D396)),0), FactorTable!$A$2:$A$301,0), Skills!M19+1)</f>
        <v/>
      </c>
      <c r="F396">
        <f>IF(Skills!N19=TRUE,(Skills!L19/10)*(E396/1000),Skills!L19/10)+Skills!O19</f>
        <v/>
      </c>
      <c r="G396">
        <f>Calc!G19</f>
        <v/>
      </c>
      <c r="H396">
        <f>Calc!H19</f>
        <v/>
      </c>
      <c r="I396">
        <f>IF(Skills!AA19&lt;&gt;"",1+(Skills!AA19/10)*(U380/1000)/100,1)</f>
        <v/>
      </c>
      <c r="J396" t="inlineStr"/>
      <c r="K396" t="inlineStr"/>
      <c r="L396" t="inlineStr"/>
      <c r="M396" t="inlineStr"/>
      <c r="N396" t="inlineStr"/>
      <c r="O396">
        <f>(1-Summary!$B$55)*T396+Summary!$B$55*V396</f>
        <v/>
      </c>
      <c r="P396">
        <f>IF(B421=0,0,O396/B421)</f>
        <v/>
      </c>
      <c r="Q396">
        <f>IFERROR(1/IF(Inputs!$B$39="pvp",15,MAX(0.1,Skills!D19-IF(Skills!E19=TRUE,Inputs!$B$32,0))),0)</f>
        <v/>
      </c>
      <c r="R396">
        <f>IF(AND(Inputs!$B$39&lt;&gt;"pvp",Inputs!$B$44&gt;0),IF(Inputs!$B$44&lt;=0,0,(INT(Inputs!$B$44/IF(Inputs!$B$39="pvp",15,MAX(0.1,Skills!D19-IF(Skills!E19=TRUE,Inputs!$B$32,0))))+1)),0)</f>
        <v/>
      </c>
      <c r="S396">
        <f>IFERROR(O396/N396,0)</f>
        <v/>
      </c>
      <c r="T396" t="n">
        <v>0</v>
      </c>
      <c r="V396" t="n">
        <v>0</v>
      </c>
    </row>
    <row r="397">
      <c r="A397">
        <f>Skills!A20</f>
        <v/>
      </c>
      <c r="B397">
        <f>Skills!B20</f>
        <v/>
      </c>
      <c r="C397">
        <f>Inputs!$B$3&gt;=15</f>
        <v/>
      </c>
      <c r="D397">
        <f>IF(Skills!C20=1,60+Inputs!$B$25+Inputs!$B$29,IF(Skills!C20=2,90+Inputs!$B$26+Inputs!$B$29,IF(Skills!C20=3,120+Inputs!$B$27+Inputs!$B$29,MAX(0,(Inputs!$B$3-100)*3)+Inputs!$B$28+Inputs!$B$29)))</f>
        <v/>
      </c>
      <c r="E397">
        <f>INDEX(FactorTable!$B$2:$Y$301, MATCH(ROUND(MIN(300,MAX(1,D397)),0), FactorTable!$A$2:$A$301,0), Skills!M20+1)</f>
        <v/>
      </c>
      <c r="F397">
        <f>IF(Skills!N20=TRUE,(Skills!L20/10)*(E397/1000),Skills!L20/10)+Skills!O20</f>
        <v/>
      </c>
      <c r="G397">
        <f>Calc!G20</f>
        <v/>
      </c>
      <c r="H397">
        <f>Calc!H20</f>
        <v/>
      </c>
      <c r="I397">
        <f>IF(Skills!AA20&lt;&gt;"",1+(Skills!AA20/10)*(U380/1000)/100,1)</f>
        <v/>
      </c>
      <c r="J397" t="inlineStr"/>
      <c r="K397" t="inlineStr"/>
      <c r="L397" t="inlineStr"/>
      <c r="M397" t="inlineStr"/>
      <c r="N397" t="inlineStr"/>
      <c r="O397">
        <f>(1-Summary!$B$55)*T397+Summary!$B$55*V397</f>
        <v/>
      </c>
      <c r="P397">
        <f>IF(B421=0,0,O397/B421)</f>
        <v/>
      </c>
      <c r="Q397">
        <f>IFERROR(1/IF(Inputs!$B$39="pvp",15,MAX(0.1,Skills!D20-IF(Skills!E20=TRUE,Inputs!$B$32,0))),0)</f>
        <v/>
      </c>
      <c r="R397">
        <f>IF(AND(Inputs!$B$39&lt;&gt;"pvp",Inputs!$B$44&gt;0),IF(Inputs!$B$44&lt;=0,0,(INT(Inputs!$B$44/IF(Inputs!$B$39="pvp",15,MAX(0.1,Skills!D20-IF(Skills!E20=TRUE,Inputs!$B$32,0))))+1)),0)</f>
        <v/>
      </c>
      <c r="S397">
        <f>IFERROR(O397/N397,0)</f>
        <v/>
      </c>
      <c r="T397" t="n">
        <v>0</v>
      </c>
      <c r="V397" t="n">
        <v>0</v>
      </c>
    </row>
    <row r="398">
      <c r="A398">
        <f>Skills!A21</f>
        <v/>
      </c>
      <c r="B398">
        <f>Skills!B21</f>
        <v/>
      </c>
      <c r="C398">
        <f>Inputs!$B$3&gt;=15</f>
        <v/>
      </c>
      <c r="D398">
        <f>IF(Skills!C21=1,60+Inputs!$B$25+Inputs!$B$29,IF(Skills!C21=2,90+Inputs!$B$26+Inputs!$B$29,IF(Skills!C21=3,120+Inputs!$B$27+Inputs!$B$29,MAX(0,(Inputs!$B$3-100)*3)+Inputs!$B$28+Inputs!$B$29)))</f>
        <v/>
      </c>
      <c r="E398">
        <f>INDEX(FactorTable!$B$2:$Y$301, MATCH(ROUND(MIN(300,MAX(1,D398)),0), FactorTable!$A$2:$A$301,0), Skills!M21+1)</f>
        <v/>
      </c>
      <c r="F398">
        <f>IF(Skills!N21=TRUE,(Skills!L21/10)*(E398/1000),Skills!L21/10)+Skills!O21</f>
        <v/>
      </c>
      <c r="G398">
        <f>Calc!G21</f>
        <v/>
      </c>
      <c r="H398">
        <f>Calc!H21</f>
        <v/>
      </c>
      <c r="I398">
        <f>IF(Skills!AA21&lt;&gt;"",1+(Skills!AA21/10)*(U380/1000)/100,1)</f>
        <v/>
      </c>
      <c r="J398" t="inlineStr"/>
      <c r="K398" t="inlineStr"/>
      <c r="L398" t="inlineStr"/>
      <c r="M398" t="inlineStr"/>
      <c r="N398" t="inlineStr"/>
      <c r="O398">
        <f>(1-Summary!$B$55)*T398+Summary!$B$55*V398</f>
        <v/>
      </c>
      <c r="P398">
        <f>IF(B421=0,0,O398/B421)</f>
        <v/>
      </c>
      <c r="Q398">
        <f>IFERROR(1/IF(Inputs!$B$39="pvp",15,MAX(0.1,Skills!D21-IF(Skills!E21=TRUE,Inputs!$B$32,0))),0)</f>
        <v/>
      </c>
      <c r="R398">
        <f>IF(AND(Inputs!$B$39&lt;&gt;"pvp",Inputs!$B$44&gt;0),IF(Inputs!$B$44&lt;=0,0,(INT(Inputs!$B$44/IF(Inputs!$B$39="pvp",15,MAX(0.1,Skills!D21-IF(Skills!E21=TRUE,Inputs!$B$32,0))))+1)),0)</f>
        <v/>
      </c>
      <c r="S398">
        <f>IFERROR(O398/N398,0)</f>
        <v/>
      </c>
      <c r="T398" t="n">
        <v>0</v>
      </c>
      <c r="V398" t="n">
        <v>0</v>
      </c>
    </row>
    <row r="399">
      <c r="A399">
        <f>Skills!A22</f>
        <v/>
      </c>
      <c r="B399">
        <f>Skills!B22</f>
        <v/>
      </c>
      <c r="C399">
        <f>Inputs!$B$3&gt;=33</f>
        <v/>
      </c>
      <c r="D399">
        <f>IF(Skills!C22=1,60+Inputs!$B$25+Inputs!$B$29,IF(Skills!C22=2,90+Inputs!$B$26+Inputs!$B$29,IF(Skills!C22=3,120+Inputs!$B$27+Inputs!$B$29,MAX(0,(Inputs!$B$3-100)*3)+Inputs!$B$28+Inputs!$B$29)))</f>
        <v/>
      </c>
      <c r="E399">
        <f>INDEX(FactorTable!$B$2:$Y$301, MATCH(ROUND(MIN(300,MAX(1,D399)),0), FactorTable!$A$2:$A$301,0), Skills!M22+1)</f>
        <v/>
      </c>
      <c r="F399">
        <f>IF(Skills!N22=TRUE,(Skills!L22/10)*(E399/1000),Skills!L22/10)+Skills!O22</f>
        <v/>
      </c>
      <c r="G399">
        <f>Calc!G22</f>
        <v/>
      </c>
      <c r="H399">
        <f>Calc!H22</f>
        <v/>
      </c>
      <c r="I399">
        <f>IF(Skills!AA22&lt;&gt;"",1+(Skills!AA22/10)*(U380/1000)/100,1)</f>
        <v/>
      </c>
      <c r="J399" t="inlineStr"/>
      <c r="K399" t="inlineStr"/>
      <c r="L399" t="inlineStr"/>
      <c r="M399" t="inlineStr"/>
      <c r="N399" t="inlineStr"/>
      <c r="O399">
        <f>(1-Summary!$B$55)*T399+Summary!$B$55*V399</f>
        <v/>
      </c>
      <c r="P399">
        <f>IF(B421=0,0,O399/B421)</f>
        <v/>
      </c>
      <c r="Q399" t="n">
        <v>0</v>
      </c>
      <c r="R399" t="n">
        <v>0</v>
      </c>
      <c r="S399">
        <f>IFERROR(O399/N399,0)</f>
        <v/>
      </c>
      <c r="T399" t="n">
        <v>0</v>
      </c>
      <c r="V399" t="n">
        <v>0</v>
      </c>
    </row>
    <row r="400">
      <c r="A400">
        <f>Skills!A23</f>
        <v/>
      </c>
      <c r="B400">
        <f>Skills!B23</f>
        <v/>
      </c>
      <c r="C400">
        <f>Inputs!$B$3&gt;=38</f>
        <v/>
      </c>
      <c r="D400">
        <f>IF(Skills!C23=1,60+Inputs!$B$25+Inputs!$B$29,IF(Skills!C23=2,90+Inputs!$B$26+Inputs!$B$29,IF(Skills!C23=3,120+Inputs!$B$27+Inputs!$B$29,MAX(0,(Inputs!$B$3-100)*3)+Inputs!$B$28+Inputs!$B$29)))</f>
        <v/>
      </c>
      <c r="E400">
        <f>INDEX(FactorTable!$B$2:$Y$301, MATCH(ROUND(MIN(300,MAX(1,D400)),0), FactorTable!$A$2:$A$301,0), Skills!M23+1)</f>
        <v/>
      </c>
      <c r="F400">
        <f>IF(Skills!N23=TRUE,(Skills!L23/10)*(E400/1000),Skills!L23/10)+Skills!O23</f>
        <v/>
      </c>
      <c r="G400">
        <f>Calc!G23</f>
        <v/>
      </c>
      <c r="H400">
        <f>Calc!H23</f>
        <v/>
      </c>
      <c r="I400">
        <f>IF(Skills!AA23&lt;&gt;"",1+(Skills!AA23/10)*(U380/1000)/100,1)</f>
        <v/>
      </c>
      <c r="J400" t="inlineStr"/>
      <c r="K400" t="inlineStr"/>
      <c r="L400" t="inlineStr"/>
      <c r="M400" t="inlineStr"/>
      <c r="N400" t="inlineStr"/>
      <c r="O400">
        <f>(1-Summary!$B$55)*T400+Summary!$B$55*V400</f>
        <v/>
      </c>
      <c r="P400">
        <f>IF(B421=0,0,O400/B421)</f>
        <v/>
      </c>
      <c r="Q400" t="n">
        <v>0</v>
      </c>
      <c r="R400" t="n">
        <v>0</v>
      </c>
      <c r="S400">
        <f>IFERROR(O400/N400,0)</f>
        <v/>
      </c>
      <c r="T400" t="n">
        <v>0</v>
      </c>
      <c r="V400" t="n">
        <v>0</v>
      </c>
    </row>
    <row r="401">
      <c r="A401">
        <f>Skills!A24</f>
        <v/>
      </c>
      <c r="B401">
        <f>Skills!B24</f>
        <v/>
      </c>
      <c r="C401">
        <f>Inputs!$B$3&gt;=40</f>
        <v/>
      </c>
      <c r="D401">
        <f>IF(Skills!C24=1,60+Inputs!$B$25+Inputs!$B$29,IF(Skills!C24=2,90+Inputs!$B$26+Inputs!$B$29,IF(Skills!C24=3,120+Inputs!$B$27+Inputs!$B$29,MAX(0,(Inputs!$B$3-100)*3)+Inputs!$B$28+Inputs!$B$29)))</f>
        <v/>
      </c>
      <c r="E401">
        <f>INDEX(FactorTable!$B$2:$Y$301, MATCH(ROUND(MIN(300,MAX(1,D401)),0), FactorTable!$A$2:$A$301,0), Skills!M24+1)</f>
        <v/>
      </c>
      <c r="F401">
        <f>IF(Skills!N24=TRUE,(Skills!L24/10)*(E401/1000),Skills!L24/10)+Skills!O24</f>
        <v/>
      </c>
      <c r="G401">
        <f>Calc!G24</f>
        <v/>
      </c>
      <c r="H401">
        <f>Calc!H24</f>
        <v/>
      </c>
      <c r="I401">
        <f>IF(Skills!AA24&lt;&gt;"",1+(Skills!AA24/10)*(U380/1000)/100,1)</f>
        <v/>
      </c>
      <c r="J401" t="inlineStr"/>
      <c r="K401" t="inlineStr"/>
      <c r="L401" t="inlineStr"/>
      <c r="M401" t="inlineStr"/>
      <c r="N401" t="inlineStr"/>
      <c r="O401">
        <f>(1-Summary!$B$55)*T401+Summary!$B$55*V401</f>
        <v/>
      </c>
      <c r="P401">
        <f>IF(B421=0,0,O401/B421)</f>
        <v/>
      </c>
      <c r="Q401" t="n">
        <v>0</v>
      </c>
      <c r="R401" t="n">
        <v>0</v>
      </c>
      <c r="S401">
        <f>IFERROR(O401/N401,0)</f>
        <v/>
      </c>
      <c r="T401" t="n">
        <v>0</v>
      </c>
      <c r="V401" t="n">
        <v>0</v>
      </c>
    </row>
    <row r="402">
      <c r="A402">
        <f>Skills!A25</f>
        <v/>
      </c>
      <c r="B402">
        <f>Skills!B25</f>
        <v/>
      </c>
      <c r="C402">
        <f>Inputs!$B$3&gt;=45</f>
        <v/>
      </c>
      <c r="D402">
        <f>IF(Skills!C25=1,60+Inputs!$B$25+Inputs!$B$29,IF(Skills!C25=2,90+Inputs!$B$26+Inputs!$B$29,IF(Skills!C25=3,120+Inputs!$B$27+Inputs!$B$29,MAX(0,(Inputs!$B$3-100)*3)+Inputs!$B$28+Inputs!$B$29)))</f>
        <v/>
      </c>
      <c r="E402">
        <f>INDEX(FactorTable!$B$2:$Y$301, MATCH(ROUND(MIN(300,MAX(1,D402)),0), FactorTable!$A$2:$A$301,0), Skills!M25+1)</f>
        <v/>
      </c>
      <c r="F402">
        <f>IF(Skills!N25=TRUE,(Skills!L25/10)*(E402/1000),Skills!L25/10)+Skills!O25</f>
        <v/>
      </c>
      <c r="G402">
        <f>Calc!G25</f>
        <v/>
      </c>
      <c r="H402">
        <f>Calc!H25</f>
        <v/>
      </c>
      <c r="I402">
        <f>IF(Skills!AA25&lt;&gt;"",1+(Skills!AA25/10)*(U380/1000)/100,1)</f>
        <v/>
      </c>
      <c r="J402" t="inlineStr"/>
      <c r="K402" t="inlineStr"/>
      <c r="L402" t="inlineStr"/>
      <c r="M402" t="inlineStr"/>
      <c r="N402" t="inlineStr"/>
      <c r="O402">
        <f>(1-Summary!$B$55)*T402+Summary!$B$55*V402</f>
        <v/>
      </c>
      <c r="P402">
        <f>IF(B421=0,0,O402/B421)</f>
        <v/>
      </c>
      <c r="Q402" t="n">
        <v>0</v>
      </c>
      <c r="R402" t="n">
        <v>0</v>
      </c>
      <c r="S402">
        <f>IFERROR(O402/N402,0)</f>
        <v/>
      </c>
      <c r="T402" t="n">
        <v>0</v>
      </c>
      <c r="V402" t="n">
        <v>0</v>
      </c>
    </row>
    <row r="403">
      <c r="A403">
        <f>Skills!A26</f>
        <v/>
      </c>
      <c r="B403">
        <f>Skills!B26</f>
        <v/>
      </c>
      <c r="C403">
        <f>Inputs!$B$3&gt;=45</f>
        <v/>
      </c>
      <c r="D403">
        <f>IF(Skills!C26=1,60+Inputs!$B$25+Inputs!$B$29,IF(Skills!C26=2,90+Inputs!$B$26+Inputs!$B$29,IF(Skills!C26=3,120+Inputs!$B$27+Inputs!$B$29,MAX(0,(Inputs!$B$3-100)*3)+Inputs!$B$28+Inputs!$B$29)))</f>
        <v/>
      </c>
      <c r="E403">
        <f>INDEX(FactorTable!$B$2:$Y$301, MATCH(ROUND(MIN(300,MAX(1,D403)),0), FactorTable!$A$2:$A$301,0), Skills!M26+1)</f>
        <v/>
      </c>
      <c r="F403">
        <f>IF(Skills!N26=TRUE,(Skills!L26/10)*(E403/1000),Skills!L26/10)+Skills!O26</f>
        <v/>
      </c>
      <c r="G403">
        <f>Calc!G26</f>
        <v/>
      </c>
      <c r="H403">
        <f>Calc!H26</f>
        <v/>
      </c>
      <c r="I403">
        <f>IF(Skills!AA26&lt;&gt;"",1+(Skills!AA26/10)*(U380/1000)/100,1)</f>
        <v/>
      </c>
      <c r="J403" t="inlineStr"/>
      <c r="K403" t="inlineStr"/>
      <c r="L403" t="inlineStr"/>
      <c r="M403" t="inlineStr"/>
      <c r="N403" t="inlineStr"/>
      <c r="O403">
        <f>(1-Summary!$B$55)*T403+Summary!$B$55*V403</f>
        <v/>
      </c>
      <c r="P403">
        <f>IF(B421=0,0,O403/B421)</f>
        <v/>
      </c>
      <c r="Q403" t="n">
        <v>0</v>
      </c>
      <c r="R403" t="n">
        <v>0</v>
      </c>
      <c r="S403">
        <f>IFERROR(O403/N403,0)</f>
        <v/>
      </c>
      <c r="T403" t="n">
        <v>0</v>
      </c>
      <c r="V403" t="n">
        <v>0</v>
      </c>
    </row>
    <row r="404">
      <c r="A404">
        <f>Skills!A27</f>
        <v/>
      </c>
      <c r="B404">
        <f>Skills!B27</f>
        <v/>
      </c>
      <c r="C404">
        <f>Inputs!$B$3&gt;=72</f>
        <v/>
      </c>
      <c r="D404">
        <f>IF(Skills!C27=1,60+Inputs!$B$25+Inputs!$B$29,IF(Skills!C27=2,90+Inputs!$B$26+Inputs!$B$29,IF(Skills!C27=3,120+Inputs!$B$27+Inputs!$B$29,MAX(0,(Inputs!$B$3-100)*3)+Inputs!$B$28+Inputs!$B$29)))</f>
        <v/>
      </c>
      <c r="E404">
        <f>INDEX(FactorTable!$B$2:$Y$301, MATCH(ROUND(MIN(300,MAX(1,D404)),0), FactorTable!$A$2:$A$301,0), Skills!M27+1)</f>
        <v/>
      </c>
      <c r="F404">
        <f>IF(Skills!N27=TRUE,(Skills!L27/10)*(E404/1000),Skills!L27/10)+Skills!O27</f>
        <v/>
      </c>
      <c r="G404">
        <f>Calc!G27</f>
        <v/>
      </c>
      <c r="H404">
        <f>Calc!H27</f>
        <v/>
      </c>
      <c r="I404">
        <f>IF(Skills!AA27&lt;&gt;"",1+(Skills!AA27/10)*(U380/1000)/100,1)</f>
        <v/>
      </c>
      <c r="J404" t="inlineStr"/>
      <c r="K404" t="inlineStr"/>
      <c r="L404" t="inlineStr"/>
      <c r="M404" t="inlineStr"/>
      <c r="N404" t="inlineStr"/>
      <c r="O404">
        <f>(1-Summary!$B$55)*T404+Summary!$B$55*V404</f>
        <v/>
      </c>
      <c r="P404">
        <f>IF(B421=0,0,O404/B421)</f>
        <v/>
      </c>
      <c r="Q404" t="n">
        <v>0</v>
      </c>
      <c r="R404" t="n">
        <v>0</v>
      </c>
      <c r="S404">
        <f>IFERROR(O404/N404,0)</f>
        <v/>
      </c>
      <c r="T404" t="n">
        <v>0</v>
      </c>
      <c r="V404" t="n">
        <v>0</v>
      </c>
    </row>
    <row r="405">
      <c r="A405">
        <f>Skills!A28</f>
        <v/>
      </c>
      <c r="B405">
        <f>Skills!B28</f>
        <v/>
      </c>
      <c r="C405">
        <f>Inputs!$B$3&gt;=75</f>
        <v/>
      </c>
      <c r="D405">
        <f>IF(Skills!C28=1,60+Inputs!$B$25+Inputs!$B$29,IF(Skills!C28=2,90+Inputs!$B$26+Inputs!$B$29,IF(Skills!C28=3,120+Inputs!$B$27+Inputs!$B$29,MAX(0,(Inputs!$B$3-100)*3)+Inputs!$B$28+Inputs!$B$29)))</f>
        <v/>
      </c>
      <c r="E405">
        <f>INDEX(FactorTable!$B$2:$Y$301, MATCH(ROUND(MIN(300,MAX(1,D405)),0), FactorTable!$A$2:$A$301,0), Skills!M28+1)</f>
        <v/>
      </c>
      <c r="F405">
        <f>IF(Skills!N28=TRUE,(Skills!L28/10)*(E405/1000),Skills!L28/10)+Skills!O28</f>
        <v/>
      </c>
      <c r="G405">
        <f>Calc!G28</f>
        <v/>
      </c>
      <c r="H405">
        <f>Calc!H28</f>
        <v/>
      </c>
      <c r="I405">
        <f>IF(Skills!AA28&lt;&gt;"",1+(Skills!AA28/10)*(U380/1000)/100,1)</f>
        <v/>
      </c>
      <c r="J405" t="inlineStr"/>
      <c r="K405" t="inlineStr"/>
      <c r="L405" t="inlineStr"/>
      <c r="M405" t="inlineStr"/>
      <c r="N405" t="inlineStr"/>
      <c r="O405">
        <f>(1-Summary!$B$55)*T405+Summary!$B$55*V405</f>
        <v/>
      </c>
      <c r="P405">
        <f>IF(B421=0,0,O405/B421)</f>
        <v/>
      </c>
      <c r="Q405" t="n">
        <v>0</v>
      </c>
      <c r="R405" t="n">
        <v>0</v>
      </c>
      <c r="S405">
        <f>IFERROR(O405/N405,0)</f>
        <v/>
      </c>
      <c r="T405" t="n">
        <v>0</v>
      </c>
      <c r="V405" t="n">
        <v>0</v>
      </c>
    </row>
    <row r="406">
      <c r="A406">
        <f>Skills!A29</f>
        <v/>
      </c>
      <c r="B406">
        <f>Skills!B29</f>
        <v/>
      </c>
      <c r="C406">
        <f>Inputs!$B$3&gt;=120</f>
        <v/>
      </c>
      <c r="D406">
        <f>IF(Skills!C29=1,60+Inputs!$B$25+Inputs!$B$29,IF(Skills!C29=2,90+Inputs!$B$26+Inputs!$B$29,IF(Skills!C29=3,120+Inputs!$B$27+Inputs!$B$29,MAX(0,(Inputs!$B$3-100)*3)+Inputs!$B$28+Inputs!$B$29)))</f>
        <v/>
      </c>
      <c r="E406">
        <f>INDEX(FactorTable!$B$2:$Y$301, MATCH(ROUND(MIN(300,MAX(1,D406)),0), FactorTable!$A$2:$A$301,0), Skills!M29+1)</f>
        <v/>
      </c>
      <c r="F406">
        <f>IF(Skills!N29=TRUE,(Skills!L29/10)*(E406/1000),Skills!L29/10)+Skills!O29</f>
        <v/>
      </c>
      <c r="G406">
        <f>Calc!G29</f>
        <v/>
      </c>
      <c r="H406">
        <f>Calc!H29</f>
        <v/>
      </c>
      <c r="I406">
        <f>IF(Skills!AA29&lt;&gt;"",1+(Skills!AA29/10)*(U380/1000)/100,1)</f>
        <v/>
      </c>
      <c r="J406" t="inlineStr"/>
      <c r="K406" t="inlineStr"/>
      <c r="L406" t="inlineStr"/>
      <c r="M406" t="inlineStr"/>
      <c r="N406" t="inlineStr"/>
      <c r="O406">
        <f>(1-Summary!$B$55)*T406+Summary!$B$55*V406</f>
        <v/>
      </c>
      <c r="P406">
        <f>IF(B421=0,0,O406/B421)</f>
        <v/>
      </c>
      <c r="Q406" t="n">
        <v>0</v>
      </c>
      <c r="R406" t="n">
        <v>0</v>
      </c>
      <c r="S406">
        <f>IFERROR(O406/N406,0)</f>
        <v/>
      </c>
      <c r="T406" t="n">
        <v>0</v>
      </c>
      <c r="V406" t="n">
        <v>0</v>
      </c>
    </row>
    <row r="407">
      <c r="A407">
        <f>Skills!A30</f>
        <v/>
      </c>
      <c r="B407">
        <f>Skills!B30</f>
        <v/>
      </c>
      <c r="C407">
        <f>Inputs!$B$3&gt;=125</f>
        <v/>
      </c>
      <c r="D407">
        <f>IF(Skills!C30=1,60+Inputs!$B$25+Inputs!$B$29,IF(Skills!C30=2,90+Inputs!$B$26+Inputs!$B$29,IF(Skills!C30=3,120+Inputs!$B$27+Inputs!$B$29,MAX(0,(Inputs!$B$3-100)*3)+Inputs!$B$28+Inputs!$B$29)))</f>
        <v/>
      </c>
      <c r="E407">
        <f>INDEX(FactorTable!$B$2:$Y$301, MATCH(ROUND(MIN(300,MAX(1,D407)),0), FactorTable!$A$2:$A$301,0), Skills!M30+1)</f>
        <v/>
      </c>
      <c r="F407">
        <f>IF(Skills!N30=TRUE,(Skills!L30/10)*(E407/1000),Skills!L30/10)+Skills!O30</f>
        <v/>
      </c>
      <c r="G407">
        <f>Calc!G30</f>
        <v/>
      </c>
      <c r="H407">
        <f>Calc!H30</f>
        <v/>
      </c>
      <c r="I407">
        <f>IF(Skills!AA30&lt;&gt;"",1+(Skills!AA30/10)*(U380/1000)/100,1)</f>
        <v/>
      </c>
      <c r="J407" t="inlineStr"/>
      <c r="K407" t="inlineStr"/>
      <c r="L407" t="inlineStr"/>
      <c r="M407" t="inlineStr"/>
      <c r="N407" t="inlineStr"/>
      <c r="O407">
        <f>(1-Summary!$B$55)*T407+Summary!$B$55*V407</f>
        <v/>
      </c>
      <c r="P407">
        <f>IF(B421=0,0,O407/B421)</f>
        <v/>
      </c>
      <c r="Q407" t="n">
        <v>0</v>
      </c>
      <c r="R407" t="n">
        <v>0</v>
      </c>
      <c r="S407">
        <f>IFERROR(O407/N407,0)</f>
        <v/>
      </c>
      <c r="T407" t="n">
        <v>0</v>
      </c>
      <c r="V407" t="n">
        <v>0</v>
      </c>
    </row>
    <row r="408">
      <c r="A408">
        <f>Skills!A31</f>
        <v/>
      </c>
      <c r="B408">
        <f>Skills!B31</f>
        <v/>
      </c>
      <c r="C408">
        <f>Inputs!$B$3&gt;=107</f>
        <v/>
      </c>
      <c r="D408">
        <f>IF(Skills!C31=1,60+Inputs!$B$25+Inputs!$B$29,IF(Skills!C31=2,90+Inputs!$B$26+Inputs!$B$29,IF(Skills!C31=3,120+Inputs!$B$27+Inputs!$B$29,MAX(0,(Inputs!$B$3-100)*3)+Inputs!$B$28+Inputs!$B$29)))</f>
        <v/>
      </c>
      <c r="E408">
        <f>INDEX(FactorTable!$B$2:$Y$301, MATCH(ROUND(MIN(300,MAX(1,D408)),0), FactorTable!$A$2:$A$301,0), Skills!M31+1)</f>
        <v/>
      </c>
      <c r="F408">
        <f>IF(Skills!N31=TRUE,(Skills!L31/10)*(E408/1000),Skills!L31/10)+Skills!O31</f>
        <v/>
      </c>
      <c r="G408">
        <f>Calc!G31</f>
        <v/>
      </c>
      <c r="H408">
        <f>Calc!H31</f>
        <v/>
      </c>
      <c r="I408">
        <f>IF(Skills!AA31&lt;&gt;"",1+(Skills!AA31/10)*(U380/1000)/100,1)</f>
        <v/>
      </c>
      <c r="J408" t="inlineStr"/>
      <c r="K408" t="inlineStr"/>
      <c r="L408" t="inlineStr"/>
      <c r="M408" t="inlineStr"/>
      <c r="N408" t="inlineStr"/>
      <c r="O408">
        <f>(1-Summary!$B$55)*T408+Summary!$B$55*V408</f>
        <v/>
      </c>
      <c r="P408">
        <f>IF(B421=0,0,O408/B421)</f>
        <v/>
      </c>
      <c r="Q408" t="n">
        <v>0</v>
      </c>
      <c r="R408" t="n">
        <v>0</v>
      </c>
      <c r="S408">
        <f>IFERROR(O408/N408,0)</f>
        <v/>
      </c>
      <c r="T408" t="n">
        <v>0</v>
      </c>
      <c r="V408" t="n">
        <v>0</v>
      </c>
    </row>
    <row r="410">
      <c r="A410" t="inlineStr">
        <is>
          <t>Actions Per Second (pre-Adrenalin)</t>
        </is>
      </c>
      <c r="B410">
        <f>1+MIN(150,150*(1-(1-(Inputs!$B$11+((C399=TRUE)*(F399-Calc!F22)))/150)*(1-((C396=TRUE)*F396*IF(AND(Inputs!$B$39&lt;&gt;"pvp",Inputs!$B$44&gt;0),(((R396-1)*(Skills!Y19*(1+Inputs!$B$34/100))+MIN((Skills!Y19*(1+Inputs!$B$34/100)),MAX(0,Inputs!$B$44-((R396-1)*Skills!D19))))/Inputs!$B$44),IF(Inputs!$B$39="pvp",MIN((Skills!Y19*(1+Inputs!$B$34/100)),15)/15,(Skills!Y19*(1+Inputs!$B$34/100))/Skills!D19)))/150)))/100</f>
        <v/>
      </c>
    </row>
    <row r="411">
      <c r="A411" t="inlineStr">
        <is>
          <t>Alchemic Adrenaline Uptime</t>
        </is>
      </c>
      <c r="B411">
        <f>(Skills!Y6*(1+Inputs!$B$34/100))/((Skills!Y6*(1+Inputs!$B$34/100))+(5/B410))</f>
        <v/>
      </c>
    </row>
    <row r="412">
      <c r="A412" t="inlineStr">
        <is>
          <t>Attack Speed Buff Bonus %</t>
        </is>
      </c>
      <c r="B412">
        <f>((C396=TRUE)*F396*IF(AND(Inputs!$B$39&lt;&gt;"pvp",Inputs!$B$44&gt;0),(((R396-1)*(Skills!Y19*(1+Inputs!$B$34/100))+MIN((Skills!Y19*(1+Inputs!$B$34/100)),MAX(0,Inputs!$B$44-((R396-1)*Skills!D19))))/Inputs!$B$44),IF(Inputs!$B$39="pvp",MIN((Skills!Y19*(1+Inputs!$B$34/100)),15)/15,(Skills!Y19*(1+Inputs!$B$34/100))/Skills!D19)))+((C384=TRUE)*F384*B411)</f>
        <v/>
      </c>
    </row>
    <row r="413">
      <c r="A413" t="inlineStr">
        <is>
          <t>Actions Per Second (final)</t>
        </is>
      </c>
      <c r="B413">
        <f>1+MIN(150,150*(1-(1-(Inputs!$B$11+((C399=TRUE)*(F399-Calc!F22)))/150)*(1-B412/150)))/100</f>
        <v/>
      </c>
    </row>
    <row r="414">
      <c r="A414" t="inlineStr">
        <is>
          <t>Skill + Buff Cast Rate</t>
        </is>
      </c>
      <c r="B414">
        <f>IF(AND(Inputs!$B$39&lt;&gt;"pvp",Inputs!$B$44&gt;0),SUMPRODUCT((Skills!E2:E31=TRUE)*(C379:C408=TRUE)*R379:R408*Skills!F2:F31)/Inputs!$B$44,SUMPRODUCT((Skills!E2:E31=TRUE)*(C379:C408=TRUE)*Q379:Q408*Skills!F2:F31))</f>
        <v/>
      </c>
    </row>
    <row r="415">
      <c r="A415" t="inlineStr">
        <is>
          <t>Showdown Casts Per Second</t>
        </is>
      </c>
      <c r="B415">
        <f>MAX(0,B413-B414)</f>
        <v/>
      </c>
    </row>
    <row r="416">
      <c r="A416" t="inlineStr">
        <is>
          <t>Average Buff Multiplier</t>
        </is>
      </c>
      <c r="B416">
        <f>(1+(((C398=TRUE)*F398*IF(AND(Inputs!$B$39&lt;&gt;"pvp",Inputs!$B$44&gt;0),(((R398-1)*(Skills!Y21*(1+Inputs!$B$34/100))+MIN((Skills!Y21*(1+Inputs!$B$34/100)),MAX(0,Inputs!$B$44-((R398-1)*Skills!D21))))/Inputs!$B$44),IF(Inputs!$B$39="pvp",MIN((Skills!Y21*(1+Inputs!$B$34/100)),15)/15,(Skills!Y21*(1+Inputs!$B$34/100))/Skills!D21)))+((C405=TRUE)*(F405-Calc!F28))+((C395=TRUE)*(F395-Calc!F18)))/100)*(1+((C392=TRUE)*F392*IF(AND(Inputs!$B$39&lt;&gt;"pvp",Inputs!$B$44&gt;0),(((R392-1)*(Skills!Y15*(1+Inputs!$B$34/100))+MIN((Skills!Y15*(1+Inputs!$B$34/100)),MAX(0,Inputs!$B$44-((R392-1)*Skills!D15))))/Inputs!$B$44),IF(Inputs!$B$39="pvp",MIN((Skills!Y15*(1+Inputs!$B$34/100)),15)/15,(Skills!Y15*(1+Inputs!$B$34/100))/Skills!D15)))/100)*(1+((C383=TRUE)*F383*B411)/100)</f>
        <v/>
      </c>
    </row>
    <row r="417">
      <c r="A417" t="inlineStr">
        <is>
          <t>Global Crit Rate Bonus %</t>
        </is>
      </c>
      <c r="B417">
        <f>IF(Inputs!$B$3&gt;=47,8,0)+((C397=TRUE)*F397*IF(AND(Inputs!$B$39&lt;&gt;"pvp",Inputs!$B$44&gt;0),(((R397-1)*(Skills!Y20*(1+Inputs!$B$34/100))+MIN((Skills!Y20*(1+Inputs!$B$34/100)),MAX(0,Inputs!$B$44-((R397-1)*Skills!D20))))/Inputs!$B$44),IF(Inputs!$B$39="pvp",MIN((Skills!Y20*(1+Inputs!$B$34/100)),15)/15,(Skills!Y20*(1+Inputs!$B$34/100))/Skills!D20)))</f>
        <v/>
      </c>
    </row>
    <row r="418">
      <c r="A418" t="inlineStr">
        <is>
          <t>Global Monster Damage-Taken Bonus %</t>
        </is>
      </c>
      <c r="B418">
        <f>IF(Inputs!$B$3&gt;=82,15,0)+((C393=TRUE)*F393*IF(AND(Inputs!$B$39&lt;&gt;"pvp",Inputs!$B$44&gt;0),(((R393-1)*(Skills!Y16*(1+Inputs!$B$34/100))+MIN((Skills!Y16*(1+Inputs!$B$34/100)),MAX(0,Inputs!$B$44-((R393-1)*Skills!D16))))/Inputs!$B$44),IF(Inputs!$B$39="pvp",MIN((Skills!Y16*(1+Inputs!$B$34/100)),15)/15,(Skills!Y16*(1+Inputs!$B$34/100))/Skills!D16)))</f>
        <v/>
      </c>
    </row>
    <row r="419">
      <c r="A419" t="inlineStr">
        <is>
          <t>Shadow Partner Average Multiplier</t>
        </is>
      </c>
      <c r="B419">
        <f>1+((C388=TRUE)*F388*I388*Skills!J11/100)/100</f>
        <v/>
      </c>
    </row>
    <row r="420">
      <c r="A420" t="inlineStr">
        <is>
          <t>Global Critical Damage Bonus % (Frailty Curse Mastery Lv.111)</t>
        </is>
      </c>
      <c r="B420">
        <f>IF(Inputs!$B$3&gt;=111,30,0)*IF(AND(Inputs!$B$39&lt;&gt;"pvp",Inputs!$B$44&gt;0),(((R393-1)*(Skills!Y16*(1+Inputs!$B$34/100))+MIN((Skills!Y16*(1+Inputs!$B$34/100)),MAX(0,Inputs!$B$44-((R393-1)*Skills!D16))))/Inputs!$B$44),IF(Inputs!$B$39="pvp",MIN((Skills!Y16*(1+Inputs!$B$34/100)),15)/15,(Skills!Y16*(1+Inputs!$B$34/100))/Skills!D16))</f>
        <v/>
      </c>
    </row>
    <row r="421">
      <c r="A421" s="5" t="inlineStr">
        <is>
          <t>TOTAL DPS</t>
        </is>
      </c>
      <c r="B421" s="5">
        <f>SUM(O379:O408)</f>
        <v/>
      </c>
    </row>
    <row r="422">
      <c r="A422" t="inlineStr">
        <is>
          <t>Buff-Casting Startup Delay (s, fixed-duration only)</t>
        </is>
      </c>
      <c r="B422">
        <f>IF(AND(Inputs!$B$39&lt;&gt;"pvp",Inputs!$B$44&gt;0),SUMPRODUCT((Skills!Y2:Y31&gt;0)*(Skills!E2:E31=TRUE)*(C379:C408=TRUE))/B413,0)</f>
        <v/>
      </c>
    </row>
    <row r="423">
      <c r="A423" t="inlineStr">
        <is>
          <t>Boss-Only Total DPS (this block's swept value)</t>
        </is>
      </c>
      <c r="B423">
        <f>SUM(T379:T408)</f>
        <v/>
      </c>
    </row>
    <row r="424">
      <c r="A424" t="inlineStr">
        <is>
          <t>Normal-Only Total DPS (this block's swept value)</t>
        </is>
      </c>
      <c r="B424">
        <f>SUM(V379:V408)</f>
        <v/>
      </c>
    </row>
    <row r="426">
      <c r="A426" s="5" t="inlineStr">
        <is>
          <t>Stat: MIN_DAMAGE %</t>
        </is>
      </c>
    </row>
    <row r="427">
      <c r="A427" s="9" t="inlineStr">
        <is>
          <t>Key</t>
        </is>
      </c>
      <c r="B427" s="9" t="inlineStr">
        <is>
          <t>Name</t>
        </is>
      </c>
      <c r="C427" s="9" t="inlineStr">
        <is>
          <t>Unlocked</t>
        </is>
      </c>
      <c r="D427" s="9" t="inlineStr">
        <is>
          <t>InputLevel</t>
        </is>
      </c>
      <c r="E427" s="9" t="inlineStr">
        <is>
          <t>Factor</t>
        </is>
      </c>
      <c r="F427" s="9" t="inlineStr">
        <is>
          <t>CoefficientPercent</t>
        </is>
      </c>
      <c r="G427" s="9" t="inlineStr">
        <is>
          <t>EffectiveHits</t>
        </is>
      </c>
      <c r="H427" s="9" t="inlineStr">
        <is>
          <t>ProcProbability</t>
        </is>
      </c>
      <c r="I427" s="9" t="inlineStr">
        <is>
          <t>MapleHeroMultiplier</t>
        </is>
      </c>
      <c r="J427" s="9" t="inlineStr">
        <is>
          <t>BaseDamage</t>
        </is>
      </c>
      <c r="K427" s="9" t="inlineStr">
        <is>
          <t>BaseHitDamage</t>
        </is>
      </c>
      <c r="L427" s="9" t="inlineStr">
        <is>
          <t>NonCritAvg</t>
        </is>
      </c>
      <c r="M427" s="9" t="inlineStr">
        <is>
          <t>CritAvg</t>
        </is>
      </c>
      <c r="N427" s="9" t="inlineStr">
        <is>
          <t>ExpectedDamage(perHit)</t>
        </is>
      </c>
      <c r="O427" s="9" t="inlineStr">
        <is>
          <t>DPS</t>
        </is>
      </c>
      <c r="P427" s="9" t="inlineStr">
        <is>
          <t>% of Total</t>
        </is>
      </c>
      <c r="Q427" s="9" t="inlineStr">
        <is>
          <t>InvCooldown</t>
        </is>
      </c>
      <c r="R427" s="9" t="inlineStr">
        <is>
          <t>CastsInFight</t>
        </is>
      </c>
      <c r="S427" s="9" t="inlineStr">
        <is>
          <t>HitRate(perSec)</t>
        </is>
      </c>
      <c r="U427" t="inlineStr">
        <is>
          <t>helpers</t>
        </is>
      </c>
    </row>
    <row r="428">
      <c r="A428">
        <f>Skills!A2</f>
        <v/>
      </c>
      <c r="B428">
        <f>Skills!B2</f>
        <v/>
      </c>
      <c r="C428">
        <f>Inputs!$B$3&gt;=100</f>
        <v/>
      </c>
      <c r="D428" t="inlineStr"/>
      <c r="E428" t="inlineStr"/>
      <c r="F428">
        <f>U432+Skills!O2</f>
        <v/>
      </c>
      <c r="G428">
        <f>Calc!G2</f>
        <v/>
      </c>
      <c r="H428">
        <f>Calc!H2</f>
        <v/>
      </c>
      <c r="I428">
        <f>IF(Skills!AA2&lt;&gt;"",1+(Skills!AA2/10)*(U429/1000)/100,1)</f>
        <v/>
      </c>
      <c r="J428">
        <f>((Inputs!$B$6*(1+Inputs!$B$7/100))+(((Inputs!$B$12*(1+Inputs!$B$13/100))-(Inputs!$B$12*(1+Inputs!$B$13/100)))+0.25*(Inputs!$B$14-Inputs!$B$14))*(1+Inputs!$B$7/100))*(F428/100)</f>
        <v/>
      </c>
      <c r="K428">
        <f>J428*(1+((Inputs!$B$12*(1+Inputs!$B$13/100))*0.01+Inputs!$B$14*0.0025)/100)*(1+Inputs!$B$15/100)*(1+Inputs!$B$16/100)*(5000/(6000+Inputs!$B$43*(1-Inputs!$B$19/100)))*(1+(Inputs!$B$24+((C456=TRUE)*(F456-Calc!F30)))/100)*(1+Skills!R2/100)*(1+(IF(Skills!A2="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428)</f>
        <v/>
      </c>
      <c r="L428">
        <f>K428*(MIN((Inputs!$B$22+1)+((C450=TRUE)*(F450-Calc!F24)),Inputs!$B$23)/100+Inputs!$B$23/100)/2</f>
        <v/>
      </c>
      <c r="M428">
        <f>L428*(1+(Inputs!$B$10+((C452=TRUE)*(F452-Calc!F26))+B469)/100)</f>
        <v/>
      </c>
      <c r="N428">
        <f>L428*(1-MIN((Inputs!$B$9+((C451=TRUE)*(F451-Calc!F25))+B466),100)/100)+M428*(MIN((Inputs!$B$9+((C451=TRUE)*(F451-Calc!F25))+B466),100)/100)</f>
        <v/>
      </c>
      <c r="O428">
        <f>(1-Summary!$B$55)*T428+Summary!$B$55*V428</f>
        <v/>
      </c>
      <c r="P428">
        <f>IF(B470=0,0,O428/B470)</f>
        <v/>
      </c>
      <c r="Q428" t="n">
        <v>0</v>
      </c>
      <c r="R428" t="n">
        <v>0</v>
      </c>
      <c r="S428">
        <f>IFERROR(O428/N428,0)</f>
        <v/>
      </c>
      <c r="T428">
        <f>IF(C428,(Skills!G2*N428*B464)*IF(Inputs!$B$39="pvp",1,1+(Inputs!$B$20+((C453=TRUE)*(F453-Calc!F27))+Skills!P2+B467)/100),0)</f>
        <v/>
      </c>
      <c r="U428">
        <f>MAX(0,(Inputs!$B$3-100)*3)+Inputs!$B$28+Inputs!$B$29</f>
        <v/>
      </c>
      <c r="V428">
        <f>IF(C428,(Skills!G2*N428*B464)*IF(Inputs!$B$39="pvp",1,(1+(Inputs!$B$21+Skills!Q2+B467)/100)*(MIN((6+Inputs!$B$33),Inputs!$B$37))),0)</f>
        <v/>
      </c>
    </row>
    <row r="429">
      <c r="A429">
        <f>Skills!A3</f>
        <v/>
      </c>
      <c r="B429">
        <f>Skills!B3</f>
        <v/>
      </c>
      <c r="C429">
        <f>Inputs!$B$3&gt;=35</f>
        <v/>
      </c>
      <c r="D429">
        <f>IF(Skills!C3=1,60+Inputs!$B$25+Inputs!$B$29,IF(Skills!C3=2,90+Inputs!$B$26+Inputs!$B$29,IF(Skills!C3=3,120+Inputs!$B$27+Inputs!$B$29,MAX(0,(Inputs!$B$3-100)*3)+Inputs!$B$28+Inputs!$B$29)))</f>
        <v/>
      </c>
      <c r="E429">
        <f>INDEX(FactorTable!$B$2:$Y$301, MATCH(ROUND(MIN(300,MAX(1,D429)),0), FactorTable!$A$2:$A$301,0), Skills!M3+1)</f>
        <v/>
      </c>
      <c r="F429">
        <f>IF(Skills!N3=TRUE,(Skills!L3/10)*(E429/1000),Skills!L3/10)+Skills!O3</f>
        <v/>
      </c>
      <c r="G429">
        <f>Calc!G3</f>
        <v/>
      </c>
      <c r="H429">
        <f>Calc!H3</f>
        <v/>
      </c>
      <c r="I429">
        <f>IF(Skills!AA3&lt;&gt;"",1+(Skills!AA3/10)*(U429/1000)/100,1)</f>
        <v/>
      </c>
      <c r="J429">
        <f>((Inputs!$B$6*(1+Inputs!$B$7/100))+(((Inputs!$B$12*(1+Inputs!$B$13/100))-(Inputs!$B$12*(1+Inputs!$B$13/100)))+0.25*(Inputs!$B$14-Inputs!$B$14))*(1+Inputs!$B$7/100))*(F429/100)</f>
        <v/>
      </c>
      <c r="K429">
        <f>J429*(1+((Inputs!$B$12*(1+Inputs!$B$13/100))*0.01+Inputs!$B$14*0.0025)/100)*(1+Inputs!$B$15/100)*(1+Inputs!$B$16/100)*(5000/(6000+Inputs!$B$43*(1-Inputs!$B$19/100)))*(1+(Inputs!$B$24+((C456=TRUE)*(F456-Calc!F30)))/100)*(1+Skills!R3/100)*(1+(IF(Skills!A3="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429)</f>
        <v/>
      </c>
      <c r="L429">
        <f>K429*(MIN((Inputs!$B$22+1)+((C450=TRUE)*(F450-Calc!F24)),Inputs!$B$23)/100+Inputs!$B$23/100)/2</f>
        <v/>
      </c>
      <c r="M429">
        <f>L429*(1+(Inputs!$B$10+((C452=TRUE)*(F452-Calc!F26))+B469)/100)</f>
        <v/>
      </c>
      <c r="N429">
        <f>L429*(1-MIN((Inputs!$B$9+((C451=TRUE)*(F451-Calc!F25))+B466),100)/100)+M429*(MIN((Inputs!$B$9+((C451=TRUE)*(F451-Calc!F25))+B466),100)/100)</f>
        <v/>
      </c>
      <c r="O429">
        <f>(1-Summary!$B$55)*T429+Summary!$B$55*V429</f>
        <v/>
      </c>
      <c r="P429">
        <f>IF(B470=0,0,O429/B470)</f>
        <v/>
      </c>
      <c r="Q429">
        <f>IFERROR(1/IF(Inputs!$B$39="pvp",15,MAX(0.1,Skills!D3-IF(Skills!E3=TRUE,Inputs!$B$32,0))),0)</f>
        <v/>
      </c>
      <c r="R429">
        <f>IF(AND(Inputs!$B$39&lt;&gt;"pvp",Inputs!$B$44&gt;0),IF(MAX(0,Inputs!$B$44-B471)&lt;=0,0,(INT(MAX(0,Inputs!$B$44-B471)/IF(Inputs!$B$39="pvp",15,MAX(0.1,Skills!D3-IF(Skills!E3=TRUE,Inputs!$B$32,0))))+1)),0)</f>
        <v/>
      </c>
      <c r="S429">
        <f>IFERROR(O429/N429,0)</f>
        <v/>
      </c>
      <c r="T429">
        <f>IF(C429,(H429*N429*IF(AND(Inputs!$B$39&lt;&gt;"pvp",Inputs!$B$44&gt;0),((Skills!G3*((R429-1)*IF(Skills!H3&gt;0,Skills!I3/Skills!H3,1)+IF(Skills!H3&gt;0,MIN(Skills!I3,MAX(0,MAX(0,Inputs!$B$44-B471)-((R429-1)*IF(Inputs!$B$39="pvp",15,MAX(0.1,Skills!D3-IF(Skills!E3=TRUE,Inputs!$B$32,0))))))/Skills!H3,1)))/Inputs!$B$44),G429*Q429))*IF(Inputs!$B$39="pvp",1,1+(Inputs!$B$20+((C453=TRUE)*(F453-Calc!F27))+Skills!P3+B467)/100),0)</f>
        <v/>
      </c>
      <c r="U429">
        <f>INDEX(FactorTable!$B$2:$Y$301, MATCH(ROUND(MIN(300,MAX(1,U428)),0), FactorTable!$A$2:$A$301,0), 24)</f>
        <v/>
      </c>
      <c r="V429">
        <f>IF(C429,(H429*N429*IF(AND(Inputs!$B$39&lt;&gt;"pvp",Inputs!$B$44&gt;0),((Skills!G3*((R429-1)*IF(Skills!H3&gt;0,Skills!I3/Skills!H3,1)+IF(Skills!H3&gt;0,MIN(Skills!I3,MAX(0,MAX(0,Inputs!$B$44-B471)-((R429-1)*IF(Inputs!$B$39="pvp",15,MAX(0.1,Skills!D3-IF(Skills!E3=TRUE,Inputs!$B$32,0))))))/Skills!H3,1)))/Inputs!$B$44),G429*Q429))*IF(Inputs!$B$39="pvp",1,(1+(Inputs!$B$21+Skills!Q3+B467)/100)*(MIN(Skills!W3,Inputs!$B$37))),0)</f>
        <v/>
      </c>
    </row>
    <row r="430">
      <c r="A430">
        <f>Skills!A4</f>
        <v/>
      </c>
      <c r="B430">
        <f>Skills!B4</f>
        <v/>
      </c>
      <c r="C430">
        <f>Inputs!$B$3&gt;=40</f>
        <v/>
      </c>
      <c r="D430">
        <f>IF(Skills!C4=1,60+Inputs!$B$25+Inputs!$B$29,IF(Skills!C4=2,90+Inputs!$B$26+Inputs!$B$29,IF(Skills!C4=3,120+Inputs!$B$27+Inputs!$B$29,MAX(0,(Inputs!$B$3-100)*3)+Inputs!$B$28+Inputs!$B$29)))</f>
        <v/>
      </c>
      <c r="E430">
        <f>INDEX(FactorTable!$B$2:$Y$301, MATCH(ROUND(MIN(300,MAX(1,D430)),0), FactorTable!$A$2:$A$301,0), Skills!M4+1)</f>
        <v/>
      </c>
      <c r="F430">
        <f>IF(Skills!N4=TRUE,(Skills!L4/10)*(E430/1000),Skills!L4/10)+Skills!O4</f>
        <v/>
      </c>
      <c r="G430">
        <f>Calc!G4</f>
        <v/>
      </c>
      <c r="H430">
        <f>Calc!H4</f>
        <v/>
      </c>
      <c r="I430">
        <f>IF(Skills!AA4&lt;&gt;"",1+(Skills!AA4/10)*(U429/1000)/100,1)</f>
        <v/>
      </c>
      <c r="J430">
        <f>((Inputs!$B$6*(1+Inputs!$B$7/100))+(((Inputs!$B$12*(1+Inputs!$B$13/100))-(Inputs!$B$12*(1+Inputs!$B$13/100)))+0.25*(Inputs!$B$14-Inputs!$B$14))*(1+Inputs!$B$7/100))*(F430/100)</f>
        <v/>
      </c>
      <c r="K430">
        <f>J430*(1+((Inputs!$B$12*(1+Inputs!$B$13/100))*0.01+Inputs!$B$14*0.0025)/100)*(1+Inputs!$B$15/100)*(1+Inputs!$B$16/100)*(5000/(6000+Inputs!$B$43*(1-Inputs!$B$19/100)))*(1+(Inputs!$B$24+((C456=TRUE)*(F456-Calc!F30)))/100)*(1+Skills!R4/100)*(1+(IF(Skills!A4="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430)</f>
        <v/>
      </c>
      <c r="L430">
        <f>K430*(MIN((Inputs!$B$22+1)+((C450=TRUE)*(F450-Calc!F24)),Inputs!$B$23)/100+Inputs!$B$23/100)/2</f>
        <v/>
      </c>
      <c r="M430">
        <f>L430*(1+(Inputs!$B$10+((C452=TRUE)*(F452-Calc!F26))+B469)/100)</f>
        <v/>
      </c>
      <c r="N430">
        <f>L430*(1-MIN((Inputs!$B$9+((C451=TRUE)*(F451-Calc!F25))+B466),100)/100)+M430*(MIN((Inputs!$B$9+((C451=TRUE)*(F451-Calc!F25))+B466),100)/100)</f>
        <v/>
      </c>
      <c r="O430">
        <f>(1-Summary!$B$55)*T430+Summary!$B$55*V430</f>
        <v/>
      </c>
      <c r="P430">
        <f>IF(B470=0,0,O430/B470)</f>
        <v/>
      </c>
      <c r="Q430">
        <f>IFERROR(1/IF(Inputs!$B$39="pvp",15,MAX(0.1,Skills!D4-IF(Skills!E4=TRUE,Inputs!$B$32,0))),0)</f>
        <v/>
      </c>
      <c r="R430">
        <f>IF(AND(Inputs!$B$39&lt;&gt;"pvp",Inputs!$B$44&gt;0),IF(MAX(0,Inputs!$B$44-B471)&lt;=0,0,(INT(MAX(0,Inputs!$B$44-B471)/IF(Inputs!$B$39="pvp",15,MAX(0.1,Skills!D4-IF(Skills!E4=TRUE,Inputs!$B$32,0))))+1)),0)</f>
        <v/>
      </c>
      <c r="S430">
        <f>IFERROR(O430/N430,0)</f>
        <v/>
      </c>
      <c r="T430">
        <f>IF(C430,(H430*N430*IF(AND(Inputs!$B$39&lt;&gt;"pvp",Inputs!$B$44&gt;0),((Skills!G4*((R430-1)*IF(Skills!H4&gt;0,Skills!I4/Skills!H4,1)+IF(Skills!H4&gt;0,MIN(Skills!I4,MAX(0,MAX(0,Inputs!$B$44-B471)-((R430-1)*IF(Inputs!$B$39="pvp",15,MAX(0.1,Skills!D4-IF(Skills!E4=TRUE,Inputs!$B$32,0))))))/Skills!H4,1)))/Inputs!$B$44),G430*Q430))*IF(Inputs!$B$39="pvp",1,1+(Inputs!$B$20+((C453=TRUE)*(F453-Calc!F27))+Skills!P4+B467)/100),0)</f>
        <v/>
      </c>
      <c r="U430">
        <f>MAX(0,(Inputs!$B$3-100)*3)+Inputs!$B$28+Inputs!$B$29</f>
        <v/>
      </c>
      <c r="V430">
        <f>IF(C430,(H430*N430*IF(AND(Inputs!$B$39&lt;&gt;"pvp",Inputs!$B$44&gt;0),((Skills!G4*((R430-1)*IF(Skills!H4&gt;0,Skills!I4/Skills!H4,1)+IF(Skills!H4&gt;0,MIN(Skills!I4,MAX(0,MAX(0,Inputs!$B$44-B471)-((R430-1)*IF(Inputs!$B$39="pvp",15,MAX(0.1,Skills!D4-IF(Skills!E4=TRUE,Inputs!$B$32,0))))))/Skills!H4,1)))/Inputs!$B$44),G430*Q430))*IF(Inputs!$B$39="pvp",1,(1+(Inputs!$B$21+Skills!Q4+B467)/100)*(MIN(Skills!W4,Inputs!$B$37))),0)</f>
        <v/>
      </c>
    </row>
    <row r="431">
      <c r="A431">
        <f>Skills!A5</f>
        <v/>
      </c>
      <c r="B431">
        <f>Skills!B5</f>
        <v/>
      </c>
      <c r="C431">
        <f>Inputs!$B$3&gt;=63</f>
        <v/>
      </c>
      <c r="D431">
        <f>IF(Skills!C5=1,60+Inputs!$B$25+Inputs!$B$29,IF(Skills!C5=2,90+Inputs!$B$26+Inputs!$B$29,IF(Skills!C5=3,120+Inputs!$B$27+Inputs!$B$29,MAX(0,(Inputs!$B$3-100)*3)+Inputs!$B$28+Inputs!$B$29)))</f>
        <v/>
      </c>
      <c r="E431">
        <f>INDEX(FactorTable!$B$2:$Y$301, MATCH(ROUND(MIN(300,MAX(1,D431)),0), FactorTable!$A$2:$A$301,0), Skills!M5+1)</f>
        <v/>
      </c>
      <c r="F431">
        <f>IF(Skills!N5=TRUE,(Skills!L5/10)*(E431/1000),Skills!L5/10)+Skills!O5</f>
        <v/>
      </c>
      <c r="G431">
        <f>Calc!G5</f>
        <v/>
      </c>
      <c r="H431">
        <f>Calc!H5</f>
        <v/>
      </c>
      <c r="I431">
        <f>IF(Skills!AA5&lt;&gt;"",1+(Skills!AA5/10)*(U429/1000)/100,1)</f>
        <v/>
      </c>
      <c r="J431">
        <f>((Inputs!$B$6*(1+Inputs!$B$7/100))+(((Inputs!$B$12*(1+Inputs!$B$13/100))-(Inputs!$B$12*(1+Inputs!$B$13/100)))+0.25*(Inputs!$B$14-Inputs!$B$14))*(1+Inputs!$B$7/100))*(F431/100)</f>
        <v/>
      </c>
      <c r="K431">
        <f>J431*(1+((Inputs!$B$12*(1+Inputs!$B$13/100))*0.01+Inputs!$B$14*0.0025)/100)*(1+Inputs!$B$15/100)*(1+Inputs!$B$16/100)*(5000/(6000+Inputs!$B$43*(1-Inputs!$B$19/100)))*(1+(Inputs!$B$24+((C456=TRUE)*(F456-Calc!F30)))/100)*(1+Skills!R5/100)*(1+(IF(Skills!A5="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431)</f>
        <v/>
      </c>
      <c r="L431">
        <f>K431*(MIN((Inputs!$B$22+1)+((C450=TRUE)*(F450-Calc!F24)),Inputs!$B$23)/100+Inputs!$B$23/100)/2</f>
        <v/>
      </c>
      <c r="M431">
        <f>L431*(1+(Inputs!$B$10+((C452=TRUE)*(F452-Calc!F26))+B469)/100)</f>
        <v/>
      </c>
      <c r="N431">
        <f>L431*(1-MIN((Inputs!$B$9+((C451=TRUE)*(F451-Calc!F25))+B466),100)/100)+M431*(MIN((Inputs!$B$9+((C451=TRUE)*(F451-Calc!F25))+B466),100)/100)</f>
        <v/>
      </c>
      <c r="O431">
        <f>(1-Summary!$B$55)*T431+Summary!$B$55*V431</f>
        <v/>
      </c>
      <c r="P431">
        <f>IF(B470=0,0,O431/B470)</f>
        <v/>
      </c>
      <c r="Q431">
        <f>IFERROR(1/IF(Inputs!$B$39="pvp",15,MAX(0.1,Skills!D5-IF(Skills!E5=TRUE,Inputs!$B$32,0))),0)</f>
        <v/>
      </c>
      <c r="R431">
        <f>IF(AND(Inputs!$B$39&lt;&gt;"pvp",Inputs!$B$44&gt;0),IF(MAX(0,Inputs!$B$44-B471)&lt;=0,0,(INT(MAX(0,Inputs!$B$44-B471)/IF(Inputs!$B$39="pvp",15,MAX(0.1,Skills!D5-IF(Skills!E5=TRUE,Inputs!$B$32,0))))+1)),0)</f>
        <v/>
      </c>
      <c r="S431">
        <f>IFERROR(O431/N431,0)</f>
        <v/>
      </c>
      <c r="T431">
        <f>IF(C431,(H431*N431*IF(AND(Inputs!$B$39&lt;&gt;"pvp",Inputs!$B$44&gt;0),((Skills!G5*((R431-1)*IF(Skills!H5&gt;0,Skills!I5/Skills!H5,1)+IF(Skills!H5&gt;0,MIN(Skills!I5,MAX(0,MAX(0,Inputs!$B$44-B471)-((R431-1)*IF(Inputs!$B$39="pvp",15,MAX(0.1,Skills!D5-IF(Skills!E5=TRUE,Inputs!$B$32,0))))))/Skills!H5,1)))/Inputs!$B$44),G431*Q431))*IF(Inputs!$B$39="pvp",1,1+(Inputs!$B$20+((C453=TRUE)*(F453-Calc!F27))+Skills!P5+B467)/100),0)</f>
        <v/>
      </c>
      <c r="U431">
        <f>INDEX(FactorTable!$B$2:$Y$301, MATCH(ROUND(MIN(300,MAX(1,U430)),0), FactorTable!$A$2:$A$301,0), 22)</f>
        <v/>
      </c>
      <c r="V431">
        <f>IF(C431,(H431*N431*IF(AND(Inputs!$B$39&lt;&gt;"pvp",Inputs!$B$44&gt;0),((Skills!G5*((R431-1)*IF(Skills!H5&gt;0,Skills!I5/Skills!H5,1)+IF(Skills!H5&gt;0,MIN(Skills!I5,MAX(0,MAX(0,Inputs!$B$44-B471)-((R431-1)*IF(Inputs!$B$39="pvp",15,MAX(0.1,Skills!D5-IF(Skills!E5=TRUE,Inputs!$B$32,0))))))/Skills!H5,1)))/Inputs!$B$44),G431*Q431))*IF(Inputs!$B$39="pvp",1,(1+(Inputs!$B$21+Skills!Q5+B467)/100)*(MIN(Skills!W5,Inputs!$B$37))),0)</f>
        <v/>
      </c>
    </row>
    <row r="432">
      <c r="A432">
        <f>Skills!A6</f>
        <v/>
      </c>
      <c r="B432">
        <f>Skills!B6</f>
        <v/>
      </c>
      <c r="C432">
        <f>Inputs!$B$3&gt;=66</f>
        <v/>
      </c>
      <c r="D432">
        <f>IF(Skills!C6=1,60+Inputs!$B$25+Inputs!$B$29,IF(Skills!C6=2,90+Inputs!$B$26+Inputs!$B$29,IF(Skills!C6=3,120+Inputs!$B$27+Inputs!$B$29,MAX(0,(Inputs!$B$3-100)*3)+Inputs!$B$28+Inputs!$B$29)))</f>
        <v/>
      </c>
      <c r="E432">
        <f>INDEX(FactorTable!$B$2:$Y$301, MATCH(ROUND(MIN(300,MAX(1,D432)),0), FactorTable!$A$2:$A$301,0), Skills!M6+1)</f>
        <v/>
      </c>
      <c r="F432">
        <f>IF(Skills!N6=TRUE,(Skills!L6/10)*(E432/1000),Skills!L6/10)+Skills!O6</f>
        <v/>
      </c>
      <c r="G432">
        <f>Calc!G6</f>
        <v/>
      </c>
      <c r="H432">
        <f>Calc!H6</f>
        <v/>
      </c>
      <c r="I432">
        <f>IF(Skills!AA6&lt;&gt;"",1+(Skills!AA6/10)*(U429/1000)/100,1)</f>
        <v/>
      </c>
      <c r="J432" t="inlineStr"/>
      <c r="K432" t="inlineStr"/>
      <c r="L432" t="inlineStr"/>
      <c r="M432" t="inlineStr"/>
      <c r="N432" t="inlineStr"/>
      <c r="O432">
        <f>(1-Summary!$B$55)*T432+Summary!$B$55*V432</f>
        <v/>
      </c>
      <c r="P432">
        <f>IF(B470=0,0,O432/B470)</f>
        <v/>
      </c>
      <c r="Q432" t="n">
        <v>0</v>
      </c>
      <c r="R432" t="n">
        <v>0</v>
      </c>
      <c r="S432">
        <f>IFERROR(O432/N432,0)</f>
        <v/>
      </c>
      <c r="T432" t="n">
        <v>0</v>
      </c>
      <c r="U432">
        <f>290*U431/1000</f>
        <v/>
      </c>
      <c r="V432" t="n">
        <v>0</v>
      </c>
    </row>
    <row r="433">
      <c r="A433">
        <f>Skills!A7</f>
        <v/>
      </c>
      <c r="B433">
        <f>Skills!B7</f>
        <v/>
      </c>
      <c r="C433">
        <f>Inputs!$B$3&gt;=66</f>
        <v/>
      </c>
      <c r="D433">
        <f>IF(Skills!C7=1,60+Inputs!$B$25+Inputs!$B$29,IF(Skills!C7=2,90+Inputs!$B$26+Inputs!$B$29,IF(Skills!C7=3,120+Inputs!$B$27+Inputs!$B$29,MAX(0,(Inputs!$B$3-100)*3)+Inputs!$B$28+Inputs!$B$29)))</f>
        <v/>
      </c>
      <c r="E433">
        <f>INDEX(FactorTable!$B$2:$Y$301, MATCH(ROUND(MIN(300,MAX(1,D433)),0), FactorTable!$A$2:$A$301,0), Skills!M7+1)</f>
        <v/>
      </c>
      <c r="F433">
        <f>IF(Skills!N7=TRUE,(Skills!L7/10)*(E433/1000),Skills!L7/10)+Skills!O7</f>
        <v/>
      </c>
      <c r="G433">
        <f>Calc!G7</f>
        <v/>
      </c>
      <c r="H433">
        <f>Calc!H7</f>
        <v/>
      </c>
      <c r="I433">
        <f>IF(Skills!AA7&lt;&gt;"",1+(Skills!AA7/10)*(U429/1000)/100,1)</f>
        <v/>
      </c>
      <c r="J433" t="inlineStr"/>
      <c r="K433" t="inlineStr"/>
      <c r="L433" t="inlineStr"/>
      <c r="M433" t="inlineStr"/>
      <c r="N433" t="inlineStr"/>
      <c r="O433">
        <f>(1-Summary!$B$55)*T433+Summary!$B$55*V433</f>
        <v/>
      </c>
      <c r="P433">
        <f>IF(B470=0,0,O433/B470)</f>
        <v/>
      </c>
      <c r="Q433" t="n">
        <v>0</v>
      </c>
      <c r="R433" t="n">
        <v>0</v>
      </c>
      <c r="S433">
        <f>IFERROR(O433/N433,0)</f>
        <v/>
      </c>
      <c r="T433" t="n">
        <v>0</v>
      </c>
      <c r="V433" t="n">
        <v>0</v>
      </c>
    </row>
    <row r="434">
      <c r="A434">
        <f>Skills!A8</f>
        <v/>
      </c>
      <c r="B434">
        <f>Skills!B8</f>
        <v/>
      </c>
      <c r="C434">
        <f>Inputs!$B$3&gt;=69</f>
        <v/>
      </c>
      <c r="D434">
        <f>IF(Skills!C8=1,60+Inputs!$B$25+Inputs!$B$29,IF(Skills!C8=2,90+Inputs!$B$26+Inputs!$B$29,IF(Skills!C8=3,120+Inputs!$B$27+Inputs!$B$29,MAX(0,(Inputs!$B$3-100)*3)+Inputs!$B$28+Inputs!$B$29)))</f>
        <v/>
      </c>
      <c r="E434">
        <f>INDEX(FactorTable!$B$2:$Y$301, MATCH(ROUND(MIN(300,MAX(1,D434)),0), FactorTable!$A$2:$A$301,0), Skills!M8+1)</f>
        <v/>
      </c>
      <c r="F434">
        <f>IF(Skills!N8=TRUE,(Skills!L8/10)*(E434/1000),Skills!L8/10)+Skills!O8</f>
        <v/>
      </c>
      <c r="G434">
        <f>Calc!G8</f>
        <v/>
      </c>
      <c r="H434">
        <f>Calc!H8</f>
        <v/>
      </c>
      <c r="I434">
        <f>IF(Skills!AA8&lt;&gt;"",1+(Skills!AA8/10)*(U429/1000)/100,1)</f>
        <v/>
      </c>
      <c r="J434">
        <f>((Inputs!$B$6*(1+Inputs!$B$7/100))+(((Inputs!$B$12*(1+Inputs!$B$13/100))-(Inputs!$B$12*(1+Inputs!$B$13/100)))+0.25*(Inputs!$B$14-Inputs!$B$14))*(1+Inputs!$B$7/100))*(F434/100)</f>
        <v/>
      </c>
      <c r="K434">
        <f>J434*(1+((Inputs!$B$12*(1+Inputs!$B$13/100))*0.01+Inputs!$B$14*0.0025)/100)*(1+Inputs!$B$15/100)*(1+Inputs!$B$16/100)*(5000/(6000+Inputs!$B$43*(1-Inputs!$B$19/100)))*(1+(Inputs!$B$24+((C456=TRUE)*(F456-Calc!F30)))/100)*(1+Skills!R8/100)*(1+(IF(Skills!A8="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434)</f>
        <v/>
      </c>
      <c r="L434">
        <f>K434*(MIN((Inputs!$B$22+1)+((C450=TRUE)*(F450-Calc!F24)),Inputs!$B$23)/100+Inputs!$B$23/100)/2</f>
        <v/>
      </c>
      <c r="M434">
        <f>L434*(1+(Inputs!$B$10+((C452=TRUE)*(F452-Calc!F26))+B469)/100)</f>
        <v/>
      </c>
      <c r="N434">
        <f>L434*(1-MIN((Inputs!$B$9+((C451=TRUE)*(F451-Calc!F25))+B466),100)/100)+M434*(MIN((Inputs!$B$9+((C451=TRUE)*(F451-Calc!F25))+B466),100)/100)</f>
        <v/>
      </c>
      <c r="O434">
        <f>(1-Summary!$B$55)*T434+Summary!$B$55*V434</f>
        <v/>
      </c>
      <c r="P434">
        <f>IF(B470=0,0,O434/B470)</f>
        <v/>
      </c>
      <c r="Q434">
        <f>IFERROR(1/IF(Inputs!$B$39="pvp",15,MAX(0.1,Skills!D8-IF(Skills!E8=TRUE,Inputs!$B$32,0))),0)</f>
        <v/>
      </c>
      <c r="R434">
        <f>IF(AND(Inputs!$B$39&lt;&gt;"pvp",Inputs!$B$44&gt;0),IF(MAX(0,Inputs!$B$44-B471)&lt;=0,0,(INT(MAX(0,Inputs!$B$44-B471)/IF(Inputs!$B$39="pvp",15,MAX(0.1,Skills!D8-IF(Skills!E8=TRUE,Inputs!$B$32,0))))+1)),0)</f>
        <v/>
      </c>
      <c r="S434">
        <f>IFERROR(O434/N434,0)</f>
        <v/>
      </c>
      <c r="T434">
        <f>IF(C434,(H434*N434*IF(AND(Inputs!$B$39&lt;&gt;"pvp",Inputs!$B$44&gt;0),((Skills!G8*((R434-1)*IF(Skills!H8&gt;0,Skills!I8/Skills!H8,1)+IF(Skills!H8&gt;0,MIN(Skills!I8,MAX(0,MAX(0,Inputs!$B$44-B471)-((R434-1)*IF(Inputs!$B$39="pvp",15,MAX(0.1,Skills!D8-IF(Skills!E8=TRUE,Inputs!$B$32,0))))))/Skills!H8,1)))/Inputs!$B$44),G434*Q434))*IF(Inputs!$B$39="pvp",1,1+(Inputs!$B$20+((C453=TRUE)*(F453-Calc!F27))+Skills!P8+B467)/100),0)</f>
        <v/>
      </c>
      <c r="V434">
        <f>IF(C434,(H434*N434*IF(AND(Inputs!$B$39&lt;&gt;"pvp",Inputs!$B$44&gt;0),((Skills!G8*((R434-1)*IF(Skills!H8&gt;0,Skills!I8/Skills!H8,1)+IF(Skills!H8&gt;0,MIN(Skills!I8,MAX(0,MAX(0,Inputs!$B$44-B471)-((R434-1)*IF(Inputs!$B$39="pvp",15,MAX(0.1,Skills!D8-IF(Skills!E8=TRUE,Inputs!$B$32,0))))))/Skills!H8,1)))/Inputs!$B$44),G434*Q434))*IF(Inputs!$B$39="pvp",1,(1+(Inputs!$B$21+Skills!Q8+B467)/100)*(MIN(Skills!W8,Inputs!$B$37))),0)</f>
        <v/>
      </c>
    </row>
    <row r="435">
      <c r="A435">
        <f>Skills!A9</f>
        <v/>
      </c>
      <c r="B435">
        <f>Skills!B9</f>
        <v/>
      </c>
      <c r="C435">
        <f>Inputs!$B$3&gt;=72</f>
        <v/>
      </c>
      <c r="D435">
        <f>IF(Skills!C9=1,60+Inputs!$B$25+Inputs!$B$29,IF(Skills!C9=2,90+Inputs!$B$26+Inputs!$B$29,IF(Skills!C9=3,120+Inputs!$B$27+Inputs!$B$29,MAX(0,(Inputs!$B$3-100)*3)+Inputs!$B$28+Inputs!$B$29)))</f>
        <v/>
      </c>
      <c r="E435">
        <f>INDEX(FactorTable!$B$2:$Y$301, MATCH(ROUND(MIN(300,MAX(1,D435)),0), FactorTable!$A$2:$A$301,0), Skills!M9+1)</f>
        <v/>
      </c>
      <c r="F435">
        <f>IF(Skills!N9=TRUE,(Skills!L9/10)*(E435/1000),Skills!L9/10)+Skills!O9</f>
        <v/>
      </c>
      <c r="G435">
        <f>Calc!G9</f>
        <v/>
      </c>
      <c r="H435">
        <f>Calc!H9</f>
        <v/>
      </c>
      <c r="I435">
        <f>IF(Skills!AA9&lt;&gt;"",1+(Skills!AA9/10)*(U429/1000)/100,1)</f>
        <v/>
      </c>
      <c r="J435">
        <f>((Inputs!$B$6*(1+Inputs!$B$7/100))+(((Inputs!$B$12*(1+Inputs!$B$13/100))-(Inputs!$B$12*(1+Inputs!$B$13/100)))+0.25*(Inputs!$B$14-Inputs!$B$14))*(1+Inputs!$B$7/100))*(F435/100)</f>
        <v/>
      </c>
      <c r="K435">
        <f>J435*(1+((Inputs!$B$12*(1+Inputs!$B$13/100))*0.01+Inputs!$B$14*0.0025)/100)*(1+Inputs!$B$15/100)*(1+Inputs!$B$16/100)*(5000/(6000+Inputs!$B$43*(1-Inputs!$B$19/100)))*(1+(Inputs!$B$24+((C456=TRUE)*(F456-Calc!F30)))/100)*(1+Skills!R9/100)*(1+(IF(Skills!A9="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435)</f>
        <v/>
      </c>
      <c r="L435">
        <f>K435*(MIN((Inputs!$B$22+1)+((C450=TRUE)*(F450-Calc!F24)),Inputs!$B$23)/100+Inputs!$B$23/100)/2</f>
        <v/>
      </c>
      <c r="M435">
        <f>L435*(1+(Inputs!$B$10+((C452=TRUE)*(F452-Calc!F26))+B469)/100)</f>
        <v/>
      </c>
      <c r="N435">
        <f>L435*(1-MIN((Inputs!$B$9+((C451=TRUE)*(F451-Calc!F25))+B466),100)/100)+M435*(MIN((Inputs!$B$9+((C451=TRUE)*(F451-Calc!F25))+B466),100)/100)</f>
        <v/>
      </c>
      <c r="O435">
        <f>(1-Summary!$B$55)*T435+Summary!$B$55*V435</f>
        <v/>
      </c>
      <c r="P435">
        <f>IF(B470=0,0,O435/B470)</f>
        <v/>
      </c>
      <c r="Q435">
        <f>IFERROR(1/IF(Inputs!$B$39="pvp",15,MAX(0.1,Skills!D9-IF(Skills!E9=TRUE,Inputs!$B$32,0))),0)</f>
        <v/>
      </c>
      <c r="R435">
        <f>IF(AND(Inputs!$B$39&lt;&gt;"pvp",Inputs!$B$44&gt;0),IF(MAX(0,Inputs!$B$44-B471)&lt;=0,0,(INT(MAX(0,Inputs!$B$44-B471)/IF(Inputs!$B$39="pvp",15,MAX(0.1,Skills!D9-IF(Skills!E9=TRUE,Inputs!$B$32,0))))+1)),0)</f>
        <v/>
      </c>
      <c r="S435">
        <f>IFERROR(O435/N435,0)</f>
        <v/>
      </c>
      <c r="T435">
        <f>IF(C435,(H435*N435*IF(AND(Inputs!$B$39&lt;&gt;"pvp",Inputs!$B$44&gt;0),((Skills!G9*((R435-1)*IF(Skills!H9&gt;0,Skills!I9/Skills!H9,1)+IF(Skills!H9&gt;0,MIN(Skills!I9,MAX(0,MAX(0,Inputs!$B$44-B471)-((R435-1)*IF(Inputs!$B$39="pvp",15,MAX(0.1,Skills!D9-IF(Skills!E9=TRUE,Inputs!$B$32,0))))))/Skills!H9,1)))/Inputs!$B$44),G435*Q435))*IF(Inputs!$B$39="pvp",1,1+(Inputs!$B$20+((C453=TRUE)*(F453-Calc!F27))+Skills!P9+B467)/100),0)</f>
        <v/>
      </c>
      <c r="V435">
        <f>IF(C435,(H435*N435*IF(AND(Inputs!$B$39&lt;&gt;"pvp",Inputs!$B$44&gt;0),((Skills!G9*((R435-1)*IF(Skills!H9&gt;0,Skills!I9/Skills!H9,1)+IF(Skills!H9&gt;0,MIN(Skills!I9,MAX(0,MAX(0,Inputs!$B$44-B471)-((R435-1)*IF(Inputs!$B$39="pvp",15,MAX(0.1,Skills!D9-IF(Skills!E9=TRUE,Inputs!$B$32,0))))))/Skills!H9,1)))/Inputs!$B$44),G435*Q435))*IF(Inputs!$B$39="pvp",1,(1+(Inputs!$B$21+Skills!Q9+B467)/100)*(MIN(Skills!W9,Inputs!$B$37))),0)</f>
        <v/>
      </c>
    </row>
    <row r="436">
      <c r="A436">
        <f>Skills!A10</f>
        <v/>
      </c>
      <c r="B436">
        <f>Skills!B10</f>
        <v/>
      </c>
      <c r="C436">
        <f>Inputs!$B$3&gt;=117</f>
        <v/>
      </c>
      <c r="D436">
        <f>IF(Skills!C10=1,60+Inputs!$B$25+Inputs!$B$29,IF(Skills!C10=2,90+Inputs!$B$26+Inputs!$B$29,IF(Skills!C10=3,120+Inputs!$B$27+Inputs!$B$29,MAX(0,(Inputs!$B$3-100)*3)+Inputs!$B$28+Inputs!$B$29)))</f>
        <v/>
      </c>
      <c r="E436">
        <f>INDEX(FactorTable!$B$2:$Y$301, MATCH(ROUND(MIN(300,MAX(1,D436)),0), FactorTable!$A$2:$A$301,0), Skills!M10+1)</f>
        <v/>
      </c>
      <c r="F436">
        <f>IF(Skills!N10=TRUE,(Skills!L10/10)*(E436/1000),Skills!L10/10)+Skills!O10</f>
        <v/>
      </c>
      <c r="G436">
        <f>Calc!G10</f>
        <v/>
      </c>
      <c r="H436">
        <f>Calc!H10</f>
        <v/>
      </c>
      <c r="I436">
        <f>IF(Skills!AA10&lt;&gt;"",1+(Skills!AA10/10)*(U429/1000)/100,1)</f>
        <v/>
      </c>
      <c r="J436">
        <f>((Inputs!$B$6*(1+Inputs!$B$7/100))+(((Inputs!$B$12*(1+Inputs!$B$13/100))-(Inputs!$B$12*(1+Inputs!$B$13/100)))+0.25*(Inputs!$B$14-Inputs!$B$14))*(1+Inputs!$B$7/100))*(F436/100)</f>
        <v/>
      </c>
      <c r="K436">
        <f>J436*(1+((Inputs!$B$12*(1+Inputs!$B$13/100))*0.01+Inputs!$B$14*0.0025)/100)*(1+Inputs!$B$15/100)*(1+Inputs!$B$16/100)*(5000/(6000+Inputs!$B$43*(1-Inputs!$B$19/100)))*(1+(Inputs!$B$24+((C456=TRUE)*(F456-Calc!F30)))/100)*(1+Skills!R10/100)*(1+(IF(Skills!A10="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436)</f>
        <v/>
      </c>
      <c r="L436">
        <f>K436*(MIN((Inputs!$B$22+1)+((C450=TRUE)*(F450-Calc!F24)),Inputs!$B$23)/100+Inputs!$B$23/100)/2</f>
        <v/>
      </c>
      <c r="M436">
        <f>L436*(1+(Inputs!$B$10+((C452=TRUE)*(F452-Calc!F26))+B469)/100)</f>
        <v/>
      </c>
      <c r="N436">
        <f>L436*(1-MIN((Inputs!$B$9+((C451=TRUE)*(F451-Calc!F25))+B466),100)/100)+M436*(MIN((Inputs!$B$9+((C451=TRUE)*(F451-Calc!F25))+B466),100)/100)</f>
        <v/>
      </c>
      <c r="O436">
        <f>(1-Summary!$B$55)*T436+Summary!$B$55*V436</f>
        <v/>
      </c>
      <c r="P436">
        <f>IF(B470=0,0,O436/B470)</f>
        <v/>
      </c>
      <c r="Q436" t="n">
        <v>0</v>
      </c>
      <c r="R436" t="n">
        <v>0</v>
      </c>
      <c r="S436" t="n">
        <v>0</v>
      </c>
      <c r="T436">
        <f>IF(C436,(0.2*SUMPRODUCT((Skills!Z2:Z31=TRUE)*(C428:C457=TRUE)*S428:S457)*N436)*IF(Inputs!$B$39="pvp",1,1+(Inputs!$B$20+((C453=TRUE)*(F453-Calc!F27))+Skills!P10+B467)/100),0)</f>
        <v/>
      </c>
      <c r="V436">
        <f>IF(C436,(0.2*SUMPRODUCT((Skills!Z2:Z31=TRUE)*(C428:C457=TRUE)*S428:S457)*N436)*IF(Inputs!$B$39="pvp",1,(1+(Inputs!$B$21+Skills!Q10+B467)/100)*(MIN(Skills!W10,Inputs!$B$37))),0)</f>
        <v/>
      </c>
    </row>
    <row r="437">
      <c r="A437">
        <f>Skills!A11</f>
        <v/>
      </c>
      <c r="B437">
        <f>Skills!B11</f>
        <v/>
      </c>
      <c r="C437">
        <f>Inputs!$B$3&gt;=60</f>
        <v/>
      </c>
      <c r="D437">
        <f>IF(Skills!C11=1,60+Inputs!$B$25+Inputs!$B$29,IF(Skills!C11=2,90+Inputs!$B$26+Inputs!$B$29,IF(Skills!C11=3,120+Inputs!$B$27+Inputs!$B$29,MAX(0,(Inputs!$B$3-100)*3)+Inputs!$B$28+Inputs!$B$29)))</f>
        <v/>
      </c>
      <c r="E437">
        <f>INDEX(FactorTable!$B$2:$Y$301, MATCH(ROUND(MIN(300,MAX(1,D437)),0), FactorTable!$A$2:$A$301,0), Skills!M11+1)</f>
        <v/>
      </c>
      <c r="F437">
        <f>IF(Skills!N11=TRUE,(Skills!L11/10)*(E437/1000),Skills!L11/10)+Skills!O11</f>
        <v/>
      </c>
      <c r="G437">
        <f>Calc!G11</f>
        <v/>
      </c>
      <c r="H437">
        <f>Calc!H11</f>
        <v/>
      </c>
      <c r="I437">
        <f>IF(Skills!AA11&lt;&gt;"",1+(Skills!AA11/10)*(U429/1000)/100,1)</f>
        <v/>
      </c>
      <c r="J437" t="inlineStr"/>
      <c r="K437" t="inlineStr"/>
      <c r="L437" t="inlineStr"/>
      <c r="M437" t="inlineStr"/>
      <c r="N437" t="inlineStr"/>
      <c r="O437">
        <f>(1-Summary!$B$55)*T437+Summary!$B$55*V437</f>
        <v/>
      </c>
      <c r="P437">
        <f>IF(B470=0,0,O437/B470)</f>
        <v/>
      </c>
      <c r="Q437" t="n">
        <v>0</v>
      </c>
      <c r="R437" t="n">
        <v>0</v>
      </c>
      <c r="S437">
        <f>IFERROR(O437/N437,0)</f>
        <v/>
      </c>
      <c r="T437" t="n">
        <v>0</v>
      </c>
      <c r="V437" t="n">
        <v>0</v>
      </c>
    </row>
    <row r="438">
      <c r="A438">
        <f>Skills!A12</f>
        <v/>
      </c>
      <c r="B438">
        <f>Skills!B12</f>
        <v/>
      </c>
      <c r="C438">
        <f>Inputs!$B$3&gt;=103</f>
        <v/>
      </c>
      <c r="D438">
        <f>IF(Skills!C12=1,60+Inputs!$B$25+Inputs!$B$29,IF(Skills!C12=2,90+Inputs!$B$26+Inputs!$B$29,IF(Skills!C12=3,120+Inputs!$B$27+Inputs!$B$29,MAX(0,(Inputs!$B$3-100)*3)+Inputs!$B$28+Inputs!$B$29)))</f>
        <v/>
      </c>
      <c r="E438">
        <f>INDEX(FactorTable!$B$2:$Y$301, MATCH(ROUND(MIN(300,MAX(1,D438)),0), FactorTable!$A$2:$A$301,0), Skills!M12+1)</f>
        <v/>
      </c>
      <c r="F438">
        <f>IF(Skills!N12=TRUE,(Skills!L12/10)*(E438/1000),Skills!L12/10)+Skills!O12</f>
        <v/>
      </c>
      <c r="G438">
        <f>Calc!G12</f>
        <v/>
      </c>
      <c r="H438">
        <f>Calc!H12</f>
        <v/>
      </c>
      <c r="I438">
        <f>IF(Skills!AA12&lt;&gt;"",1+(Skills!AA12/10)*(U429/1000)/100,1)</f>
        <v/>
      </c>
      <c r="J438">
        <f>((Inputs!$B$6*(1+Inputs!$B$7/100))+(((Inputs!$B$12*(1+Inputs!$B$13/100))-(Inputs!$B$12*(1+Inputs!$B$13/100)))+0.25*(Inputs!$B$14-Inputs!$B$14))*(1+Inputs!$B$7/100))*(F438/100)</f>
        <v/>
      </c>
      <c r="K438">
        <f>J438*(1+((Inputs!$B$12*(1+Inputs!$B$13/100))*0.01+Inputs!$B$14*0.0025)/100)*(1+Inputs!$B$15/100)*(1+Inputs!$B$16/100)*(5000/(6000+Inputs!$B$43*(1-Inputs!$B$19/100)))*(1+(Inputs!$B$24+((C456=TRUE)*(F456-Calc!F30)))/100)*(1+Skills!R12/100)*(1+(IF(Skills!A12="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438)</f>
        <v/>
      </c>
      <c r="L438">
        <f>K438*(MIN((Inputs!$B$22+1)+((C450=TRUE)*(F450-Calc!F24)),Inputs!$B$23)/100+Inputs!$B$23/100)/2</f>
        <v/>
      </c>
      <c r="M438">
        <f>L438*(1+(Inputs!$B$10+((C452=TRUE)*(F452-Calc!F26))+B469)/100)</f>
        <v/>
      </c>
      <c r="N438">
        <f>L438*(1-MIN((Inputs!$B$9+((C451=TRUE)*(F451-Calc!F25))+B466),100)/100)+M438*(MIN((Inputs!$B$9+((C451=TRUE)*(F451-Calc!F25))+B466),100)/100)</f>
        <v/>
      </c>
      <c r="O438">
        <f>(1-Summary!$B$55)*T438+Summary!$B$55*V438</f>
        <v/>
      </c>
      <c r="P438">
        <f>IF(B470=0,0,O438/B470)</f>
        <v/>
      </c>
      <c r="Q438">
        <f>IFERROR(1/IF(Inputs!$B$39="pvp",15,MAX(0.1,Skills!D12-IF(Skills!E12=TRUE,Inputs!$B$32,0))),0)</f>
        <v/>
      </c>
      <c r="R438">
        <f>IF(AND(Inputs!$B$39&lt;&gt;"pvp",Inputs!$B$44&gt;0),IF(MAX(0,Inputs!$B$44-B471)&lt;=0,0,(INT(MAX(0,Inputs!$B$44-B471)/IF(Inputs!$B$39="pvp",15,MAX(0.1,Skills!D12-IF(Skills!E12=TRUE,Inputs!$B$32,0))))+1)),0)</f>
        <v/>
      </c>
      <c r="S438">
        <f>IFERROR(O438/N438,0)</f>
        <v/>
      </c>
      <c r="T438">
        <f>IF(C438,(H438*N438*IF(AND(Inputs!$B$39&lt;&gt;"pvp",Inputs!$B$44&gt;0),((Skills!G12*((R438-1)*IF(Skills!H12&gt;0,Skills!I12/Skills!H12,1)+IF(Skills!H12&gt;0,MIN(Skills!I12,MAX(0,MAX(0,Inputs!$B$44-B471)-((R438-1)*IF(Inputs!$B$39="pvp",15,MAX(0.1,Skills!D12-IF(Skills!E12=TRUE,Inputs!$B$32,0))))))/Skills!H12,1)))/Inputs!$B$44),G438*Q438))*IF(Inputs!$B$39="pvp",1,1+(Inputs!$B$20+((C453=TRUE)*(F453-Calc!F27))+Skills!P12+B467)/100),0)</f>
        <v/>
      </c>
      <c r="V438">
        <f>IF(C438,(H438*N438*IF(AND(Inputs!$B$39&lt;&gt;"pvp",Inputs!$B$44&gt;0),((Skills!G12*((R438-1)*IF(Skills!H12&gt;0,Skills!I12/Skills!H12,1)+IF(Skills!H12&gt;0,MIN(Skills!I12,MAX(0,MAX(0,Inputs!$B$44-B471)-((R438-1)*IF(Inputs!$B$39="pvp",15,MAX(0.1,Skills!D12-IF(Skills!E12=TRUE,Inputs!$B$32,0))))))/Skills!H12,1)))/Inputs!$B$44),G438*Q438))*IF(Inputs!$B$39="pvp",1,(1+(Inputs!$B$21+Skills!Q12+B467)/100)*(MIN(Skills!W12,Inputs!$B$37))),0)</f>
        <v/>
      </c>
    </row>
    <row r="439">
      <c r="A439">
        <f>Skills!A13</f>
        <v/>
      </c>
      <c r="B439">
        <f>Skills!B13</f>
        <v/>
      </c>
      <c r="C439">
        <f>Inputs!$B$3&gt;=105</f>
        <v/>
      </c>
      <c r="D439">
        <f>IF(Skills!C13=1,60+Inputs!$B$25+Inputs!$B$29,IF(Skills!C13=2,90+Inputs!$B$26+Inputs!$B$29,IF(Skills!C13=3,120+Inputs!$B$27+Inputs!$B$29,MAX(0,(Inputs!$B$3-100)*3)+Inputs!$B$28+Inputs!$B$29)))</f>
        <v/>
      </c>
      <c r="E439">
        <f>INDEX(FactorTable!$B$2:$Y$301, MATCH(ROUND(MIN(300,MAX(1,D439)),0), FactorTable!$A$2:$A$301,0), Skills!M13+1)</f>
        <v/>
      </c>
      <c r="F439">
        <f>IF(Skills!N13=TRUE,(Skills!L13/10)*(E439/1000),Skills!L13/10)+Skills!O13</f>
        <v/>
      </c>
      <c r="G439">
        <f>Calc!G13</f>
        <v/>
      </c>
      <c r="H439">
        <f>Calc!H13</f>
        <v/>
      </c>
      <c r="I439">
        <f>IF(Skills!AA13&lt;&gt;"",1+(Skills!AA13/10)*(U429/1000)/100,1)</f>
        <v/>
      </c>
      <c r="J439">
        <f>((Inputs!$B$6*(1+Inputs!$B$7/100))+(((Inputs!$B$12*(1+Inputs!$B$13/100))-(Inputs!$B$12*(1+Inputs!$B$13/100)))+0.25*(Inputs!$B$14-Inputs!$B$14))*(1+Inputs!$B$7/100))*(F439/100)</f>
        <v/>
      </c>
      <c r="K439">
        <f>J439*(1+((Inputs!$B$12*(1+Inputs!$B$13/100))*0.01+Inputs!$B$14*0.0025)/100)*(1+Inputs!$B$15/100)*(1+Inputs!$B$16/100)*(5000/(6000+Inputs!$B$43*(1-Inputs!$B$19/100)))*(1+(Inputs!$B$24+((C456=TRUE)*(F456-Calc!F30)))/100)*(1+Skills!R13/100)*(1+(IF(Skills!A13="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439)</f>
        <v/>
      </c>
      <c r="L439">
        <f>K439*(MIN((Inputs!$B$22+1)+((C450=TRUE)*(F450-Calc!F24)),Inputs!$B$23)/100+Inputs!$B$23/100)/2</f>
        <v/>
      </c>
      <c r="M439">
        <f>L439*(1+(Inputs!$B$10+((C452=TRUE)*(F452-Calc!F26))+B469)/100)</f>
        <v/>
      </c>
      <c r="N439">
        <f>L439*(1-MIN((Inputs!$B$9+((C451=TRUE)*(F451-Calc!F25))+B466),100)/100)+M439*(MIN((Inputs!$B$9+((C451=TRUE)*(F451-Calc!F25))+B466),100)/100)</f>
        <v/>
      </c>
      <c r="O439">
        <f>(1-Summary!$B$55)*T439+Summary!$B$55*V439</f>
        <v/>
      </c>
      <c r="P439">
        <f>IF(B470=0,0,O439/B470)</f>
        <v/>
      </c>
      <c r="Q439">
        <f>IFERROR(1/IF(Inputs!$B$39="pvp",15,MAX(0.1,Skills!D13-IF(Skills!E13=TRUE,Inputs!$B$32,0))),0)</f>
        <v/>
      </c>
      <c r="R439">
        <f>IF(AND(Inputs!$B$39&lt;&gt;"pvp",Inputs!$B$44&gt;0),IF(MAX(0,Inputs!$B$44-B471)&lt;=0,0,(INT(MAX(0,Inputs!$B$44-B471)/IF(Inputs!$B$39="pvp",15,MAX(0.1,Skills!D13-IF(Skills!E13=TRUE,Inputs!$B$32,0))))+1)),0)</f>
        <v/>
      </c>
      <c r="S439">
        <f>IFERROR(O439/N439,0)</f>
        <v/>
      </c>
      <c r="T439">
        <f>IF(C439,(H439*N439*IF(AND(Inputs!$B$39&lt;&gt;"pvp",Inputs!$B$44&gt;0),((Skills!G13*((R439-1)*IF(Skills!H13&gt;0,Skills!I13/Skills!H13,1)+IF(Skills!H13&gt;0,MIN(Skills!I13,MAX(0,MAX(0,Inputs!$B$44-B471)-((R439-1)*IF(Inputs!$B$39="pvp",15,MAX(0.1,Skills!D13-IF(Skills!E13=TRUE,Inputs!$B$32,0))))))/Skills!H13,1)))/Inputs!$B$44),G439*Q439))*IF(Inputs!$B$39="pvp",1,1+(Inputs!$B$20+((C453=TRUE)*(F453-Calc!F27))+Skills!P13+B467)/100),0)</f>
        <v/>
      </c>
      <c r="V439">
        <f>IF(C439,(H439*N439*IF(AND(Inputs!$B$39&lt;&gt;"pvp",Inputs!$B$44&gt;0),((Skills!G13*((R439-1)*IF(Skills!H13&gt;0,Skills!I13/Skills!H13,1)+IF(Skills!H13&gt;0,MIN(Skills!I13,MAX(0,MAX(0,Inputs!$B$44-B471)-((R439-1)*IF(Inputs!$B$39="pvp",15,MAX(0.1,Skills!D13-IF(Skills!E13=TRUE,Inputs!$B$32,0))))))/Skills!H13,1)))/Inputs!$B$44),G439*Q439))*IF(Inputs!$B$39="pvp",1,(1+(Inputs!$B$21+Skills!Q13+B467)/100)*(MIN(Skills!W13,Inputs!$B$37))),0)</f>
        <v/>
      </c>
    </row>
    <row r="440">
      <c r="A440">
        <f>Skills!A14</f>
        <v/>
      </c>
      <c r="B440">
        <f>Skills!B14</f>
        <v/>
      </c>
      <c r="C440">
        <f>Inputs!$B$3&gt;=105</f>
        <v/>
      </c>
      <c r="D440">
        <f>IF(Skills!C14=1,60+Inputs!$B$25+Inputs!$B$29,IF(Skills!C14=2,90+Inputs!$B$26+Inputs!$B$29,IF(Skills!C14=3,120+Inputs!$B$27+Inputs!$B$29,MAX(0,(Inputs!$B$3-100)*3)+Inputs!$B$28+Inputs!$B$29)))</f>
        <v/>
      </c>
      <c r="E440">
        <f>INDEX(FactorTable!$B$2:$Y$301, MATCH(ROUND(MIN(300,MAX(1,D440)),0), FactorTable!$A$2:$A$301,0), Skills!M14+1)</f>
        <v/>
      </c>
      <c r="F440">
        <f>IF(Skills!N14=TRUE,(Skills!L14/10)*(E440/1000),Skills!L14/10)+Skills!O14</f>
        <v/>
      </c>
      <c r="G440">
        <f>Calc!G14</f>
        <v/>
      </c>
      <c r="H440">
        <f>Calc!H14</f>
        <v/>
      </c>
      <c r="I440">
        <f>IF(Skills!AA14&lt;&gt;"",1+(Skills!AA14/10)*(U429/1000)/100,1)</f>
        <v/>
      </c>
      <c r="J440">
        <f>((Inputs!$B$6*(1+Inputs!$B$7/100))+(((Inputs!$B$12*(1+Inputs!$B$13/100))-(Inputs!$B$12*(1+Inputs!$B$13/100)))+0.25*(Inputs!$B$14-Inputs!$B$14))*(1+Inputs!$B$7/100))*(F440/100)</f>
        <v/>
      </c>
      <c r="K440">
        <f>J440*(1+((Inputs!$B$12*(1+Inputs!$B$13/100))*0.01+Inputs!$B$14*0.0025)/100)*(1+Inputs!$B$15/100)*(1+Inputs!$B$16/100)*(5000/(6000+Inputs!$B$43*(1-Inputs!$B$19/100)))*(1+(Inputs!$B$24+((C456=TRUE)*(F456-Calc!F30)))/100)*(1+Skills!R14/100)*(1+(IF(Skills!A14="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440)</f>
        <v/>
      </c>
      <c r="L440">
        <f>K440*(MIN((Inputs!$B$22+1)+((C450=TRUE)*(F450-Calc!F24)),Inputs!$B$23)/100+Inputs!$B$23/100)/2</f>
        <v/>
      </c>
      <c r="M440">
        <f>L440*(1+(Inputs!$B$10+((C452=TRUE)*(F452-Calc!F26))+B469)/100)</f>
        <v/>
      </c>
      <c r="N440">
        <f>L440*(1-MIN((Inputs!$B$9+((C451=TRUE)*(F451-Calc!F25))+B466),100)/100)+M440*(MIN((Inputs!$B$9+((C451=TRUE)*(F451-Calc!F25))+B466),100)/100)</f>
        <v/>
      </c>
      <c r="O440">
        <f>(1-Summary!$B$55)*T440+Summary!$B$55*V440</f>
        <v/>
      </c>
      <c r="P440">
        <f>IF(B470=0,0,O440/B470)</f>
        <v/>
      </c>
      <c r="Q440">
        <f>IFERROR(1/IF(Inputs!$B$39="pvp",15,MAX(0.1,Skills!D14-IF(Skills!E14=TRUE,Inputs!$B$32,0))),0)</f>
        <v/>
      </c>
      <c r="R440">
        <f>IF(AND(Inputs!$B$39&lt;&gt;"pvp",Inputs!$B$44&gt;0),IF(MAX(0,Inputs!$B$44-B471)&lt;=0,0,(INT(MAX(0,Inputs!$B$44-B471)/IF(Inputs!$B$39="pvp",15,MAX(0.1,Skills!D14-IF(Skills!E14=TRUE,Inputs!$B$32,0))))+1)),0)</f>
        <v/>
      </c>
      <c r="S440">
        <f>IFERROR(O440/N440,0)</f>
        <v/>
      </c>
      <c r="T440">
        <f>IF(C440,(H440*N440*IF(AND(Inputs!$B$39&lt;&gt;"pvp",Inputs!$B$44&gt;0),((Skills!G14*((R440-1)*IF(Skills!H14&gt;0,Skills!I14/Skills!H14,1)+IF(Skills!H14&gt;0,MIN(Skills!I14,MAX(0,MAX(0,Inputs!$B$44-B471)-((R440-1)*IF(Inputs!$B$39="pvp",15,MAX(0.1,Skills!D14-IF(Skills!E14=TRUE,Inputs!$B$32,0))))))/Skills!H14,1)))/Inputs!$B$44),G440*Q440))*IF(Inputs!$B$39="pvp",1,1+(Inputs!$B$20+((C453=TRUE)*(F453-Calc!F27))+Skills!P14+B467)/100),0)</f>
        <v/>
      </c>
      <c r="V440">
        <f>IF(C440,(H440*N440*IF(AND(Inputs!$B$39&lt;&gt;"pvp",Inputs!$B$44&gt;0),((Skills!G14*((R440-1)*IF(Skills!H14&gt;0,Skills!I14/Skills!H14,1)+IF(Skills!H14&gt;0,MIN(Skills!I14,MAX(0,MAX(0,Inputs!$B$44-B471)-((R440-1)*IF(Inputs!$B$39="pvp",15,MAX(0.1,Skills!D14-IF(Skills!E14=TRUE,Inputs!$B$32,0))))))/Skills!H14,1)))/Inputs!$B$44),G440*Q440))*IF(Inputs!$B$39="pvp",1,(1+(Inputs!$B$21+Skills!Q14+B467)/100)*(MIN(Skills!W14,Inputs!$B$37))),0)</f>
        <v/>
      </c>
    </row>
    <row r="441">
      <c r="A441">
        <f>Skills!A15</f>
        <v/>
      </c>
      <c r="B441">
        <f>Skills!B15</f>
        <v/>
      </c>
      <c r="C441">
        <f>Inputs!$B$3&gt;=110</f>
        <v/>
      </c>
      <c r="D441">
        <f>IF(Skills!C15=1,60+Inputs!$B$25+Inputs!$B$29,IF(Skills!C15=2,90+Inputs!$B$26+Inputs!$B$29,IF(Skills!C15=3,120+Inputs!$B$27+Inputs!$B$29,MAX(0,(Inputs!$B$3-100)*3)+Inputs!$B$28+Inputs!$B$29)))</f>
        <v/>
      </c>
      <c r="E441">
        <f>INDEX(FactorTable!$B$2:$Y$301, MATCH(ROUND(MIN(300,MAX(1,D441)),0), FactorTable!$A$2:$A$301,0), Skills!M15+1)</f>
        <v/>
      </c>
      <c r="F441">
        <f>IF(Skills!N15=TRUE,(Skills!L15/10)*(E441/1000),Skills!L15/10)+Skills!O15</f>
        <v/>
      </c>
      <c r="G441">
        <f>Calc!G15</f>
        <v/>
      </c>
      <c r="H441">
        <f>Calc!H15</f>
        <v/>
      </c>
      <c r="I441">
        <f>IF(Skills!AA15&lt;&gt;"",1+(Skills!AA15/10)*(U429/1000)/100,1)</f>
        <v/>
      </c>
      <c r="J441" t="inlineStr"/>
      <c r="K441" t="inlineStr"/>
      <c r="L441" t="inlineStr"/>
      <c r="M441" t="inlineStr"/>
      <c r="N441" t="inlineStr"/>
      <c r="O441">
        <f>(1-Summary!$B$55)*T441+Summary!$B$55*V441</f>
        <v/>
      </c>
      <c r="P441">
        <f>IF(B470=0,0,O441/B470)</f>
        <v/>
      </c>
      <c r="Q441">
        <f>IFERROR(1/IF(Inputs!$B$39="pvp",15,MAX(0.1,Skills!D15-IF(Skills!E15=TRUE,Inputs!$B$32,0))),0)</f>
        <v/>
      </c>
      <c r="R441">
        <f>IF(AND(Inputs!$B$39&lt;&gt;"pvp",Inputs!$B$44&gt;0),IF(Inputs!$B$44&lt;=0,0,(INT(Inputs!$B$44/IF(Inputs!$B$39="pvp",15,MAX(0.1,Skills!D15-IF(Skills!E15=TRUE,Inputs!$B$32,0))))+1)),0)</f>
        <v/>
      </c>
      <c r="S441">
        <f>IFERROR(O441/N441,0)</f>
        <v/>
      </c>
      <c r="T441" t="n">
        <v>0</v>
      </c>
      <c r="V441" t="n">
        <v>0</v>
      </c>
    </row>
    <row r="442">
      <c r="A442">
        <f>Skills!A16</f>
        <v/>
      </c>
      <c r="B442">
        <f>Skills!B16</f>
        <v/>
      </c>
      <c r="C442">
        <f>Inputs!$B$3&gt;=110</f>
        <v/>
      </c>
      <c r="D442">
        <f>IF(Skills!C16=1,60+Inputs!$B$25+Inputs!$B$29,IF(Skills!C16=2,90+Inputs!$B$26+Inputs!$B$29,IF(Skills!C16=3,120+Inputs!$B$27+Inputs!$B$29,MAX(0,(Inputs!$B$3-100)*3)+Inputs!$B$28+Inputs!$B$29)))</f>
        <v/>
      </c>
      <c r="E442">
        <f>INDEX(FactorTable!$B$2:$Y$301, MATCH(ROUND(MIN(300,MAX(1,D442)),0), FactorTable!$A$2:$A$301,0), Skills!M16+1)</f>
        <v/>
      </c>
      <c r="F442">
        <f>IF(Skills!N16=TRUE,(Skills!L16/10)*(E442/1000),Skills!L16/10)+Skills!O16</f>
        <v/>
      </c>
      <c r="G442">
        <f>Calc!G16</f>
        <v/>
      </c>
      <c r="H442">
        <f>Calc!H16</f>
        <v/>
      </c>
      <c r="I442">
        <f>IF(Skills!AA16&lt;&gt;"",1+(Skills!AA16/10)*(U429/1000)/100,1)</f>
        <v/>
      </c>
      <c r="J442" t="inlineStr"/>
      <c r="K442" t="inlineStr"/>
      <c r="L442" t="inlineStr"/>
      <c r="M442" t="inlineStr"/>
      <c r="N442" t="inlineStr"/>
      <c r="O442">
        <f>(1-Summary!$B$55)*T442+Summary!$B$55*V442</f>
        <v/>
      </c>
      <c r="P442">
        <f>IF(B470=0,0,O442/B470)</f>
        <v/>
      </c>
      <c r="Q442">
        <f>IFERROR(1/IF(Inputs!$B$39="pvp",15,MAX(0.1,Skills!D16-IF(Skills!E16=TRUE,Inputs!$B$32,0))),0)</f>
        <v/>
      </c>
      <c r="R442">
        <f>IF(AND(Inputs!$B$39&lt;&gt;"pvp",Inputs!$B$44&gt;0),IF(Inputs!$B$44&lt;=0,0,(INT(Inputs!$B$44/IF(Inputs!$B$39="pvp",15,MAX(0.1,Skills!D16-IF(Skills!E16=TRUE,Inputs!$B$32,0))))+1)),0)</f>
        <v/>
      </c>
      <c r="S442">
        <f>IFERROR(O442/N442,0)</f>
        <v/>
      </c>
      <c r="T442" t="n">
        <v>0</v>
      </c>
      <c r="V442" t="n">
        <v>0</v>
      </c>
    </row>
    <row r="443">
      <c r="A443">
        <f>Skills!A17</f>
        <v/>
      </c>
      <c r="B443">
        <f>Skills!B17</f>
        <v/>
      </c>
      <c r="C443">
        <f>Inputs!$B$3&gt;=115</f>
        <v/>
      </c>
      <c r="D443">
        <f>IF(Skills!C17=1,60+Inputs!$B$25+Inputs!$B$29,IF(Skills!C17=2,90+Inputs!$B$26+Inputs!$B$29,IF(Skills!C17=3,120+Inputs!$B$27+Inputs!$B$29,MAX(0,(Inputs!$B$3-100)*3)+Inputs!$B$28+Inputs!$B$29)))</f>
        <v/>
      </c>
      <c r="E443">
        <f>INDEX(FactorTable!$B$2:$Y$301, MATCH(ROUND(MIN(300,MAX(1,D443)),0), FactorTable!$A$2:$A$301,0), Skills!M17+1)</f>
        <v/>
      </c>
      <c r="F443">
        <f>IF(Skills!N17=TRUE,(Skills!L17/10)*(E443/1000),Skills!L17/10)+Skills!O17</f>
        <v/>
      </c>
      <c r="G443">
        <f>Calc!G17</f>
        <v/>
      </c>
      <c r="H443">
        <f>Calc!H17</f>
        <v/>
      </c>
      <c r="I443">
        <f>IF(Skills!AA17&lt;&gt;"",1+(Skills!AA17/10)*(U429/1000)/100,1)</f>
        <v/>
      </c>
      <c r="J443">
        <f>((Inputs!$B$6*(1+Inputs!$B$7/100))+(((Inputs!$B$12*(1+Inputs!$B$13/100))-(Inputs!$B$12*(1+Inputs!$B$13/100)))+0.25*(Inputs!$B$14-Inputs!$B$14))*(1+Inputs!$B$7/100))*(F443/100)</f>
        <v/>
      </c>
      <c r="K443">
        <f>J443*(1+((Inputs!$B$12*(1+Inputs!$B$13/100))*0.01+Inputs!$B$14*0.0025)/100)*(1+Inputs!$B$15/100)*(1+Inputs!$B$16/100)*(5000/(6000+Inputs!$B$43*(1-Inputs!$B$19/100)))*(1+(Inputs!$B$24+((C456=TRUE)*(F456-Calc!F30)))/100)*(1+Skills!R17/100)*(1+(IF(Skills!A17="SHOWDOWN",Inputs!$B$17+((C449=TRUE)*(F449-Calc!F23)),Inputs!$B$18+((C455=TRUE)*(F455-Calc!F29))))/100)*(((1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B468*I443)</f>
        <v/>
      </c>
      <c r="L443">
        <f>K443*(MIN((Inputs!$B$22+1)+((C450=TRUE)*(F450-Calc!F24)),Inputs!$B$23)/100+Inputs!$B$23/100)/2</f>
        <v/>
      </c>
      <c r="M443">
        <f>L443*(1+(Inputs!$B$10+((C452=TRUE)*(F452-Calc!F26))+B469)/100)</f>
        <v/>
      </c>
      <c r="N443">
        <f>L443*(1-MIN((Inputs!$B$9+((C451=TRUE)*(F451-Calc!F25))+B466),100)/100)+M443*(MIN((Inputs!$B$9+((C451=TRUE)*(F451-Calc!F25))+B466),100)/100)</f>
        <v/>
      </c>
      <c r="O443">
        <f>(1-Summary!$B$55)*T443+Summary!$B$55*V443</f>
        <v/>
      </c>
      <c r="P443">
        <f>IF(B470=0,0,O443/B470)</f>
        <v/>
      </c>
      <c r="Q443" t="n">
        <v>0</v>
      </c>
      <c r="R443" t="n">
        <v>0</v>
      </c>
      <c r="S443">
        <f>IFERROR(O443/N443,0)</f>
        <v/>
      </c>
      <c r="T443">
        <f>IF(C443,(Inputs!$B$38*0.2*N443)*IF(Inputs!$B$39="pvp",1,1+(Inputs!$B$20+((C453=TRUE)*(F453-Calc!F27))+Skills!P17+B467)/100),0)</f>
        <v/>
      </c>
      <c r="V443">
        <f>IF(C443,(Inputs!$B$38*0.2*N443)*IF(Inputs!$B$39="pvp",1,(1+(Inputs!$B$21+Skills!Q17+B467)/100)*(MIN(Skills!W17,Inputs!$B$37))),0)</f>
        <v/>
      </c>
    </row>
    <row r="444">
      <c r="A444">
        <f>Skills!A18</f>
        <v/>
      </c>
      <c r="B444">
        <f>Skills!B18</f>
        <v/>
      </c>
      <c r="C444">
        <f>Inputs!$B$3&gt;=115</f>
        <v/>
      </c>
      <c r="D444">
        <f>IF(Skills!C18=1,60+Inputs!$B$25+Inputs!$B$29,IF(Skills!C18=2,90+Inputs!$B$26+Inputs!$B$29,IF(Skills!C18=3,120+Inputs!$B$27+Inputs!$B$29,MAX(0,(Inputs!$B$3-100)*3)+Inputs!$B$28+Inputs!$B$29)))</f>
        <v/>
      </c>
      <c r="E444">
        <f>INDEX(FactorTable!$B$2:$Y$301, MATCH(ROUND(MIN(300,MAX(1,D444)),0), FactorTable!$A$2:$A$301,0), Skills!M18+1)</f>
        <v/>
      </c>
      <c r="F444">
        <f>IF(Skills!N18=TRUE,(Skills!L18/10)*(E444/1000),Skills!L18/10)+Skills!O18</f>
        <v/>
      </c>
      <c r="G444">
        <f>Calc!G18</f>
        <v/>
      </c>
      <c r="H444">
        <f>Calc!H18</f>
        <v/>
      </c>
      <c r="I444">
        <f>IF(Skills!AA18&lt;&gt;"",1+(Skills!AA18/10)*(U429/1000)/100,1)</f>
        <v/>
      </c>
      <c r="J444" t="inlineStr"/>
      <c r="K444" t="inlineStr"/>
      <c r="L444" t="inlineStr"/>
      <c r="M444" t="inlineStr"/>
      <c r="N444" t="inlineStr"/>
      <c r="O444">
        <f>(1-Summary!$B$55)*T444+Summary!$B$55*V444</f>
        <v/>
      </c>
      <c r="P444">
        <f>IF(B470=0,0,O444/B470)</f>
        <v/>
      </c>
      <c r="Q444" t="n">
        <v>0</v>
      </c>
      <c r="R444" t="n">
        <v>0</v>
      </c>
      <c r="S444">
        <f>IFERROR(O444/N444,0)</f>
        <v/>
      </c>
      <c r="T444" t="n">
        <v>0</v>
      </c>
      <c r="V444" t="n">
        <v>0</v>
      </c>
    </row>
    <row r="445">
      <c r="A445">
        <f>Skills!A19</f>
        <v/>
      </c>
      <c r="B445">
        <f>Skills!B19</f>
        <v/>
      </c>
      <c r="C445">
        <f>TRUE</f>
        <v/>
      </c>
      <c r="D445">
        <f>IF(Skills!C19=1,60+Inputs!$B$25+Inputs!$B$29,IF(Skills!C19=2,90+Inputs!$B$26+Inputs!$B$29,IF(Skills!C19=3,120+Inputs!$B$27+Inputs!$B$29,MAX(0,(Inputs!$B$3-100)*3)+Inputs!$B$28+Inputs!$B$29)))</f>
        <v/>
      </c>
      <c r="E445">
        <f>INDEX(FactorTable!$B$2:$Y$301, MATCH(ROUND(MIN(300,MAX(1,D445)),0), FactorTable!$A$2:$A$301,0), Skills!M19+1)</f>
        <v/>
      </c>
      <c r="F445">
        <f>IF(Skills!N19=TRUE,(Skills!L19/10)*(E445/1000),Skills!L19/10)+Skills!O19</f>
        <v/>
      </c>
      <c r="G445">
        <f>Calc!G19</f>
        <v/>
      </c>
      <c r="H445">
        <f>Calc!H19</f>
        <v/>
      </c>
      <c r="I445">
        <f>IF(Skills!AA19&lt;&gt;"",1+(Skills!AA19/10)*(U429/1000)/100,1)</f>
        <v/>
      </c>
      <c r="J445" t="inlineStr"/>
      <c r="K445" t="inlineStr"/>
      <c r="L445" t="inlineStr"/>
      <c r="M445" t="inlineStr"/>
      <c r="N445" t="inlineStr"/>
      <c r="O445">
        <f>(1-Summary!$B$55)*T445+Summary!$B$55*V445</f>
        <v/>
      </c>
      <c r="P445">
        <f>IF(B470=0,0,O445/B470)</f>
        <v/>
      </c>
      <c r="Q445">
        <f>IFERROR(1/IF(Inputs!$B$39="pvp",15,MAX(0.1,Skills!D19-IF(Skills!E19=TRUE,Inputs!$B$32,0))),0)</f>
        <v/>
      </c>
      <c r="R445">
        <f>IF(AND(Inputs!$B$39&lt;&gt;"pvp",Inputs!$B$44&gt;0),IF(Inputs!$B$44&lt;=0,0,(INT(Inputs!$B$44/IF(Inputs!$B$39="pvp",15,MAX(0.1,Skills!D19-IF(Skills!E19=TRUE,Inputs!$B$32,0))))+1)),0)</f>
        <v/>
      </c>
      <c r="S445">
        <f>IFERROR(O445/N445,0)</f>
        <v/>
      </c>
      <c r="T445" t="n">
        <v>0</v>
      </c>
      <c r="V445" t="n">
        <v>0</v>
      </c>
    </row>
    <row r="446">
      <c r="A446">
        <f>Skills!A20</f>
        <v/>
      </c>
      <c r="B446">
        <f>Skills!B20</f>
        <v/>
      </c>
      <c r="C446">
        <f>Inputs!$B$3&gt;=15</f>
        <v/>
      </c>
      <c r="D446">
        <f>IF(Skills!C20=1,60+Inputs!$B$25+Inputs!$B$29,IF(Skills!C20=2,90+Inputs!$B$26+Inputs!$B$29,IF(Skills!C20=3,120+Inputs!$B$27+Inputs!$B$29,MAX(0,(Inputs!$B$3-100)*3)+Inputs!$B$28+Inputs!$B$29)))</f>
        <v/>
      </c>
      <c r="E446">
        <f>INDEX(FactorTable!$B$2:$Y$301, MATCH(ROUND(MIN(300,MAX(1,D446)),0), FactorTable!$A$2:$A$301,0), Skills!M20+1)</f>
        <v/>
      </c>
      <c r="F446">
        <f>IF(Skills!N20=TRUE,(Skills!L20/10)*(E446/1000),Skills!L20/10)+Skills!O20</f>
        <v/>
      </c>
      <c r="G446">
        <f>Calc!G20</f>
        <v/>
      </c>
      <c r="H446">
        <f>Calc!H20</f>
        <v/>
      </c>
      <c r="I446">
        <f>IF(Skills!AA20&lt;&gt;"",1+(Skills!AA20/10)*(U429/1000)/100,1)</f>
        <v/>
      </c>
      <c r="J446" t="inlineStr"/>
      <c r="K446" t="inlineStr"/>
      <c r="L446" t="inlineStr"/>
      <c r="M446" t="inlineStr"/>
      <c r="N446" t="inlineStr"/>
      <c r="O446">
        <f>(1-Summary!$B$55)*T446+Summary!$B$55*V446</f>
        <v/>
      </c>
      <c r="P446">
        <f>IF(B470=0,0,O446/B470)</f>
        <v/>
      </c>
      <c r="Q446">
        <f>IFERROR(1/IF(Inputs!$B$39="pvp",15,MAX(0.1,Skills!D20-IF(Skills!E20=TRUE,Inputs!$B$32,0))),0)</f>
        <v/>
      </c>
      <c r="R446">
        <f>IF(AND(Inputs!$B$39&lt;&gt;"pvp",Inputs!$B$44&gt;0),IF(Inputs!$B$44&lt;=0,0,(INT(Inputs!$B$44/IF(Inputs!$B$39="pvp",15,MAX(0.1,Skills!D20-IF(Skills!E20=TRUE,Inputs!$B$32,0))))+1)),0)</f>
        <v/>
      </c>
      <c r="S446">
        <f>IFERROR(O446/N446,0)</f>
        <v/>
      </c>
      <c r="T446" t="n">
        <v>0</v>
      </c>
      <c r="V446" t="n">
        <v>0</v>
      </c>
    </row>
    <row r="447">
      <c r="A447">
        <f>Skills!A21</f>
        <v/>
      </c>
      <c r="B447">
        <f>Skills!B21</f>
        <v/>
      </c>
      <c r="C447">
        <f>Inputs!$B$3&gt;=15</f>
        <v/>
      </c>
      <c r="D447">
        <f>IF(Skills!C21=1,60+Inputs!$B$25+Inputs!$B$29,IF(Skills!C21=2,90+Inputs!$B$26+Inputs!$B$29,IF(Skills!C21=3,120+Inputs!$B$27+Inputs!$B$29,MAX(0,(Inputs!$B$3-100)*3)+Inputs!$B$28+Inputs!$B$29)))</f>
        <v/>
      </c>
      <c r="E447">
        <f>INDEX(FactorTable!$B$2:$Y$301, MATCH(ROUND(MIN(300,MAX(1,D447)),0), FactorTable!$A$2:$A$301,0), Skills!M21+1)</f>
        <v/>
      </c>
      <c r="F447">
        <f>IF(Skills!N21=TRUE,(Skills!L21/10)*(E447/1000),Skills!L21/10)+Skills!O21</f>
        <v/>
      </c>
      <c r="G447">
        <f>Calc!G21</f>
        <v/>
      </c>
      <c r="H447">
        <f>Calc!H21</f>
        <v/>
      </c>
      <c r="I447">
        <f>IF(Skills!AA21&lt;&gt;"",1+(Skills!AA21/10)*(U429/1000)/100,1)</f>
        <v/>
      </c>
      <c r="J447" t="inlineStr"/>
      <c r="K447" t="inlineStr"/>
      <c r="L447" t="inlineStr"/>
      <c r="M447" t="inlineStr"/>
      <c r="N447" t="inlineStr"/>
      <c r="O447">
        <f>(1-Summary!$B$55)*T447+Summary!$B$55*V447</f>
        <v/>
      </c>
      <c r="P447">
        <f>IF(B470=0,0,O447/B470)</f>
        <v/>
      </c>
      <c r="Q447">
        <f>IFERROR(1/IF(Inputs!$B$39="pvp",15,MAX(0.1,Skills!D21-IF(Skills!E21=TRUE,Inputs!$B$32,0))),0)</f>
        <v/>
      </c>
      <c r="R447">
        <f>IF(AND(Inputs!$B$39&lt;&gt;"pvp",Inputs!$B$44&gt;0),IF(Inputs!$B$44&lt;=0,0,(INT(Inputs!$B$44/IF(Inputs!$B$39="pvp",15,MAX(0.1,Skills!D21-IF(Skills!E21=TRUE,Inputs!$B$32,0))))+1)),0)</f>
        <v/>
      </c>
      <c r="S447">
        <f>IFERROR(O447/N447,0)</f>
        <v/>
      </c>
      <c r="T447" t="n">
        <v>0</v>
      </c>
      <c r="V447" t="n">
        <v>0</v>
      </c>
    </row>
    <row r="448">
      <c r="A448">
        <f>Skills!A22</f>
        <v/>
      </c>
      <c r="B448">
        <f>Skills!B22</f>
        <v/>
      </c>
      <c r="C448">
        <f>Inputs!$B$3&gt;=33</f>
        <v/>
      </c>
      <c r="D448">
        <f>IF(Skills!C22=1,60+Inputs!$B$25+Inputs!$B$29,IF(Skills!C22=2,90+Inputs!$B$26+Inputs!$B$29,IF(Skills!C22=3,120+Inputs!$B$27+Inputs!$B$29,MAX(0,(Inputs!$B$3-100)*3)+Inputs!$B$28+Inputs!$B$29)))</f>
        <v/>
      </c>
      <c r="E448">
        <f>INDEX(FactorTable!$B$2:$Y$301, MATCH(ROUND(MIN(300,MAX(1,D448)),0), FactorTable!$A$2:$A$301,0), Skills!M22+1)</f>
        <v/>
      </c>
      <c r="F448">
        <f>IF(Skills!N22=TRUE,(Skills!L22/10)*(E448/1000),Skills!L22/10)+Skills!O22</f>
        <v/>
      </c>
      <c r="G448">
        <f>Calc!G22</f>
        <v/>
      </c>
      <c r="H448">
        <f>Calc!H22</f>
        <v/>
      </c>
      <c r="I448">
        <f>IF(Skills!AA22&lt;&gt;"",1+(Skills!AA22/10)*(U429/1000)/100,1)</f>
        <v/>
      </c>
      <c r="J448" t="inlineStr"/>
      <c r="K448" t="inlineStr"/>
      <c r="L448" t="inlineStr"/>
      <c r="M448" t="inlineStr"/>
      <c r="N448" t="inlineStr"/>
      <c r="O448">
        <f>(1-Summary!$B$55)*T448+Summary!$B$55*V448</f>
        <v/>
      </c>
      <c r="P448">
        <f>IF(B470=0,0,O448/B470)</f>
        <v/>
      </c>
      <c r="Q448" t="n">
        <v>0</v>
      </c>
      <c r="R448" t="n">
        <v>0</v>
      </c>
      <c r="S448">
        <f>IFERROR(O448/N448,0)</f>
        <v/>
      </c>
      <c r="T448" t="n">
        <v>0</v>
      </c>
      <c r="V448" t="n">
        <v>0</v>
      </c>
    </row>
    <row r="449">
      <c r="A449">
        <f>Skills!A23</f>
        <v/>
      </c>
      <c r="B449">
        <f>Skills!B23</f>
        <v/>
      </c>
      <c r="C449">
        <f>Inputs!$B$3&gt;=38</f>
        <v/>
      </c>
      <c r="D449">
        <f>IF(Skills!C23=1,60+Inputs!$B$25+Inputs!$B$29,IF(Skills!C23=2,90+Inputs!$B$26+Inputs!$B$29,IF(Skills!C23=3,120+Inputs!$B$27+Inputs!$B$29,MAX(0,(Inputs!$B$3-100)*3)+Inputs!$B$28+Inputs!$B$29)))</f>
        <v/>
      </c>
      <c r="E449">
        <f>INDEX(FactorTable!$B$2:$Y$301, MATCH(ROUND(MIN(300,MAX(1,D449)),0), FactorTable!$A$2:$A$301,0), Skills!M23+1)</f>
        <v/>
      </c>
      <c r="F449">
        <f>IF(Skills!N23=TRUE,(Skills!L23/10)*(E449/1000),Skills!L23/10)+Skills!O23</f>
        <v/>
      </c>
      <c r="G449">
        <f>Calc!G23</f>
        <v/>
      </c>
      <c r="H449">
        <f>Calc!H23</f>
        <v/>
      </c>
      <c r="I449">
        <f>IF(Skills!AA23&lt;&gt;"",1+(Skills!AA23/10)*(U429/1000)/100,1)</f>
        <v/>
      </c>
      <c r="J449" t="inlineStr"/>
      <c r="K449" t="inlineStr"/>
      <c r="L449" t="inlineStr"/>
      <c r="M449" t="inlineStr"/>
      <c r="N449" t="inlineStr"/>
      <c r="O449">
        <f>(1-Summary!$B$55)*T449+Summary!$B$55*V449</f>
        <v/>
      </c>
      <c r="P449">
        <f>IF(B470=0,0,O449/B470)</f>
        <v/>
      </c>
      <c r="Q449" t="n">
        <v>0</v>
      </c>
      <c r="R449" t="n">
        <v>0</v>
      </c>
      <c r="S449">
        <f>IFERROR(O449/N449,0)</f>
        <v/>
      </c>
      <c r="T449" t="n">
        <v>0</v>
      </c>
      <c r="V449" t="n">
        <v>0</v>
      </c>
    </row>
    <row r="450">
      <c r="A450">
        <f>Skills!A24</f>
        <v/>
      </c>
      <c r="B450">
        <f>Skills!B24</f>
        <v/>
      </c>
      <c r="C450">
        <f>Inputs!$B$3&gt;=40</f>
        <v/>
      </c>
      <c r="D450">
        <f>IF(Skills!C24=1,60+Inputs!$B$25+Inputs!$B$29,IF(Skills!C24=2,90+Inputs!$B$26+Inputs!$B$29,IF(Skills!C24=3,120+Inputs!$B$27+Inputs!$B$29,MAX(0,(Inputs!$B$3-100)*3)+Inputs!$B$28+Inputs!$B$29)))</f>
        <v/>
      </c>
      <c r="E450">
        <f>INDEX(FactorTable!$B$2:$Y$301, MATCH(ROUND(MIN(300,MAX(1,D450)),0), FactorTable!$A$2:$A$301,0), Skills!M24+1)</f>
        <v/>
      </c>
      <c r="F450">
        <f>IF(Skills!N24=TRUE,(Skills!L24/10)*(E450/1000),Skills!L24/10)+Skills!O24</f>
        <v/>
      </c>
      <c r="G450">
        <f>Calc!G24</f>
        <v/>
      </c>
      <c r="H450">
        <f>Calc!H24</f>
        <v/>
      </c>
      <c r="I450">
        <f>IF(Skills!AA24&lt;&gt;"",1+(Skills!AA24/10)*(U429/1000)/100,1)</f>
        <v/>
      </c>
      <c r="J450" t="inlineStr"/>
      <c r="K450" t="inlineStr"/>
      <c r="L450" t="inlineStr"/>
      <c r="M450" t="inlineStr"/>
      <c r="N450" t="inlineStr"/>
      <c r="O450">
        <f>(1-Summary!$B$55)*T450+Summary!$B$55*V450</f>
        <v/>
      </c>
      <c r="P450">
        <f>IF(B470=0,0,O450/B470)</f>
        <v/>
      </c>
      <c r="Q450" t="n">
        <v>0</v>
      </c>
      <c r="R450" t="n">
        <v>0</v>
      </c>
      <c r="S450">
        <f>IFERROR(O450/N450,0)</f>
        <v/>
      </c>
      <c r="T450" t="n">
        <v>0</v>
      </c>
      <c r="V450" t="n">
        <v>0</v>
      </c>
    </row>
    <row r="451">
      <c r="A451">
        <f>Skills!A25</f>
        <v/>
      </c>
      <c r="B451">
        <f>Skills!B25</f>
        <v/>
      </c>
      <c r="C451">
        <f>Inputs!$B$3&gt;=45</f>
        <v/>
      </c>
      <c r="D451">
        <f>IF(Skills!C25=1,60+Inputs!$B$25+Inputs!$B$29,IF(Skills!C25=2,90+Inputs!$B$26+Inputs!$B$29,IF(Skills!C25=3,120+Inputs!$B$27+Inputs!$B$29,MAX(0,(Inputs!$B$3-100)*3)+Inputs!$B$28+Inputs!$B$29)))</f>
        <v/>
      </c>
      <c r="E451">
        <f>INDEX(FactorTable!$B$2:$Y$301, MATCH(ROUND(MIN(300,MAX(1,D451)),0), FactorTable!$A$2:$A$301,0), Skills!M25+1)</f>
        <v/>
      </c>
      <c r="F451">
        <f>IF(Skills!N25=TRUE,(Skills!L25/10)*(E451/1000),Skills!L25/10)+Skills!O25</f>
        <v/>
      </c>
      <c r="G451">
        <f>Calc!G25</f>
        <v/>
      </c>
      <c r="H451">
        <f>Calc!H25</f>
        <v/>
      </c>
      <c r="I451">
        <f>IF(Skills!AA25&lt;&gt;"",1+(Skills!AA25/10)*(U429/1000)/100,1)</f>
        <v/>
      </c>
      <c r="J451" t="inlineStr"/>
      <c r="K451" t="inlineStr"/>
      <c r="L451" t="inlineStr"/>
      <c r="M451" t="inlineStr"/>
      <c r="N451" t="inlineStr"/>
      <c r="O451">
        <f>(1-Summary!$B$55)*T451+Summary!$B$55*V451</f>
        <v/>
      </c>
      <c r="P451">
        <f>IF(B470=0,0,O451/B470)</f>
        <v/>
      </c>
      <c r="Q451" t="n">
        <v>0</v>
      </c>
      <c r="R451" t="n">
        <v>0</v>
      </c>
      <c r="S451">
        <f>IFERROR(O451/N451,0)</f>
        <v/>
      </c>
      <c r="T451" t="n">
        <v>0</v>
      </c>
      <c r="V451" t="n">
        <v>0</v>
      </c>
    </row>
    <row r="452">
      <c r="A452">
        <f>Skills!A26</f>
        <v/>
      </c>
      <c r="B452">
        <f>Skills!B26</f>
        <v/>
      </c>
      <c r="C452">
        <f>Inputs!$B$3&gt;=45</f>
        <v/>
      </c>
      <c r="D452">
        <f>IF(Skills!C26=1,60+Inputs!$B$25+Inputs!$B$29,IF(Skills!C26=2,90+Inputs!$B$26+Inputs!$B$29,IF(Skills!C26=3,120+Inputs!$B$27+Inputs!$B$29,MAX(0,(Inputs!$B$3-100)*3)+Inputs!$B$28+Inputs!$B$29)))</f>
        <v/>
      </c>
      <c r="E452">
        <f>INDEX(FactorTable!$B$2:$Y$301, MATCH(ROUND(MIN(300,MAX(1,D452)),0), FactorTable!$A$2:$A$301,0), Skills!M26+1)</f>
        <v/>
      </c>
      <c r="F452">
        <f>IF(Skills!N26=TRUE,(Skills!L26/10)*(E452/1000),Skills!L26/10)+Skills!O26</f>
        <v/>
      </c>
      <c r="G452">
        <f>Calc!G26</f>
        <v/>
      </c>
      <c r="H452">
        <f>Calc!H26</f>
        <v/>
      </c>
      <c r="I452">
        <f>IF(Skills!AA26&lt;&gt;"",1+(Skills!AA26/10)*(U429/1000)/100,1)</f>
        <v/>
      </c>
      <c r="J452" t="inlineStr"/>
      <c r="K452" t="inlineStr"/>
      <c r="L452" t="inlineStr"/>
      <c r="M452" t="inlineStr"/>
      <c r="N452" t="inlineStr"/>
      <c r="O452">
        <f>(1-Summary!$B$55)*T452+Summary!$B$55*V452</f>
        <v/>
      </c>
      <c r="P452">
        <f>IF(B470=0,0,O452/B470)</f>
        <v/>
      </c>
      <c r="Q452" t="n">
        <v>0</v>
      </c>
      <c r="R452" t="n">
        <v>0</v>
      </c>
      <c r="S452">
        <f>IFERROR(O452/N452,0)</f>
        <v/>
      </c>
      <c r="T452" t="n">
        <v>0</v>
      </c>
      <c r="V452" t="n">
        <v>0</v>
      </c>
    </row>
    <row r="453">
      <c r="A453">
        <f>Skills!A27</f>
        <v/>
      </c>
      <c r="B453">
        <f>Skills!B27</f>
        <v/>
      </c>
      <c r="C453">
        <f>Inputs!$B$3&gt;=72</f>
        <v/>
      </c>
      <c r="D453">
        <f>IF(Skills!C27=1,60+Inputs!$B$25+Inputs!$B$29,IF(Skills!C27=2,90+Inputs!$B$26+Inputs!$B$29,IF(Skills!C27=3,120+Inputs!$B$27+Inputs!$B$29,MAX(0,(Inputs!$B$3-100)*3)+Inputs!$B$28+Inputs!$B$29)))</f>
        <v/>
      </c>
      <c r="E453">
        <f>INDEX(FactorTable!$B$2:$Y$301, MATCH(ROUND(MIN(300,MAX(1,D453)),0), FactorTable!$A$2:$A$301,0), Skills!M27+1)</f>
        <v/>
      </c>
      <c r="F453">
        <f>IF(Skills!N27=TRUE,(Skills!L27/10)*(E453/1000),Skills!L27/10)+Skills!O27</f>
        <v/>
      </c>
      <c r="G453">
        <f>Calc!G27</f>
        <v/>
      </c>
      <c r="H453">
        <f>Calc!H27</f>
        <v/>
      </c>
      <c r="I453">
        <f>IF(Skills!AA27&lt;&gt;"",1+(Skills!AA27/10)*(U429/1000)/100,1)</f>
        <v/>
      </c>
      <c r="J453" t="inlineStr"/>
      <c r="K453" t="inlineStr"/>
      <c r="L453" t="inlineStr"/>
      <c r="M453" t="inlineStr"/>
      <c r="N453" t="inlineStr"/>
      <c r="O453">
        <f>(1-Summary!$B$55)*T453+Summary!$B$55*V453</f>
        <v/>
      </c>
      <c r="P453">
        <f>IF(B470=0,0,O453/B470)</f>
        <v/>
      </c>
      <c r="Q453" t="n">
        <v>0</v>
      </c>
      <c r="R453" t="n">
        <v>0</v>
      </c>
      <c r="S453">
        <f>IFERROR(O453/N453,0)</f>
        <v/>
      </c>
      <c r="T453" t="n">
        <v>0</v>
      </c>
      <c r="V453" t="n">
        <v>0</v>
      </c>
    </row>
    <row r="454">
      <c r="A454">
        <f>Skills!A28</f>
        <v/>
      </c>
      <c r="B454">
        <f>Skills!B28</f>
        <v/>
      </c>
      <c r="C454">
        <f>Inputs!$B$3&gt;=75</f>
        <v/>
      </c>
      <c r="D454">
        <f>IF(Skills!C28=1,60+Inputs!$B$25+Inputs!$B$29,IF(Skills!C28=2,90+Inputs!$B$26+Inputs!$B$29,IF(Skills!C28=3,120+Inputs!$B$27+Inputs!$B$29,MAX(0,(Inputs!$B$3-100)*3)+Inputs!$B$28+Inputs!$B$29)))</f>
        <v/>
      </c>
      <c r="E454">
        <f>INDEX(FactorTable!$B$2:$Y$301, MATCH(ROUND(MIN(300,MAX(1,D454)),0), FactorTable!$A$2:$A$301,0), Skills!M28+1)</f>
        <v/>
      </c>
      <c r="F454">
        <f>IF(Skills!N28=TRUE,(Skills!L28/10)*(E454/1000),Skills!L28/10)+Skills!O28</f>
        <v/>
      </c>
      <c r="G454">
        <f>Calc!G28</f>
        <v/>
      </c>
      <c r="H454">
        <f>Calc!H28</f>
        <v/>
      </c>
      <c r="I454">
        <f>IF(Skills!AA28&lt;&gt;"",1+(Skills!AA28/10)*(U429/1000)/100,1)</f>
        <v/>
      </c>
      <c r="J454" t="inlineStr"/>
      <c r="K454" t="inlineStr"/>
      <c r="L454" t="inlineStr"/>
      <c r="M454" t="inlineStr"/>
      <c r="N454" t="inlineStr"/>
      <c r="O454">
        <f>(1-Summary!$B$55)*T454+Summary!$B$55*V454</f>
        <v/>
      </c>
      <c r="P454">
        <f>IF(B470=0,0,O454/B470)</f>
        <v/>
      </c>
      <c r="Q454" t="n">
        <v>0</v>
      </c>
      <c r="R454" t="n">
        <v>0</v>
      </c>
      <c r="S454">
        <f>IFERROR(O454/N454,0)</f>
        <v/>
      </c>
      <c r="T454" t="n">
        <v>0</v>
      </c>
      <c r="V454" t="n">
        <v>0</v>
      </c>
    </row>
    <row r="455">
      <c r="A455">
        <f>Skills!A29</f>
        <v/>
      </c>
      <c r="B455">
        <f>Skills!B29</f>
        <v/>
      </c>
      <c r="C455">
        <f>Inputs!$B$3&gt;=120</f>
        <v/>
      </c>
      <c r="D455">
        <f>IF(Skills!C29=1,60+Inputs!$B$25+Inputs!$B$29,IF(Skills!C29=2,90+Inputs!$B$26+Inputs!$B$29,IF(Skills!C29=3,120+Inputs!$B$27+Inputs!$B$29,MAX(0,(Inputs!$B$3-100)*3)+Inputs!$B$28+Inputs!$B$29)))</f>
        <v/>
      </c>
      <c r="E455">
        <f>INDEX(FactorTable!$B$2:$Y$301, MATCH(ROUND(MIN(300,MAX(1,D455)),0), FactorTable!$A$2:$A$301,0), Skills!M29+1)</f>
        <v/>
      </c>
      <c r="F455">
        <f>IF(Skills!N29=TRUE,(Skills!L29/10)*(E455/1000),Skills!L29/10)+Skills!O29</f>
        <v/>
      </c>
      <c r="G455">
        <f>Calc!G29</f>
        <v/>
      </c>
      <c r="H455">
        <f>Calc!H29</f>
        <v/>
      </c>
      <c r="I455">
        <f>IF(Skills!AA29&lt;&gt;"",1+(Skills!AA29/10)*(U429/1000)/100,1)</f>
        <v/>
      </c>
      <c r="J455" t="inlineStr"/>
      <c r="K455" t="inlineStr"/>
      <c r="L455" t="inlineStr"/>
      <c r="M455" t="inlineStr"/>
      <c r="N455" t="inlineStr"/>
      <c r="O455">
        <f>(1-Summary!$B$55)*T455+Summary!$B$55*V455</f>
        <v/>
      </c>
      <c r="P455">
        <f>IF(B470=0,0,O455/B470)</f>
        <v/>
      </c>
      <c r="Q455" t="n">
        <v>0</v>
      </c>
      <c r="R455" t="n">
        <v>0</v>
      </c>
      <c r="S455">
        <f>IFERROR(O455/N455,0)</f>
        <v/>
      </c>
      <c r="T455" t="n">
        <v>0</v>
      </c>
      <c r="V455" t="n">
        <v>0</v>
      </c>
    </row>
    <row r="456">
      <c r="A456">
        <f>Skills!A30</f>
        <v/>
      </c>
      <c r="B456">
        <f>Skills!B30</f>
        <v/>
      </c>
      <c r="C456">
        <f>Inputs!$B$3&gt;=125</f>
        <v/>
      </c>
      <c r="D456">
        <f>IF(Skills!C30=1,60+Inputs!$B$25+Inputs!$B$29,IF(Skills!C30=2,90+Inputs!$B$26+Inputs!$B$29,IF(Skills!C30=3,120+Inputs!$B$27+Inputs!$B$29,MAX(0,(Inputs!$B$3-100)*3)+Inputs!$B$28+Inputs!$B$29)))</f>
        <v/>
      </c>
      <c r="E456">
        <f>INDEX(FactorTable!$B$2:$Y$301, MATCH(ROUND(MIN(300,MAX(1,D456)),0), FactorTable!$A$2:$A$301,0), Skills!M30+1)</f>
        <v/>
      </c>
      <c r="F456">
        <f>IF(Skills!N30=TRUE,(Skills!L30/10)*(E456/1000),Skills!L30/10)+Skills!O30</f>
        <v/>
      </c>
      <c r="G456">
        <f>Calc!G30</f>
        <v/>
      </c>
      <c r="H456">
        <f>Calc!H30</f>
        <v/>
      </c>
      <c r="I456">
        <f>IF(Skills!AA30&lt;&gt;"",1+(Skills!AA30/10)*(U429/1000)/100,1)</f>
        <v/>
      </c>
      <c r="J456" t="inlineStr"/>
      <c r="K456" t="inlineStr"/>
      <c r="L456" t="inlineStr"/>
      <c r="M456" t="inlineStr"/>
      <c r="N456" t="inlineStr"/>
      <c r="O456">
        <f>(1-Summary!$B$55)*T456+Summary!$B$55*V456</f>
        <v/>
      </c>
      <c r="P456">
        <f>IF(B470=0,0,O456/B470)</f>
        <v/>
      </c>
      <c r="Q456" t="n">
        <v>0</v>
      </c>
      <c r="R456" t="n">
        <v>0</v>
      </c>
      <c r="S456">
        <f>IFERROR(O456/N456,0)</f>
        <v/>
      </c>
      <c r="T456" t="n">
        <v>0</v>
      </c>
      <c r="V456" t="n">
        <v>0</v>
      </c>
    </row>
    <row r="457">
      <c r="A457">
        <f>Skills!A31</f>
        <v/>
      </c>
      <c r="B457">
        <f>Skills!B31</f>
        <v/>
      </c>
      <c r="C457">
        <f>Inputs!$B$3&gt;=107</f>
        <v/>
      </c>
      <c r="D457">
        <f>IF(Skills!C31=1,60+Inputs!$B$25+Inputs!$B$29,IF(Skills!C31=2,90+Inputs!$B$26+Inputs!$B$29,IF(Skills!C31=3,120+Inputs!$B$27+Inputs!$B$29,MAX(0,(Inputs!$B$3-100)*3)+Inputs!$B$28+Inputs!$B$29)))</f>
        <v/>
      </c>
      <c r="E457">
        <f>INDEX(FactorTable!$B$2:$Y$301, MATCH(ROUND(MIN(300,MAX(1,D457)),0), FactorTable!$A$2:$A$301,0), Skills!M31+1)</f>
        <v/>
      </c>
      <c r="F457">
        <f>IF(Skills!N31=TRUE,(Skills!L31/10)*(E457/1000),Skills!L31/10)+Skills!O31</f>
        <v/>
      </c>
      <c r="G457">
        <f>Calc!G31</f>
        <v/>
      </c>
      <c r="H457">
        <f>Calc!H31</f>
        <v/>
      </c>
      <c r="I457">
        <f>IF(Skills!AA31&lt;&gt;"",1+(Skills!AA31/10)*(U429/1000)/100,1)</f>
        <v/>
      </c>
      <c r="J457" t="inlineStr"/>
      <c r="K457" t="inlineStr"/>
      <c r="L457" t="inlineStr"/>
      <c r="M457" t="inlineStr"/>
      <c r="N457" t="inlineStr"/>
      <c r="O457">
        <f>(1-Summary!$B$55)*T457+Summary!$B$55*V457</f>
        <v/>
      </c>
      <c r="P457">
        <f>IF(B470=0,0,O457/B470)</f>
        <v/>
      </c>
      <c r="Q457" t="n">
        <v>0</v>
      </c>
      <c r="R457" t="n">
        <v>0</v>
      </c>
      <c r="S457">
        <f>IFERROR(O457/N457,0)</f>
        <v/>
      </c>
      <c r="T457" t="n">
        <v>0</v>
      </c>
      <c r="V457" t="n">
        <v>0</v>
      </c>
    </row>
    <row r="459">
      <c r="A459" t="inlineStr">
        <is>
          <t>Actions Per Second (pre-Adrenalin)</t>
        </is>
      </c>
      <c r="B459">
        <f>1+MIN(150,150*(1-(1-(Inputs!$B$11+((C448=TRUE)*(F448-Calc!F22)))/150)*(1-((C445=TRUE)*F445*IF(AND(Inputs!$B$39&lt;&gt;"pvp",Inputs!$B$44&gt;0),(((R445-1)*(Skills!Y19*(1+Inputs!$B$34/100))+MIN((Skills!Y19*(1+Inputs!$B$34/100)),MAX(0,Inputs!$B$44-((R445-1)*Skills!D19))))/Inputs!$B$44),IF(Inputs!$B$39="pvp",MIN((Skills!Y19*(1+Inputs!$B$34/100)),15)/15,(Skills!Y19*(1+Inputs!$B$34/100))/Skills!D19)))/150)))/100</f>
        <v/>
      </c>
    </row>
    <row r="460">
      <c r="A460" t="inlineStr">
        <is>
          <t>Alchemic Adrenaline Uptime</t>
        </is>
      </c>
      <c r="B460">
        <f>(Skills!Y6*(1+Inputs!$B$34/100))/((Skills!Y6*(1+Inputs!$B$34/100))+(5/B459))</f>
        <v/>
      </c>
    </row>
    <row r="461">
      <c r="A461" t="inlineStr">
        <is>
          <t>Attack Speed Buff Bonus %</t>
        </is>
      </c>
      <c r="B461">
        <f>((C445=TRUE)*F445*IF(AND(Inputs!$B$39&lt;&gt;"pvp",Inputs!$B$44&gt;0),(((R445-1)*(Skills!Y19*(1+Inputs!$B$34/100))+MIN((Skills!Y19*(1+Inputs!$B$34/100)),MAX(0,Inputs!$B$44-((R445-1)*Skills!D19))))/Inputs!$B$44),IF(Inputs!$B$39="pvp",MIN((Skills!Y19*(1+Inputs!$B$34/100)),15)/15,(Skills!Y19*(1+Inputs!$B$34/100))/Skills!D19)))+((C433=TRUE)*F433*B460)</f>
        <v/>
      </c>
    </row>
    <row r="462">
      <c r="A462" t="inlineStr">
        <is>
          <t>Actions Per Second (final)</t>
        </is>
      </c>
      <c r="B462">
        <f>1+MIN(150,150*(1-(1-(Inputs!$B$11+((C448=TRUE)*(F448-Calc!F22)))/150)*(1-B461/150)))/100</f>
        <v/>
      </c>
    </row>
    <row r="463">
      <c r="A463" t="inlineStr">
        <is>
          <t>Skill + Buff Cast Rate</t>
        </is>
      </c>
      <c r="B463">
        <f>IF(AND(Inputs!$B$39&lt;&gt;"pvp",Inputs!$B$44&gt;0),SUMPRODUCT((Skills!E2:E31=TRUE)*(C428:C457=TRUE)*R428:R457*Skills!F2:F31)/Inputs!$B$44,SUMPRODUCT((Skills!E2:E31=TRUE)*(C428:C457=TRUE)*Q428:Q457*Skills!F2:F31))</f>
        <v/>
      </c>
    </row>
    <row r="464">
      <c r="A464" t="inlineStr">
        <is>
          <t>Showdown Casts Per Second</t>
        </is>
      </c>
      <c r="B464">
        <f>MAX(0,B462-B463)</f>
        <v/>
      </c>
    </row>
    <row r="465">
      <c r="A465" t="inlineStr">
        <is>
          <t>Average Buff Multiplier</t>
        </is>
      </c>
      <c r="B465">
        <f>(1+(((C447=TRUE)*F447*IF(AND(Inputs!$B$39&lt;&gt;"pvp",Inputs!$B$44&gt;0),(((R447-1)*(Skills!Y21*(1+Inputs!$B$34/100))+MIN((Skills!Y21*(1+Inputs!$B$34/100)),MAX(0,Inputs!$B$44-((R447-1)*Skills!D21))))/Inputs!$B$44),IF(Inputs!$B$39="pvp",MIN((Skills!Y21*(1+Inputs!$B$34/100)),15)/15,(Skills!Y21*(1+Inputs!$B$34/100))/Skills!D21)))+((C454=TRUE)*(F454-Calc!F28))+((C444=TRUE)*(F444-Calc!F18)))/100)*(1+((C441=TRUE)*F441*IF(AND(Inputs!$B$39&lt;&gt;"pvp",Inputs!$B$44&gt;0),(((R441-1)*(Skills!Y15*(1+Inputs!$B$34/100))+MIN((Skills!Y15*(1+Inputs!$B$34/100)),MAX(0,Inputs!$B$44-((R441-1)*Skills!D15))))/Inputs!$B$44),IF(Inputs!$B$39="pvp",MIN((Skills!Y15*(1+Inputs!$B$34/100)),15)/15,(Skills!Y15*(1+Inputs!$B$34/100))/Skills!D15)))/100)*(1+((C432=TRUE)*F432*B460)/100)</f>
        <v/>
      </c>
    </row>
    <row r="466">
      <c r="A466" t="inlineStr">
        <is>
          <t>Global Crit Rate Bonus %</t>
        </is>
      </c>
      <c r="B466">
        <f>IF(Inputs!$B$3&gt;=47,8,0)+((C446=TRUE)*F446*IF(AND(Inputs!$B$39&lt;&gt;"pvp",Inputs!$B$44&gt;0),(((R446-1)*(Skills!Y20*(1+Inputs!$B$34/100))+MIN((Skills!Y20*(1+Inputs!$B$34/100)),MAX(0,Inputs!$B$44-((R446-1)*Skills!D20))))/Inputs!$B$44),IF(Inputs!$B$39="pvp",MIN((Skills!Y20*(1+Inputs!$B$34/100)),15)/15,(Skills!Y20*(1+Inputs!$B$34/100))/Skills!D20)))</f>
        <v/>
      </c>
    </row>
    <row r="467">
      <c r="A467" t="inlineStr">
        <is>
          <t>Global Monster Damage-Taken Bonus %</t>
        </is>
      </c>
      <c r="B467">
        <f>IF(Inputs!$B$3&gt;=82,15,0)+((C442=TRUE)*F442*IF(AND(Inputs!$B$39&lt;&gt;"pvp",Inputs!$B$44&gt;0),(((R442-1)*(Skills!Y16*(1+Inputs!$B$34/100))+MIN((Skills!Y16*(1+Inputs!$B$34/100)),MAX(0,Inputs!$B$44-((R442-1)*Skills!D16))))/Inputs!$B$44),IF(Inputs!$B$39="pvp",MIN((Skills!Y16*(1+Inputs!$B$34/100)),15)/15,(Skills!Y16*(1+Inputs!$B$34/100))/Skills!D16)))</f>
        <v/>
      </c>
    </row>
    <row r="468">
      <c r="A468" t="inlineStr">
        <is>
          <t>Shadow Partner Average Multiplier</t>
        </is>
      </c>
      <c r="B468">
        <f>1+((C437=TRUE)*F437*I437*Skills!J11/100)/100</f>
        <v/>
      </c>
    </row>
    <row r="469">
      <c r="A469" t="inlineStr">
        <is>
          <t>Global Critical Damage Bonus % (Frailty Curse Mastery Lv.111)</t>
        </is>
      </c>
      <c r="B469">
        <f>IF(Inputs!$B$3&gt;=111,30,0)*IF(AND(Inputs!$B$39&lt;&gt;"pvp",Inputs!$B$44&gt;0),(((R442-1)*(Skills!Y16*(1+Inputs!$B$34/100))+MIN((Skills!Y16*(1+Inputs!$B$34/100)),MAX(0,Inputs!$B$44-((R442-1)*Skills!D16))))/Inputs!$B$44),IF(Inputs!$B$39="pvp",MIN((Skills!Y16*(1+Inputs!$B$34/100)),15)/15,(Skills!Y16*(1+Inputs!$B$34/100))/Skills!D16))</f>
        <v/>
      </c>
    </row>
    <row r="470">
      <c r="A470" s="5" t="inlineStr">
        <is>
          <t>TOTAL DPS</t>
        </is>
      </c>
      <c r="B470" s="5">
        <f>SUM(O428:O457)</f>
        <v/>
      </c>
    </row>
    <row r="471">
      <c r="A471" t="inlineStr">
        <is>
          <t>Buff-Casting Startup Delay (s, fixed-duration only)</t>
        </is>
      </c>
      <c r="B471">
        <f>IF(AND(Inputs!$B$39&lt;&gt;"pvp",Inputs!$B$44&gt;0),SUMPRODUCT((Skills!Y2:Y31&gt;0)*(Skills!E2:E31=TRUE)*(C428:C457=TRUE))/B462,0)</f>
        <v/>
      </c>
    </row>
    <row r="472">
      <c r="A472" t="inlineStr">
        <is>
          <t>Boss-Only Total DPS (this block's swept value)</t>
        </is>
      </c>
      <c r="B472">
        <f>SUM(T428:T457)</f>
        <v/>
      </c>
    </row>
    <row r="473">
      <c r="A473" t="inlineStr">
        <is>
          <t>Normal-Only Total DPS (this block's swept value)</t>
        </is>
      </c>
      <c r="B473">
        <f>SUM(V428:V457)</f>
        <v/>
      </c>
    </row>
    <row r="475">
      <c r="A475" s="5" t="inlineStr">
        <is>
          <t>Stat: MAX_DAMAGE %</t>
        </is>
      </c>
    </row>
    <row r="476">
      <c r="A476" s="9" t="inlineStr">
        <is>
          <t>Key</t>
        </is>
      </c>
      <c r="B476" s="9" t="inlineStr">
        <is>
          <t>Name</t>
        </is>
      </c>
      <c r="C476" s="9" t="inlineStr">
        <is>
          <t>Unlocked</t>
        </is>
      </c>
      <c r="D476" s="9" t="inlineStr">
        <is>
          <t>InputLevel</t>
        </is>
      </c>
      <c r="E476" s="9" t="inlineStr">
        <is>
          <t>Factor</t>
        </is>
      </c>
      <c r="F476" s="9" t="inlineStr">
        <is>
          <t>CoefficientPercent</t>
        </is>
      </c>
      <c r="G476" s="9" t="inlineStr">
        <is>
          <t>EffectiveHits</t>
        </is>
      </c>
      <c r="H476" s="9" t="inlineStr">
        <is>
          <t>ProcProbability</t>
        </is>
      </c>
      <c r="I476" s="9" t="inlineStr">
        <is>
          <t>MapleHeroMultiplier</t>
        </is>
      </c>
      <c r="J476" s="9" t="inlineStr">
        <is>
          <t>BaseDamage</t>
        </is>
      </c>
      <c r="K476" s="9" t="inlineStr">
        <is>
          <t>BaseHitDamage</t>
        </is>
      </c>
      <c r="L476" s="9" t="inlineStr">
        <is>
          <t>NonCritAvg</t>
        </is>
      </c>
      <c r="M476" s="9" t="inlineStr">
        <is>
          <t>CritAvg</t>
        </is>
      </c>
      <c r="N476" s="9" t="inlineStr">
        <is>
          <t>ExpectedDamage(perHit)</t>
        </is>
      </c>
      <c r="O476" s="9" t="inlineStr">
        <is>
          <t>DPS</t>
        </is>
      </c>
      <c r="P476" s="9" t="inlineStr">
        <is>
          <t>% of Total</t>
        </is>
      </c>
      <c r="Q476" s="9" t="inlineStr">
        <is>
          <t>InvCooldown</t>
        </is>
      </c>
      <c r="R476" s="9" t="inlineStr">
        <is>
          <t>CastsInFight</t>
        </is>
      </c>
      <c r="S476" s="9" t="inlineStr">
        <is>
          <t>HitRate(perSec)</t>
        </is>
      </c>
      <c r="U476" t="inlineStr">
        <is>
          <t>helpers</t>
        </is>
      </c>
    </row>
    <row r="477">
      <c r="A477">
        <f>Skills!A2</f>
        <v/>
      </c>
      <c r="B477">
        <f>Skills!B2</f>
        <v/>
      </c>
      <c r="C477">
        <f>Inputs!$B$3&gt;=100</f>
        <v/>
      </c>
      <c r="D477" t="inlineStr"/>
      <c r="E477" t="inlineStr"/>
      <c r="F477">
        <f>U481+Skills!O2</f>
        <v/>
      </c>
      <c r="G477">
        <f>Calc!G2</f>
        <v/>
      </c>
      <c r="H477">
        <f>Calc!H2</f>
        <v/>
      </c>
      <c r="I477">
        <f>IF(Skills!AA2&lt;&gt;"",1+(Skills!AA2/10)*(U478/1000)/100,1)</f>
        <v/>
      </c>
      <c r="J477">
        <f>((Inputs!$B$6*(1+Inputs!$B$7/100))+(((Inputs!$B$12*(1+Inputs!$B$13/100))-(Inputs!$B$12*(1+Inputs!$B$13/100)))+0.25*(Inputs!$B$14-Inputs!$B$14))*(1+Inputs!$B$7/100))*(F477/100)</f>
        <v/>
      </c>
      <c r="K477">
        <f>J477*(1+((Inputs!$B$12*(1+Inputs!$B$13/100))*0.01+Inputs!$B$14*0.0025)/100)*(1+Inputs!$B$15/100)*(1+Inputs!$B$16/100)*(5000/(6000+Inputs!$B$43*(1-Inputs!$B$19/100)))*(1+(Inputs!$B$24+((C505=TRUE)*(F505-Calc!F30)))/100)*(1+Skills!R2/100)*(1+(IF(Skills!A2="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477)</f>
        <v/>
      </c>
      <c r="L477">
        <f>K477*(MIN(Inputs!$B$22+((C499=TRUE)*(F499-Calc!F24)),(Inputs!$B$23+1))/100+(Inputs!$B$23+1)/100)/2</f>
        <v/>
      </c>
      <c r="M477">
        <f>L477*(1+(Inputs!$B$10+((C501=TRUE)*(F501-Calc!F26))+B518)/100)</f>
        <v/>
      </c>
      <c r="N477">
        <f>L477*(1-MIN((Inputs!$B$9+((C500=TRUE)*(F500-Calc!F25))+B515),100)/100)+M477*(MIN((Inputs!$B$9+((C500=TRUE)*(F500-Calc!F25))+B515),100)/100)</f>
        <v/>
      </c>
      <c r="O477">
        <f>(1-Summary!$B$55)*T477+Summary!$B$55*V477</f>
        <v/>
      </c>
      <c r="P477">
        <f>IF(B519=0,0,O477/B519)</f>
        <v/>
      </c>
      <c r="Q477" t="n">
        <v>0</v>
      </c>
      <c r="R477" t="n">
        <v>0</v>
      </c>
      <c r="S477">
        <f>IFERROR(O477/N477,0)</f>
        <v/>
      </c>
      <c r="T477">
        <f>IF(C477,(Skills!G2*N477*B513)*IF(Inputs!$B$39="pvp",1,1+(Inputs!$B$20+((C502=TRUE)*(F502-Calc!F27))+Skills!P2+B516)/100),0)</f>
        <v/>
      </c>
      <c r="U477">
        <f>MAX(0,(Inputs!$B$3-100)*3)+Inputs!$B$28+Inputs!$B$29</f>
        <v/>
      </c>
      <c r="V477">
        <f>IF(C477,(Skills!G2*N477*B513)*IF(Inputs!$B$39="pvp",1,(1+(Inputs!$B$21+Skills!Q2+B516)/100)*(MIN((6+Inputs!$B$33),Inputs!$B$37))),0)</f>
        <v/>
      </c>
    </row>
    <row r="478">
      <c r="A478">
        <f>Skills!A3</f>
        <v/>
      </c>
      <c r="B478">
        <f>Skills!B3</f>
        <v/>
      </c>
      <c r="C478">
        <f>Inputs!$B$3&gt;=35</f>
        <v/>
      </c>
      <c r="D478">
        <f>IF(Skills!C3=1,60+Inputs!$B$25+Inputs!$B$29,IF(Skills!C3=2,90+Inputs!$B$26+Inputs!$B$29,IF(Skills!C3=3,120+Inputs!$B$27+Inputs!$B$29,MAX(0,(Inputs!$B$3-100)*3)+Inputs!$B$28+Inputs!$B$29)))</f>
        <v/>
      </c>
      <c r="E478">
        <f>INDEX(FactorTable!$B$2:$Y$301, MATCH(ROUND(MIN(300,MAX(1,D478)),0), FactorTable!$A$2:$A$301,0), Skills!M3+1)</f>
        <v/>
      </c>
      <c r="F478">
        <f>IF(Skills!N3=TRUE,(Skills!L3/10)*(E478/1000),Skills!L3/10)+Skills!O3</f>
        <v/>
      </c>
      <c r="G478">
        <f>Calc!G3</f>
        <v/>
      </c>
      <c r="H478">
        <f>Calc!H3</f>
        <v/>
      </c>
      <c r="I478">
        <f>IF(Skills!AA3&lt;&gt;"",1+(Skills!AA3/10)*(U478/1000)/100,1)</f>
        <v/>
      </c>
      <c r="J478">
        <f>((Inputs!$B$6*(1+Inputs!$B$7/100))+(((Inputs!$B$12*(1+Inputs!$B$13/100))-(Inputs!$B$12*(1+Inputs!$B$13/100)))+0.25*(Inputs!$B$14-Inputs!$B$14))*(1+Inputs!$B$7/100))*(F478/100)</f>
        <v/>
      </c>
      <c r="K478">
        <f>J478*(1+((Inputs!$B$12*(1+Inputs!$B$13/100))*0.01+Inputs!$B$14*0.0025)/100)*(1+Inputs!$B$15/100)*(1+Inputs!$B$16/100)*(5000/(6000+Inputs!$B$43*(1-Inputs!$B$19/100)))*(1+(Inputs!$B$24+((C505=TRUE)*(F505-Calc!F30)))/100)*(1+Skills!R3/100)*(1+(IF(Skills!A3="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478)</f>
        <v/>
      </c>
      <c r="L478">
        <f>K478*(MIN(Inputs!$B$22+((C499=TRUE)*(F499-Calc!F24)),(Inputs!$B$23+1))/100+(Inputs!$B$23+1)/100)/2</f>
        <v/>
      </c>
      <c r="M478">
        <f>L478*(1+(Inputs!$B$10+((C501=TRUE)*(F501-Calc!F26))+B518)/100)</f>
        <v/>
      </c>
      <c r="N478">
        <f>L478*(1-MIN((Inputs!$B$9+((C500=TRUE)*(F500-Calc!F25))+B515),100)/100)+M478*(MIN((Inputs!$B$9+((C500=TRUE)*(F500-Calc!F25))+B515),100)/100)</f>
        <v/>
      </c>
      <c r="O478">
        <f>(1-Summary!$B$55)*T478+Summary!$B$55*V478</f>
        <v/>
      </c>
      <c r="P478">
        <f>IF(B519=0,0,O478/B519)</f>
        <v/>
      </c>
      <c r="Q478">
        <f>IFERROR(1/IF(Inputs!$B$39="pvp",15,MAX(0.1,Skills!D3-IF(Skills!E3=TRUE,Inputs!$B$32,0))),0)</f>
        <v/>
      </c>
      <c r="R478">
        <f>IF(AND(Inputs!$B$39&lt;&gt;"pvp",Inputs!$B$44&gt;0),IF(MAX(0,Inputs!$B$44-B520)&lt;=0,0,(INT(MAX(0,Inputs!$B$44-B520)/IF(Inputs!$B$39="pvp",15,MAX(0.1,Skills!D3-IF(Skills!E3=TRUE,Inputs!$B$32,0))))+1)),0)</f>
        <v/>
      </c>
      <c r="S478">
        <f>IFERROR(O478/N478,0)</f>
        <v/>
      </c>
      <c r="T478">
        <f>IF(C478,(H478*N478*IF(AND(Inputs!$B$39&lt;&gt;"pvp",Inputs!$B$44&gt;0),((Skills!G3*((R478-1)*IF(Skills!H3&gt;0,Skills!I3/Skills!H3,1)+IF(Skills!H3&gt;0,MIN(Skills!I3,MAX(0,MAX(0,Inputs!$B$44-B520)-((R478-1)*IF(Inputs!$B$39="pvp",15,MAX(0.1,Skills!D3-IF(Skills!E3=TRUE,Inputs!$B$32,0))))))/Skills!H3,1)))/Inputs!$B$44),G478*Q478))*IF(Inputs!$B$39="pvp",1,1+(Inputs!$B$20+((C502=TRUE)*(F502-Calc!F27))+Skills!P3+B516)/100),0)</f>
        <v/>
      </c>
      <c r="U478">
        <f>INDEX(FactorTable!$B$2:$Y$301, MATCH(ROUND(MIN(300,MAX(1,U477)),0), FactorTable!$A$2:$A$301,0), 24)</f>
        <v/>
      </c>
      <c r="V478">
        <f>IF(C478,(H478*N478*IF(AND(Inputs!$B$39&lt;&gt;"pvp",Inputs!$B$44&gt;0),((Skills!G3*((R478-1)*IF(Skills!H3&gt;0,Skills!I3/Skills!H3,1)+IF(Skills!H3&gt;0,MIN(Skills!I3,MAX(0,MAX(0,Inputs!$B$44-B520)-((R478-1)*IF(Inputs!$B$39="pvp",15,MAX(0.1,Skills!D3-IF(Skills!E3=TRUE,Inputs!$B$32,0))))))/Skills!H3,1)))/Inputs!$B$44),G478*Q478))*IF(Inputs!$B$39="pvp",1,(1+(Inputs!$B$21+Skills!Q3+B516)/100)*(MIN(Skills!W3,Inputs!$B$37))),0)</f>
        <v/>
      </c>
    </row>
    <row r="479">
      <c r="A479">
        <f>Skills!A4</f>
        <v/>
      </c>
      <c r="B479">
        <f>Skills!B4</f>
        <v/>
      </c>
      <c r="C479">
        <f>Inputs!$B$3&gt;=40</f>
        <v/>
      </c>
      <c r="D479">
        <f>IF(Skills!C4=1,60+Inputs!$B$25+Inputs!$B$29,IF(Skills!C4=2,90+Inputs!$B$26+Inputs!$B$29,IF(Skills!C4=3,120+Inputs!$B$27+Inputs!$B$29,MAX(0,(Inputs!$B$3-100)*3)+Inputs!$B$28+Inputs!$B$29)))</f>
        <v/>
      </c>
      <c r="E479">
        <f>INDEX(FactorTable!$B$2:$Y$301, MATCH(ROUND(MIN(300,MAX(1,D479)),0), FactorTable!$A$2:$A$301,0), Skills!M4+1)</f>
        <v/>
      </c>
      <c r="F479">
        <f>IF(Skills!N4=TRUE,(Skills!L4/10)*(E479/1000),Skills!L4/10)+Skills!O4</f>
        <v/>
      </c>
      <c r="G479">
        <f>Calc!G4</f>
        <v/>
      </c>
      <c r="H479">
        <f>Calc!H4</f>
        <v/>
      </c>
      <c r="I479">
        <f>IF(Skills!AA4&lt;&gt;"",1+(Skills!AA4/10)*(U478/1000)/100,1)</f>
        <v/>
      </c>
      <c r="J479">
        <f>((Inputs!$B$6*(1+Inputs!$B$7/100))+(((Inputs!$B$12*(1+Inputs!$B$13/100))-(Inputs!$B$12*(1+Inputs!$B$13/100)))+0.25*(Inputs!$B$14-Inputs!$B$14))*(1+Inputs!$B$7/100))*(F479/100)</f>
        <v/>
      </c>
      <c r="K479">
        <f>J479*(1+((Inputs!$B$12*(1+Inputs!$B$13/100))*0.01+Inputs!$B$14*0.0025)/100)*(1+Inputs!$B$15/100)*(1+Inputs!$B$16/100)*(5000/(6000+Inputs!$B$43*(1-Inputs!$B$19/100)))*(1+(Inputs!$B$24+((C505=TRUE)*(F505-Calc!F30)))/100)*(1+Skills!R4/100)*(1+(IF(Skills!A4="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479)</f>
        <v/>
      </c>
      <c r="L479">
        <f>K479*(MIN(Inputs!$B$22+((C499=TRUE)*(F499-Calc!F24)),(Inputs!$B$23+1))/100+(Inputs!$B$23+1)/100)/2</f>
        <v/>
      </c>
      <c r="M479">
        <f>L479*(1+(Inputs!$B$10+((C501=TRUE)*(F501-Calc!F26))+B518)/100)</f>
        <v/>
      </c>
      <c r="N479">
        <f>L479*(1-MIN((Inputs!$B$9+((C500=TRUE)*(F500-Calc!F25))+B515),100)/100)+M479*(MIN((Inputs!$B$9+((C500=TRUE)*(F500-Calc!F25))+B515),100)/100)</f>
        <v/>
      </c>
      <c r="O479">
        <f>(1-Summary!$B$55)*T479+Summary!$B$55*V479</f>
        <v/>
      </c>
      <c r="P479">
        <f>IF(B519=0,0,O479/B519)</f>
        <v/>
      </c>
      <c r="Q479">
        <f>IFERROR(1/IF(Inputs!$B$39="pvp",15,MAX(0.1,Skills!D4-IF(Skills!E4=TRUE,Inputs!$B$32,0))),0)</f>
        <v/>
      </c>
      <c r="R479">
        <f>IF(AND(Inputs!$B$39&lt;&gt;"pvp",Inputs!$B$44&gt;0),IF(MAX(0,Inputs!$B$44-B520)&lt;=0,0,(INT(MAX(0,Inputs!$B$44-B520)/IF(Inputs!$B$39="pvp",15,MAX(0.1,Skills!D4-IF(Skills!E4=TRUE,Inputs!$B$32,0))))+1)),0)</f>
        <v/>
      </c>
      <c r="S479">
        <f>IFERROR(O479/N479,0)</f>
        <v/>
      </c>
      <c r="T479">
        <f>IF(C479,(H479*N479*IF(AND(Inputs!$B$39&lt;&gt;"pvp",Inputs!$B$44&gt;0),((Skills!G4*((R479-1)*IF(Skills!H4&gt;0,Skills!I4/Skills!H4,1)+IF(Skills!H4&gt;0,MIN(Skills!I4,MAX(0,MAX(0,Inputs!$B$44-B520)-((R479-1)*IF(Inputs!$B$39="pvp",15,MAX(0.1,Skills!D4-IF(Skills!E4=TRUE,Inputs!$B$32,0))))))/Skills!H4,1)))/Inputs!$B$44),G479*Q479))*IF(Inputs!$B$39="pvp",1,1+(Inputs!$B$20+((C502=TRUE)*(F502-Calc!F27))+Skills!P4+B516)/100),0)</f>
        <v/>
      </c>
      <c r="U479">
        <f>MAX(0,(Inputs!$B$3-100)*3)+Inputs!$B$28+Inputs!$B$29</f>
        <v/>
      </c>
      <c r="V479">
        <f>IF(C479,(H479*N479*IF(AND(Inputs!$B$39&lt;&gt;"pvp",Inputs!$B$44&gt;0),((Skills!G4*((R479-1)*IF(Skills!H4&gt;0,Skills!I4/Skills!H4,1)+IF(Skills!H4&gt;0,MIN(Skills!I4,MAX(0,MAX(0,Inputs!$B$44-B520)-((R479-1)*IF(Inputs!$B$39="pvp",15,MAX(0.1,Skills!D4-IF(Skills!E4=TRUE,Inputs!$B$32,0))))))/Skills!H4,1)))/Inputs!$B$44),G479*Q479))*IF(Inputs!$B$39="pvp",1,(1+(Inputs!$B$21+Skills!Q4+B516)/100)*(MIN(Skills!W4,Inputs!$B$37))),0)</f>
        <v/>
      </c>
    </row>
    <row r="480">
      <c r="A480">
        <f>Skills!A5</f>
        <v/>
      </c>
      <c r="B480">
        <f>Skills!B5</f>
        <v/>
      </c>
      <c r="C480">
        <f>Inputs!$B$3&gt;=63</f>
        <v/>
      </c>
      <c r="D480">
        <f>IF(Skills!C5=1,60+Inputs!$B$25+Inputs!$B$29,IF(Skills!C5=2,90+Inputs!$B$26+Inputs!$B$29,IF(Skills!C5=3,120+Inputs!$B$27+Inputs!$B$29,MAX(0,(Inputs!$B$3-100)*3)+Inputs!$B$28+Inputs!$B$29)))</f>
        <v/>
      </c>
      <c r="E480">
        <f>INDEX(FactorTable!$B$2:$Y$301, MATCH(ROUND(MIN(300,MAX(1,D480)),0), FactorTable!$A$2:$A$301,0), Skills!M5+1)</f>
        <v/>
      </c>
      <c r="F480">
        <f>IF(Skills!N5=TRUE,(Skills!L5/10)*(E480/1000),Skills!L5/10)+Skills!O5</f>
        <v/>
      </c>
      <c r="G480">
        <f>Calc!G5</f>
        <v/>
      </c>
      <c r="H480">
        <f>Calc!H5</f>
        <v/>
      </c>
      <c r="I480">
        <f>IF(Skills!AA5&lt;&gt;"",1+(Skills!AA5/10)*(U478/1000)/100,1)</f>
        <v/>
      </c>
      <c r="J480">
        <f>((Inputs!$B$6*(1+Inputs!$B$7/100))+(((Inputs!$B$12*(1+Inputs!$B$13/100))-(Inputs!$B$12*(1+Inputs!$B$13/100)))+0.25*(Inputs!$B$14-Inputs!$B$14))*(1+Inputs!$B$7/100))*(F480/100)</f>
        <v/>
      </c>
      <c r="K480">
        <f>J480*(1+((Inputs!$B$12*(1+Inputs!$B$13/100))*0.01+Inputs!$B$14*0.0025)/100)*(1+Inputs!$B$15/100)*(1+Inputs!$B$16/100)*(5000/(6000+Inputs!$B$43*(1-Inputs!$B$19/100)))*(1+(Inputs!$B$24+((C505=TRUE)*(F505-Calc!F30)))/100)*(1+Skills!R5/100)*(1+(IF(Skills!A5="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480)</f>
        <v/>
      </c>
      <c r="L480">
        <f>K480*(MIN(Inputs!$B$22+((C499=TRUE)*(F499-Calc!F24)),(Inputs!$B$23+1))/100+(Inputs!$B$23+1)/100)/2</f>
        <v/>
      </c>
      <c r="M480">
        <f>L480*(1+(Inputs!$B$10+((C501=TRUE)*(F501-Calc!F26))+B518)/100)</f>
        <v/>
      </c>
      <c r="N480">
        <f>L480*(1-MIN((Inputs!$B$9+((C500=TRUE)*(F500-Calc!F25))+B515),100)/100)+M480*(MIN((Inputs!$B$9+((C500=TRUE)*(F500-Calc!F25))+B515),100)/100)</f>
        <v/>
      </c>
      <c r="O480">
        <f>(1-Summary!$B$55)*T480+Summary!$B$55*V480</f>
        <v/>
      </c>
      <c r="P480">
        <f>IF(B519=0,0,O480/B519)</f>
        <v/>
      </c>
      <c r="Q480">
        <f>IFERROR(1/IF(Inputs!$B$39="pvp",15,MAX(0.1,Skills!D5-IF(Skills!E5=TRUE,Inputs!$B$32,0))),0)</f>
        <v/>
      </c>
      <c r="R480">
        <f>IF(AND(Inputs!$B$39&lt;&gt;"pvp",Inputs!$B$44&gt;0),IF(MAX(0,Inputs!$B$44-B520)&lt;=0,0,(INT(MAX(0,Inputs!$B$44-B520)/IF(Inputs!$B$39="pvp",15,MAX(0.1,Skills!D5-IF(Skills!E5=TRUE,Inputs!$B$32,0))))+1)),0)</f>
        <v/>
      </c>
      <c r="S480">
        <f>IFERROR(O480/N480,0)</f>
        <v/>
      </c>
      <c r="T480">
        <f>IF(C480,(H480*N480*IF(AND(Inputs!$B$39&lt;&gt;"pvp",Inputs!$B$44&gt;0),((Skills!G5*((R480-1)*IF(Skills!H5&gt;0,Skills!I5/Skills!H5,1)+IF(Skills!H5&gt;0,MIN(Skills!I5,MAX(0,MAX(0,Inputs!$B$44-B520)-((R480-1)*IF(Inputs!$B$39="pvp",15,MAX(0.1,Skills!D5-IF(Skills!E5=TRUE,Inputs!$B$32,0))))))/Skills!H5,1)))/Inputs!$B$44),G480*Q480))*IF(Inputs!$B$39="pvp",1,1+(Inputs!$B$20+((C502=TRUE)*(F502-Calc!F27))+Skills!P5+B516)/100),0)</f>
        <v/>
      </c>
      <c r="U480">
        <f>INDEX(FactorTable!$B$2:$Y$301, MATCH(ROUND(MIN(300,MAX(1,U479)),0), FactorTable!$A$2:$A$301,0), 22)</f>
        <v/>
      </c>
      <c r="V480">
        <f>IF(C480,(H480*N480*IF(AND(Inputs!$B$39&lt;&gt;"pvp",Inputs!$B$44&gt;0),((Skills!G5*((R480-1)*IF(Skills!H5&gt;0,Skills!I5/Skills!H5,1)+IF(Skills!H5&gt;0,MIN(Skills!I5,MAX(0,MAX(0,Inputs!$B$44-B520)-((R480-1)*IF(Inputs!$B$39="pvp",15,MAX(0.1,Skills!D5-IF(Skills!E5=TRUE,Inputs!$B$32,0))))))/Skills!H5,1)))/Inputs!$B$44),G480*Q480))*IF(Inputs!$B$39="pvp",1,(1+(Inputs!$B$21+Skills!Q5+B516)/100)*(MIN(Skills!W5,Inputs!$B$37))),0)</f>
        <v/>
      </c>
    </row>
    <row r="481">
      <c r="A481">
        <f>Skills!A6</f>
        <v/>
      </c>
      <c r="B481">
        <f>Skills!B6</f>
        <v/>
      </c>
      <c r="C481">
        <f>Inputs!$B$3&gt;=66</f>
        <v/>
      </c>
      <c r="D481">
        <f>IF(Skills!C6=1,60+Inputs!$B$25+Inputs!$B$29,IF(Skills!C6=2,90+Inputs!$B$26+Inputs!$B$29,IF(Skills!C6=3,120+Inputs!$B$27+Inputs!$B$29,MAX(0,(Inputs!$B$3-100)*3)+Inputs!$B$28+Inputs!$B$29)))</f>
        <v/>
      </c>
      <c r="E481">
        <f>INDEX(FactorTable!$B$2:$Y$301, MATCH(ROUND(MIN(300,MAX(1,D481)),0), FactorTable!$A$2:$A$301,0), Skills!M6+1)</f>
        <v/>
      </c>
      <c r="F481">
        <f>IF(Skills!N6=TRUE,(Skills!L6/10)*(E481/1000),Skills!L6/10)+Skills!O6</f>
        <v/>
      </c>
      <c r="G481">
        <f>Calc!G6</f>
        <v/>
      </c>
      <c r="H481">
        <f>Calc!H6</f>
        <v/>
      </c>
      <c r="I481">
        <f>IF(Skills!AA6&lt;&gt;"",1+(Skills!AA6/10)*(U478/1000)/100,1)</f>
        <v/>
      </c>
      <c r="J481" t="inlineStr"/>
      <c r="K481" t="inlineStr"/>
      <c r="L481" t="inlineStr"/>
      <c r="M481" t="inlineStr"/>
      <c r="N481" t="inlineStr"/>
      <c r="O481">
        <f>(1-Summary!$B$55)*T481+Summary!$B$55*V481</f>
        <v/>
      </c>
      <c r="P481">
        <f>IF(B519=0,0,O481/B519)</f>
        <v/>
      </c>
      <c r="Q481" t="n">
        <v>0</v>
      </c>
      <c r="R481" t="n">
        <v>0</v>
      </c>
      <c r="S481">
        <f>IFERROR(O481/N481,0)</f>
        <v/>
      </c>
      <c r="T481" t="n">
        <v>0</v>
      </c>
      <c r="U481">
        <f>290*U480/1000</f>
        <v/>
      </c>
      <c r="V481" t="n">
        <v>0</v>
      </c>
    </row>
    <row r="482">
      <c r="A482">
        <f>Skills!A7</f>
        <v/>
      </c>
      <c r="B482">
        <f>Skills!B7</f>
        <v/>
      </c>
      <c r="C482">
        <f>Inputs!$B$3&gt;=66</f>
        <v/>
      </c>
      <c r="D482">
        <f>IF(Skills!C7=1,60+Inputs!$B$25+Inputs!$B$29,IF(Skills!C7=2,90+Inputs!$B$26+Inputs!$B$29,IF(Skills!C7=3,120+Inputs!$B$27+Inputs!$B$29,MAX(0,(Inputs!$B$3-100)*3)+Inputs!$B$28+Inputs!$B$29)))</f>
        <v/>
      </c>
      <c r="E482">
        <f>INDEX(FactorTable!$B$2:$Y$301, MATCH(ROUND(MIN(300,MAX(1,D482)),0), FactorTable!$A$2:$A$301,0), Skills!M7+1)</f>
        <v/>
      </c>
      <c r="F482">
        <f>IF(Skills!N7=TRUE,(Skills!L7/10)*(E482/1000),Skills!L7/10)+Skills!O7</f>
        <v/>
      </c>
      <c r="G482">
        <f>Calc!G7</f>
        <v/>
      </c>
      <c r="H482">
        <f>Calc!H7</f>
        <v/>
      </c>
      <c r="I482">
        <f>IF(Skills!AA7&lt;&gt;"",1+(Skills!AA7/10)*(U478/1000)/100,1)</f>
        <v/>
      </c>
      <c r="J482" t="inlineStr"/>
      <c r="K482" t="inlineStr"/>
      <c r="L482" t="inlineStr"/>
      <c r="M482" t="inlineStr"/>
      <c r="N482" t="inlineStr"/>
      <c r="O482">
        <f>(1-Summary!$B$55)*T482+Summary!$B$55*V482</f>
        <v/>
      </c>
      <c r="P482">
        <f>IF(B519=0,0,O482/B519)</f>
        <v/>
      </c>
      <c r="Q482" t="n">
        <v>0</v>
      </c>
      <c r="R482" t="n">
        <v>0</v>
      </c>
      <c r="S482">
        <f>IFERROR(O482/N482,0)</f>
        <v/>
      </c>
      <c r="T482" t="n">
        <v>0</v>
      </c>
      <c r="V482" t="n">
        <v>0</v>
      </c>
    </row>
    <row r="483">
      <c r="A483">
        <f>Skills!A8</f>
        <v/>
      </c>
      <c r="B483">
        <f>Skills!B8</f>
        <v/>
      </c>
      <c r="C483">
        <f>Inputs!$B$3&gt;=69</f>
        <v/>
      </c>
      <c r="D483">
        <f>IF(Skills!C8=1,60+Inputs!$B$25+Inputs!$B$29,IF(Skills!C8=2,90+Inputs!$B$26+Inputs!$B$29,IF(Skills!C8=3,120+Inputs!$B$27+Inputs!$B$29,MAX(0,(Inputs!$B$3-100)*3)+Inputs!$B$28+Inputs!$B$29)))</f>
        <v/>
      </c>
      <c r="E483">
        <f>INDEX(FactorTable!$B$2:$Y$301, MATCH(ROUND(MIN(300,MAX(1,D483)),0), FactorTable!$A$2:$A$301,0), Skills!M8+1)</f>
        <v/>
      </c>
      <c r="F483">
        <f>IF(Skills!N8=TRUE,(Skills!L8/10)*(E483/1000),Skills!L8/10)+Skills!O8</f>
        <v/>
      </c>
      <c r="G483">
        <f>Calc!G8</f>
        <v/>
      </c>
      <c r="H483">
        <f>Calc!H8</f>
        <v/>
      </c>
      <c r="I483">
        <f>IF(Skills!AA8&lt;&gt;"",1+(Skills!AA8/10)*(U478/1000)/100,1)</f>
        <v/>
      </c>
      <c r="J483">
        <f>((Inputs!$B$6*(1+Inputs!$B$7/100))+(((Inputs!$B$12*(1+Inputs!$B$13/100))-(Inputs!$B$12*(1+Inputs!$B$13/100)))+0.25*(Inputs!$B$14-Inputs!$B$14))*(1+Inputs!$B$7/100))*(F483/100)</f>
        <v/>
      </c>
      <c r="K483">
        <f>J483*(1+((Inputs!$B$12*(1+Inputs!$B$13/100))*0.01+Inputs!$B$14*0.0025)/100)*(1+Inputs!$B$15/100)*(1+Inputs!$B$16/100)*(5000/(6000+Inputs!$B$43*(1-Inputs!$B$19/100)))*(1+(Inputs!$B$24+((C505=TRUE)*(F505-Calc!F30)))/100)*(1+Skills!R8/100)*(1+(IF(Skills!A8="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483)</f>
        <v/>
      </c>
      <c r="L483">
        <f>K483*(MIN(Inputs!$B$22+((C499=TRUE)*(F499-Calc!F24)),(Inputs!$B$23+1))/100+(Inputs!$B$23+1)/100)/2</f>
        <v/>
      </c>
      <c r="M483">
        <f>L483*(1+(Inputs!$B$10+((C501=TRUE)*(F501-Calc!F26))+B518)/100)</f>
        <v/>
      </c>
      <c r="N483">
        <f>L483*(1-MIN((Inputs!$B$9+((C500=TRUE)*(F500-Calc!F25))+B515),100)/100)+M483*(MIN((Inputs!$B$9+((C500=TRUE)*(F500-Calc!F25))+B515),100)/100)</f>
        <v/>
      </c>
      <c r="O483">
        <f>(1-Summary!$B$55)*T483+Summary!$B$55*V483</f>
        <v/>
      </c>
      <c r="P483">
        <f>IF(B519=0,0,O483/B519)</f>
        <v/>
      </c>
      <c r="Q483">
        <f>IFERROR(1/IF(Inputs!$B$39="pvp",15,MAX(0.1,Skills!D8-IF(Skills!E8=TRUE,Inputs!$B$32,0))),0)</f>
        <v/>
      </c>
      <c r="R483">
        <f>IF(AND(Inputs!$B$39&lt;&gt;"pvp",Inputs!$B$44&gt;0),IF(MAX(0,Inputs!$B$44-B520)&lt;=0,0,(INT(MAX(0,Inputs!$B$44-B520)/IF(Inputs!$B$39="pvp",15,MAX(0.1,Skills!D8-IF(Skills!E8=TRUE,Inputs!$B$32,0))))+1)),0)</f>
        <v/>
      </c>
      <c r="S483">
        <f>IFERROR(O483/N483,0)</f>
        <v/>
      </c>
      <c r="T483">
        <f>IF(C483,(H483*N483*IF(AND(Inputs!$B$39&lt;&gt;"pvp",Inputs!$B$44&gt;0),((Skills!G8*((R483-1)*IF(Skills!H8&gt;0,Skills!I8/Skills!H8,1)+IF(Skills!H8&gt;0,MIN(Skills!I8,MAX(0,MAX(0,Inputs!$B$44-B520)-((R483-1)*IF(Inputs!$B$39="pvp",15,MAX(0.1,Skills!D8-IF(Skills!E8=TRUE,Inputs!$B$32,0))))))/Skills!H8,1)))/Inputs!$B$44),G483*Q483))*IF(Inputs!$B$39="pvp",1,1+(Inputs!$B$20+((C502=TRUE)*(F502-Calc!F27))+Skills!P8+B516)/100),0)</f>
        <v/>
      </c>
      <c r="V483">
        <f>IF(C483,(H483*N483*IF(AND(Inputs!$B$39&lt;&gt;"pvp",Inputs!$B$44&gt;0),((Skills!G8*((R483-1)*IF(Skills!H8&gt;0,Skills!I8/Skills!H8,1)+IF(Skills!H8&gt;0,MIN(Skills!I8,MAX(0,MAX(0,Inputs!$B$44-B520)-((R483-1)*IF(Inputs!$B$39="pvp",15,MAX(0.1,Skills!D8-IF(Skills!E8=TRUE,Inputs!$B$32,0))))))/Skills!H8,1)))/Inputs!$B$44),G483*Q483))*IF(Inputs!$B$39="pvp",1,(1+(Inputs!$B$21+Skills!Q8+B516)/100)*(MIN(Skills!W8,Inputs!$B$37))),0)</f>
        <v/>
      </c>
    </row>
    <row r="484">
      <c r="A484">
        <f>Skills!A9</f>
        <v/>
      </c>
      <c r="B484">
        <f>Skills!B9</f>
        <v/>
      </c>
      <c r="C484">
        <f>Inputs!$B$3&gt;=72</f>
        <v/>
      </c>
      <c r="D484">
        <f>IF(Skills!C9=1,60+Inputs!$B$25+Inputs!$B$29,IF(Skills!C9=2,90+Inputs!$B$26+Inputs!$B$29,IF(Skills!C9=3,120+Inputs!$B$27+Inputs!$B$29,MAX(0,(Inputs!$B$3-100)*3)+Inputs!$B$28+Inputs!$B$29)))</f>
        <v/>
      </c>
      <c r="E484">
        <f>INDEX(FactorTable!$B$2:$Y$301, MATCH(ROUND(MIN(300,MAX(1,D484)),0), FactorTable!$A$2:$A$301,0), Skills!M9+1)</f>
        <v/>
      </c>
      <c r="F484">
        <f>IF(Skills!N9=TRUE,(Skills!L9/10)*(E484/1000),Skills!L9/10)+Skills!O9</f>
        <v/>
      </c>
      <c r="G484">
        <f>Calc!G9</f>
        <v/>
      </c>
      <c r="H484">
        <f>Calc!H9</f>
        <v/>
      </c>
      <c r="I484">
        <f>IF(Skills!AA9&lt;&gt;"",1+(Skills!AA9/10)*(U478/1000)/100,1)</f>
        <v/>
      </c>
      <c r="J484">
        <f>((Inputs!$B$6*(1+Inputs!$B$7/100))+(((Inputs!$B$12*(1+Inputs!$B$13/100))-(Inputs!$B$12*(1+Inputs!$B$13/100)))+0.25*(Inputs!$B$14-Inputs!$B$14))*(1+Inputs!$B$7/100))*(F484/100)</f>
        <v/>
      </c>
      <c r="K484">
        <f>J484*(1+((Inputs!$B$12*(1+Inputs!$B$13/100))*0.01+Inputs!$B$14*0.0025)/100)*(1+Inputs!$B$15/100)*(1+Inputs!$B$16/100)*(5000/(6000+Inputs!$B$43*(1-Inputs!$B$19/100)))*(1+(Inputs!$B$24+((C505=TRUE)*(F505-Calc!F30)))/100)*(1+Skills!R9/100)*(1+(IF(Skills!A9="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484)</f>
        <v/>
      </c>
      <c r="L484">
        <f>K484*(MIN(Inputs!$B$22+((C499=TRUE)*(F499-Calc!F24)),(Inputs!$B$23+1))/100+(Inputs!$B$23+1)/100)/2</f>
        <v/>
      </c>
      <c r="M484">
        <f>L484*(1+(Inputs!$B$10+((C501=TRUE)*(F501-Calc!F26))+B518)/100)</f>
        <v/>
      </c>
      <c r="N484">
        <f>L484*(1-MIN((Inputs!$B$9+((C500=TRUE)*(F500-Calc!F25))+B515),100)/100)+M484*(MIN((Inputs!$B$9+((C500=TRUE)*(F500-Calc!F25))+B515),100)/100)</f>
        <v/>
      </c>
      <c r="O484">
        <f>(1-Summary!$B$55)*T484+Summary!$B$55*V484</f>
        <v/>
      </c>
      <c r="P484">
        <f>IF(B519=0,0,O484/B519)</f>
        <v/>
      </c>
      <c r="Q484">
        <f>IFERROR(1/IF(Inputs!$B$39="pvp",15,MAX(0.1,Skills!D9-IF(Skills!E9=TRUE,Inputs!$B$32,0))),0)</f>
        <v/>
      </c>
      <c r="R484">
        <f>IF(AND(Inputs!$B$39&lt;&gt;"pvp",Inputs!$B$44&gt;0),IF(MAX(0,Inputs!$B$44-B520)&lt;=0,0,(INT(MAX(0,Inputs!$B$44-B520)/IF(Inputs!$B$39="pvp",15,MAX(0.1,Skills!D9-IF(Skills!E9=TRUE,Inputs!$B$32,0))))+1)),0)</f>
        <v/>
      </c>
      <c r="S484">
        <f>IFERROR(O484/N484,0)</f>
        <v/>
      </c>
      <c r="T484">
        <f>IF(C484,(H484*N484*IF(AND(Inputs!$B$39&lt;&gt;"pvp",Inputs!$B$44&gt;0),((Skills!G9*((R484-1)*IF(Skills!H9&gt;0,Skills!I9/Skills!H9,1)+IF(Skills!H9&gt;0,MIN(Skills!I9,MAX(0,MAX(0,Inputs!$B$44-B520)-((R484-1)*IF(Inputs!$B$39="pvp",15,MAX(0.1,Skills!D9-IF(Skills!E9=TRUE,Inputs!$B$32,0))))))/Skills!H9,1)))/Inputs!$B$44),G484*Q484))*IF(Inputs!$B$39="pvp",1,1+(Inputs!$B$20+((C502=TRUE)*(F502-Calc!F27))+Skills!P9+B516)/100),0)</f>
        <v/>
      </c>
      <c r="V484">
        <f>IF(C484,(H484*N484*IF(AND(Inputs!$B$39&lt;&gt;"pvp",Inputs!$B$44&gt;0),((Skills!G9*((R484-1)*IF(Skills!H9&gt;0,Skills!I9/Skills!H9,1)+IF(Skills!H9&gt;0,MIN(Skills!I9,MAX(0,MAX(0,Inputs!$B$44-B520)-((R484-1)*IF(Inputs!$B$39="pvp",15,MAX(0.1,Skills!D9-IF(Skills!E9=TRUE,Inputs!$B$32,0))))))/Skills!H9,1)))/Inputs!$B$44),G484*Q484))*IF(Inputs!$B$39="pvp",1,(1+(Inputs!$B$21+Skills!Q9+B516)/100)*(MIN(Skills!W9,Inputs!$B$37))),0)</f>
        <v/>
      </c>
    </row>
    <row r="485">
      <c r="A485">
        <f>Skills!A10</f>
        <v/>
      </c>
      <c r="B485">
        <f>Skills!B10</f>
        <v/>
      </c>
      <c r="C485">
        <f>Inputs!$B$3&gt;=117</f>
        <v/>
      </c>
      <c r="D485">
        <f>IF(Skills!C10=1,60+Inputs!$B$25+Inputs!$B$29,IF(Skills!C10=2,90+Inputs!$B$26+Inputs!$B$29,IF(Skills!C10=3,120+Inputs!$B$27+Inputs!$B$29,MAX(0,(Inputs!$B$3-100)*3)+Inputs!$B$28+Inputs!$B$29)))</f>
        <v/>
      </c>
      <c r="E485">
        <f>INDEX(FactorTable!$B$2:$Y$301, MATCH(ROUND(MIN(300,MAX(1,D485)),0), FactorTable!$A$2:$A$301,0), Skills!M10+1)</f>
        <v/>
      </c>
      <c r="F485">
        <f>IF(Skills!N10=TRUE,(Skills!L10/10)*(E485/1000),Skills!L10/10)+Skills!O10</f>
        <v/>
      </c>
      <c r="G485">
        <f>Calc!G10</f>
        <v/>
      </c>
      <c r="H485">
        <f>Calc!H10</f>
        <v/>
      </c>
      <c r="I485">
        <f>IF(Skills!AA10&lt;&gt;"",1+(Skills!AA10/10)*(U478/1000)/100,1)</f>
        <v/>
      </c>
      <c r="J485">
        <f>((Inputs!$B$6*(1+Inputs!$B$7/100))+(((Inputs!$B$12*(1+Inputs!$B$13/100))-(Inputs!$B$12*(1+Inputs!$B$13/100)))+0.25*(Inputs!$B$14-Inputs!$B$14))*(1+Inputs!$B$7/100))*(F485/100)</f>
        <v/>
      </c>
      <c r="K485">
        <f>J485*(1+((Inputs!$B$12*(1+Inputs!$B$13/100))*0.01+Inputs!$B$14*0.0025)/100)*(1+Inputs!$B$15/100)*(1+Inputs!$B$16/100)*(5000/(6000+Inputs!$B$43*(1-Inputs!$B$19/100)))*(1+(Inputs!$B$24+((C505=TRUE)*(F505-Calc!F30)))/100)*(1+Skills!R10/100)*(1+(IF(Skills!A10="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485)</f>
        <v/>
      </c>
      <c r="L485">
        <f>K485*(MIN(Inputs!$B$22+((C499=TRUE)*(F499-Calc!F24)),(Inputs!$B$23+1))/100+(Inputs!$B$23+1)/100)/2</f>
        <v/>
      </c>
      <c r="M485">
        <f>L485*(1+(Inputs!$B$10+((C501=TRUE)*(F501-Calc!F26))+B518)/100)</f>
        <v/>
      </c>
      <c r="N485">
        <f>L485*(1-MIN((Inputs!$B$9+((C500=TRUE)*(F500-Calc!F25))+B515),100)/100)+M485*(MIN((Inputs!$B$9+((C500=TRUE)*(F500-Calc!F25))+B515),100)/100)</f>
        <v/>
      </c>
      <c r="O485">
        <f>(1-Summary!$B$55)*T485+Summary!$B$55*V485</f>
        <v/>
      </c>
      <c r="P485">
        <f>IF(B519=0,0,O485/B519)</f>
        <v/>
      </c>
      <c r="Q485" t="n">
        <v>0</v>
      </c>
      <c r="R485" t="n">
        <v>0</v>
      </c>
      <c r="S485" t="n">
        <v>0</v>
      </c>
      <c r="T485">
        <f>IF(C485,(0.2*SUMPRODUCT((Skills!Z2:Z31=TRUE)*(C477:C506=TRUE)*S477:S506)*N485)*IF(Inputs!$B$39="pvp",1,1+(Inputs!$B$20+((C502=TRUE)*(F502-Calc!F27))+Skills!P10+B516)/100),0)</f>
        <v/>
      </c>
      <c r="V485">
        <f>IF(C485,(0.2*SUMPRODUCT((Skills!Z2:Z31=TRUE)*(C477:C506=TRUE)*S477:S506)*N485)*IF(Inputs!$B$39="pvp",1,(1+(Inputs!$B$21+Skills!Q10+B516)/100)*(MIN(Skills!W10,Inputs!$B$37))),0)</f>
        <v/>
      </c>
    </row>
    <row r="486">
      <c r="A486">
        <f>Skills!A11</f>
        <v/>
      </c>
      <c r="B486">
        <f>Skills!B11</f>
        <v/>
      </c>
      <c r="C486">
        <f>Inputs!$B$3&gt;=60</f>
        <v/>
      </c>
      <c r="D486">
        <f>IF(Skills!C11=1,60+Inputs!$B$25+Inputs!$B$29,IF(Skills!C11=2,90+Inputs!$B$26+Inputs!$B$29,IF(Skills!C11=3,120+Inputs!$B$27+Inputs!$B$29,MAX(0,(Inputs!$B$3-100)*3)+Inputs!$B$28+Inputs!$B$29)))</f>
        <v/>
      </c>
      <c r="E486">
        <f>INDEX(FactorTable!$B$2:$Y$301, MATCH(ROUND(MIN(300,MAX(1,D486)),0), FactorTable!$A$2:$A$301,0), Skills!M11+1)</f>
        <v/>
      </c>
      <c r="F486">
        <f>IF(Skills!N11=TRUE,(Skills!L11/10)*(E486/1000),Skills!L11/10)+Skills!O11</f>
        <v/>
      </c>
      <c r="G486">
        <f>Calc!G11</f>
        <v/>
      </c>
      <c r="H486">
        <f>Calc!H11</f>
        <v/>
      </c>
      <c r="I486">
        <f>IF(Skills!AA11&lt;&gt;"",1+(Skills!AA11/10)*(U478/1000)/100,1)</f>
        <v/>
      </c>
      <c r="J486" t="inlineStr"/>
      <c r="K486" t="inlineStr"/>
      <c r="L486" t="inlineStr"/>
      <c r="M486" t="inlineStr"/>
      <c r="N486" t="inlineStr"/>
      <c r="O486">
        <f>(1-Summary!$B$55)*T486+Summary!$B$55*V486</f>
        <v/>
      </c>
      <c r="P486">
        <f>IF(B519=0,0,O486/B519)</f>
        <v/>
      </c>
      <c r="Q486" t="n">
        <v>0</v>
      </c>
      <c r="R486" t="n">
        <v>0</v>
      </c>
      <c r="S486">
        <f>IFERROR(O486/N486,0)</f>
        <v/>
      </c>
      <c r="T486" t="n">
        <v>0</v>
      </c>
      <c r="V486" t="n">
        <v>0</v>
      </c>
    </row>
    <row r="487">
      <c r="A487">
        <f>Skills!A12</f>
        <v/>
      </c>
      <c r="B487">
        <f>Skills!B12</f>
        <v/>
      </c>
      <c r="C487">
        <f>Inputs!$B$3&gt;=103</f>
        <v/>
      </c>
      <c r="D487">
        <f>IF(Skills!C12=1,60+Inputs!$B$25+Inputs!$B$29,IF(Skills!C12=2,90+Inputs!$B$26+Inputs!$B$29,IF(Skills!C12=3,120+Inputs!$B$27+Inputs!$B$29,MAX(0,(Inputs!$B$3-100)*3)+Inputs!$B$28+Inputs!$B$29)))</f>
        <v/>
      </c>
      <c r="E487">
        <f>INDEX(FactorTable!$B$2:$Y$301, MATCH(ROUND(MIN(300,MAX(1,D487)),0), FactorTable!$A$2:$A$301,0), Skills!M12+1)</f>
        <v/>
      </c>
      <c r="F487">
        <f>IF(Skills!N12=TRUE,(Skills!L12/10)*(E487/1000),Skills!L12/10)+Skills!O12</f>
        <v/>
      </c>
      <c r="G487">
        <f>Calc!G12</f>
        <v/>
      </c>
      <c r="H487">
        <f>Calc!H12</f>
        <v/>
      </c>
      <c r="I487">
        <f>IF(Skills!AA12&lt;&gt;"",1+(Skills!AA12/10)*(U478/1000)/100,1)</f>
        <v/>
      </c>
      <c r="J487">
        <f>((Inputs!$B$6*(1+Inputs!$B$7/100))+(((Inputs!$B$12*(1+Inputs!$B$13/100))-(Inputs!$B$12*(1+Inputs!$B$13/100)))+0.25*(Inputs!$B$14-Inputs!$B$14))*(1+Inputs!$B$7/100))*(F487/100)</f>
        <v/>
      </c>
      <c r="K487">
        <f>J487*(1+((Inputs!$B$12*(1+Inputs!$B$13/100))*0.01+Inputs!$B$14*0.0025)/100)*(1+Inputs!$B$15/100)*(1+Inputs!$B$16/100)*(5000/(6000+Inputs!$B$43*(1-Inputs!$B$19/100)))*(1+(Inputs!$B$24+((C505=TRUE)*(F505-Calc!F30)))/100)*(1+Skills!R12/100)*(1+(IF(Skills!A12="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487)</f>
        <v/>
      </c>
      <c r="L487">
        <f>K487*(MIN(Inputs!$B$22+((C499=TRUE)*(F499-Calc!F24)),(Inputs!$B$23+1))/100+(Inputs!$B$23+1)/100)/2</f>
        <v/>
      </c>
      <c r="M487">
        <f>L487*(1+(Inputs!$B$10+((C501=TRUE)*(F501-Calc!F26))+B518)/100)</f>
        <v/>
      </c>
      <c r="N487">
        <f>L487*(1-MIN((Inputs!$B$9+((C500=TRUE)*(F500-Calc!F25))+B515),100)/100)+M487*(MIN((Inputs!$B$9+((C500=TRUE)*(F500-Calc!F25))+B515),100)/100)</f>
        <v/>
      </c>
      <c r="O487">
        <f>(1-Summary!$B$55)*T487+Summary!$B$55*V487</f>
        <v/>
      </c>
      <c r="P487">
        <f>IF(B519=0,0,O487/B519)</f>
        <v/>
      </c>
      <c r="Q487">
        <f>IFERROR(1/IF(Inputs!$B$39="pvp",15,MAX(0.1,Skills!D12-IF(Skills!E12=TRUE,Inputs!$B$32,0))),0)</f>
        <v/>
      </c>
      <c r="R487">
        <f>IF(AND(Inputs!$B$39&lt;&gt;"pvp",Inputs!$B$44&gt;0),IF(MAX(0,Inputs!$B$44-B520)&lt;=0,0,(INT(MAX(0,Inputs!$B$44-B520)/IF(Inputs!$B$39="pvp",15,MAX(0.1,Skills!D12-IF(Skills!E12=TRUE,Inputs!$B$32,0))))+1)),0)</f>
        <v/>
      </c>
      <c r="S487">
        <f>IFERROR(O487/N487,0)</f>
        <v/>
      </c>
      <c r="T487">
        <f>IF(C487,(H487*N487*IF(AND(Inputs!$B$39&lt;&gt;"pvp",Inputs!$B$44&gt;0),((Skills!G12*((R487-1)*IF(Skills!H12&gt;0,Skills!I12/Skills!H12,1)+IF(Skills!H12&gt;0,MIN(Skills!I12,MAX(0,MAX(0,Inputs!$B$44-B520)-((R487-1)*IF(Inputs!$B$39="pvp",15,MAX(0.1,Skills!D12-IF(Skills!E12=TRUE,Inputs!$B$32,0))))))/Skills!H12,1)))/Inputs!$B$44),G487*Q487))*IF(Inputs!$B$39="pvp",1,1+(Inputs!$B$20+((C502=TRUE)*(F502-Calc!F27))+Skills!P12+B516)/100),0)</f>
        <v/>
      </c>
      <c r="V487">
        <f>IF(C487,(H487*N487*IF(AND(Inputs!$B$39&lt;&gt;"pvp",Inputs!$B$44&gt;0),((Skills!G12*((R487-1)*IF(Skills!H12&gt;0,Skills!I12/Skills!H12,1)+IF(Skills!H12&gt;0,MIN(Skills!I12,MAX(0,MAX(0,Inputs!$B$44-B520)-((R487-1)*IF(Inputs!$B$39="pvp",15,MAX(0.1,Skills!D12-IF(Skills!E12=TRUE,Inputs!$B$32,0))))))/Skills!H12,1)))/Inputs!$B$44),G487*Q487))*IF(Inputs!$B$39="pvp",1,(1+(Inputs!$B$21+Skills!Q12+B516)/100)*(MIN(Skills!W12,Inputs!$B$37))),0)</f>
        <v/>
      </c>
    </row>
    <row r="488">
      <c r="A488">
        <f>Skills!A13</f>
        <v/>
      </c>
      <c r="B488">
        <f>Skills!B13</f>
        <v/>
      </c>
      <c r="C488">
        <f>Inputs!$B$3&gt;=105</f>
        <v/>
      </c>
      <c r="D488">
        <f>IF(Skills!C13=1,60+Inputs!$B$25+Inputs!$B$29,IF(Skills!C13=2,90+Inputs!$B$26+Inputs!$B$29,IF(Skills!C13=3,120+Inputs!$B$27+Inputs!$B$29,MAX(0,(Inputs!$B$3-100)*3)+Inputs!$B$28+Inputs!$B$29)))</f>
        <v/>
      </c>
      <c r="E488">
        <f>INDEX(FactorTable!$B$2:$Y$301, MATCH(ROUND(MIN(300,MAX(1,D488)),0), FactorTable!$A$2:$A$301,0), Skills!M13+1)</f>
        <v/>
      </c>
      <c r="F488">
        <f>IF(Skills!N13=TRUE,(Skills!L13/10)*(E488/1000),Skills!L13/10)+Skills!O13</f>
        <v/>
      </c>
      <c r="G488">
        <f>Calc!G13</f>
        <v/>
      </c>
      <c r="H488">
        <f>Calc!H13</f>
        <v/>
      </c>
      <c r="I488">
        <f>IF(Skills!AA13&lt;&gt;"",1+(Skills!AA13/10)*(U478/1000)/100,1)</f>
        <v/>
      </c>
      <c r="J488">
        <f>((Inputs!$B$6*(1+Inputs!$B$7/100))+(((Inputs!$B$12*(1+Inputs!$B$13/100))-(Inputs!$B$12*(1+Inputs!$B$13/100)))+0.25*(Inputs!$B$14-Inputs!$B$14))*(1+Inputs!$B$7/100))*(F488/100)</f>
        <v/>
      </c>
      <c r="K488">
        <f>J488*(1+((Inputs!$B$12*(1+Inputs!$B$13/100))*0.01+Inputs!$B$14*0.0025)/100)*(1+Inputs!$B$15/100)*(1+Inputs!$B$16/100)*(5000/(6000+Inputs!$B$43*(1-Inputs!$B$19/100)))*(1+(Inputs!$B$24+((C505=TRUE)*(F505-Calc!F30)))/100)*(1+Skills!R13/100)*(1+(IF(Skills!A13="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488)</f>
        <v/>
      </c>
      <c r="L488">
        <f>K488*(MIN(Inputs!$B$22+((C499=TRUE)*(F499-Calc!F24)),(Inputs!$B$23+1))/100+(Inputs!$B$23+1)/100)/2</f>
        <v/>
      </c>
      <c r="M488">
        <f>L488*(1+(Inputs!$B$10+((C501=TRUE)*(F501-Calc!F26))+B518)/100)</f>
        <v/>
      </c>
      <c r="N488">
        <f>L488*(1-MIN((Inputs!$B$9+((C500=TRUE)*(F500-Calc!F25))+B515),100)/100)+M488*(MIN((Inputs!$B$9+((C500=TRUE)*(F500-Calc!F25))+B515),100)/100)</f>
        <v/>
      </c>
      <c r="O488">
        <f>(1-Summary!$B$55)*T488+Summary!$B$55*V488</f>
        <v/>
      </c>
      <c r="P488">
        <f>IF(B519=0,0,O488/B519)</f>
        <v/>
      </c>
      <c r="Q488">
        <f>IFERROR(1/IF(Inputs!$B$39="pvp",15,MAX(0.1,Skills!D13-IF(Skills!E13=TRUE,Inputs!$B$32,0))),0)</f>
        <v/>
      </c>
      <c r="R488">
        <f>IF(AND(Inputs!$B$39&lt;&gt;"pvp",Inputs!$B$44&gt;0),IF(MAX(0,Inputs!$B$44-B520)&lt;=0,0,(INT(MAX(0,Inputs!$B$44-B520)/IF(Inputs!$B$39="pvp",15,MAX(0.1,Skills!D13-IF(Skills!E13=TRUE,Inputs!$B$32,0))))+1)),0)</f>
        <v/>
      </c>
      <c r="S488">
        <f>IFERROR(O488/N488,0)</f>
        <v/>
      </c>
      <c r="T488">
        <f>IF(C488,(H488*N488*IF(AND(Inputs!$B$39&lt;&gt;"pvp",Inputs!$B$44&gt;0),((Skills!G13*((R488-1)*IF(Skills!H13&gt;0,Skills!I13/Skills!H13,1)+IF(Skills!H13&gt;0,MIN(Skills!I13,MAX(0,MAX(0,Inputs!$B$44-B520)-((R488-1)*IF(Inputs!$B$39="pvp",15,MAX(0.1,Skills!D13-IF(Skills!E13=TRUE,Inputs!$B$32,0))))))/Skills!H13,1)))/Inputs!$B$44),G488*Q488))*IF(Inputs!$B$39="pvp",1,1+(Inputs!$B$20+((C502=TRUE)*(F502-Calc!F27))+Skills!P13+B516)/100),0)</f>
        <v/>
      </c>
      <c r="V488">
        <f>IF(C488,(H488*N488*IF(AND(Inputs!$B$39&lt;&gt;"pvp",Inputs!$B$44&gt;0),((Skills!G13*((R488-1)*IF(Skills!H13&gt;0,Skills!I13/Skills!H13,1)+IF(Skills!H13&gt;0,MIN(Skills!I13,MAX(0,MAX(0,Inputs!$B$44-B520)-((R488-1)*IF(Inputs!$B$39="pvp",15,MAX(0.1,Skills!D13-IF(Skills!E13=TRUE,Inputs!$B$32,0))))))/Skills!H13,1)))/Inputs!$B$44),G488*Q488))*IF(Inputs!$B$39="pvp",1,(1+(Inputs!$B$21+Skills!Q13+B516)/100)*(MIN(Skills!W13,Inputs!$B$37))),0)</f>
        <v/>
      </c>
    </row>
    <row r="489">
      <c r="A489">
        <f>Skills!A14</f>
        <v/>
      </c>
      <c r="B489">
        <f>Skills!B14</f>
        <v/>
      </c>
      <c r="C489">
        <f>Inputs!$B$3&gt;=105</f>
        <v/>
      </c>
      <c r="D489">
        <f>IF(Skills!C14=1,60+Inputs!$B$25+Inputs!$B$29,IF(Skills!C14=2,90+Inputs!$B$26+Inputs!$B$29,IF(Skills!C14=3,120+Inputs!$B$27+Inputs!$B$29,MAX(0,(Inputs!$B$3-100)*3)+Inputs!$B$28+Inputs!$B$29)))</f>
        <v/>
      </c>
      <c r="E489">
        <f>INDEX(FactorTable!$B$2:$Y$301, MATCH(ROUND(MIN(300,MAX(1,D489)),0), FactorTable!$A$2:$A$301,0), Skills!M14+1)</f>
        <v/>
      </c>
      <c r="F489">
        <f>IF(Skills!N14=TRUE,(Skills!L14/10)*(E489/1000),Skills!L14/10)+Skills!O14</f>
        <v/>
      </c>
      <c r="G489">
        <f>Calc!G14</f>
        <v/>
      </c>
      <c r="H489">
        <f>Calc!H14</f>
        <v/>
      </c>
      <c r="I489">
        <f>IF(Skills!AA14&lt;&gt;"",1+(Skills!AA14/10)*(U478/1000)/100,1)</f>
        <v/>
      </c>
      <c r="J489">
        <f>((Inputs!$B$6*(1+Inputs!$B$7/100))+(((Inputs!$B$12*(1+Inputs!$B$13/100))-(Inputs!$B$12*(1+Inputs!$B$13/100)))+0.25*(Inputs!$B$14-Inputs!$B$14))*(1+Inputs!$B$7/100))*(F489/100)</f>
        <v/>
      </c>
      <c r="K489">
        <f>J489*(1+((Inputs!$B$12*(1+Inputs!$B$13/100))*0.01+Inputs!$B$14*0.0025)/100)*(1+Inputs!$B$15/100)*(1+Inputs!$B$16/100)*(5000/(6000+Inputs!$B$43*(1-Inputs!$B$19/100)))*(1+(Inputs!$B$24+((C505=TRUE)*(F505-Calc!F30)))/100)*(1+Skills!R14/100)*(1+(IF(Skills!A14="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489)</f>
        <v/>
      </c>
      <c r="L489">
        <f>K489*(MIN(Inputs!$B$22+((C499=TRUE)*(F499-Calc!F24)),(Inputs!$B$23+1))/100+(Inputs!$B$23+1)/100)/2</f>
        <v/>
      </c>
      <c r="M489">
        <f>L489*(1+(Inputs!$B$10+((C501=TRUE)*(F501-Calc!F26))+B518)/100)</f>
        <v/>
      </c>
      <c r="N489">
        <f>L489*(1-MIN((Inputs!$B$9+((C500=TRUE)*(F500-Calc!F25))+B515),100)/100)+M489*(MIN((Inputs!$B$9+((C500=TRUE)*(F500-Calc!F25))+B515),100)/100)</f>
        <v/>
      </c>
      <c r="O489">
        <f>(1-Summary!$B$55)*T489+Summary!$B$55*V489</f>
        <v/>
      </c>
      <c r="P489">
        <f>IF(B519=0,0,O489/B519)</f>
        <v/>
      </c>
      <c r="Q489">
        <f>IFERROR(1/IF(Inputs!$B$39="pvp",15,MAX(0.1,Skills!D14-IF(Skills!E14=TRUE,Inputs!$B$32,0))),0)</f>
        <v/>
      </c>
      <c r="R489">
        <f>IF(AND(Inputs!$B$39&lt;&gt;"pvp",Inputs!$B$44&gt;0),IF(MAX(0,Inputs!$B$44-B520)&lt;=0,0,(INT(MAX(0,Inputs!$B$44-B520)/IF(Inputs!$B$39="pvp",15,MAX(0.1,Skills!D14-IF(Skills!E14=TRUE,Inputs!$B$32,0))))+1)),0)</f>
        <v/>
      </c>
      <c r="S489">
        <f>IFERROR(O489/N489,0)</f>
        <v/>
      </c>
      <c r="T489">
        <f>IF(C489,(H489*N489*IF(AND(Inputs!$B$39&lt;&gt;"pvp",Inputs!$B$44&gt;0),((Skills!G14*((R489-1)*IF(Skills!H14&gt;0,Skills!I14/Skills!H14,1)+IF(Skills!H14&gt;0,MIN(Skills!I14,MAX(0,MAX(0,Inputs!$B$44-B520)-((R489-1)*IF(Inputs!$B$39="pvp",15,MAX(0.1,Skills!D14-IF(Skills!E14=TRUE,Inputs!$B$32,0))))))/Skills!H14,1)))/Inputs!$B$44),G489*Q489))*IF(Inputs!$B$39="pvp",1,1+(Inputs!$B$20+((C502=TRUE)*(F502-Calc!F27))+Skills!P14+B516)/100),0)</f>
        <v/>
      </c>
      <c r="V489">
        <f>IF(C489,(H489*N489*IF(AND(Inputs!$B$39&lt;&gt;"pvp",Inputs!$B$44&gt;0),((Skills!G14*((R489-1)*IF(Skills!H14&gt;0,Skills!I14/Skills!H14,1)+IF(Skills!H14&gt;0,MIN(Skills!I14,MAX(0,MAX(0,Inputs!$B$44-B520)-((R489-1)*IF(Inputs!$B$39="pvp",15,MAX(0.1,Skills!D14-IF(Skills!E14=TRUE,Inputs!$B$32,0))))))/Skills!H14,1)))/Inputs!$B$44),G489*Q489))*IF(Inputs!$B$39="pvp",1,(1+(Inputs!$B$21+Skills!Q14+B516)/100)*(MIN(Skills!W14,Inputs!$B$37))),0)</f>
        <v/>
      </c>
    </row>
    <row r="490">
      <c r="A490">
        <f>Skills!A15</f>
        <v/>
      </c>
      <c r="B490">
        <f>Skills!B15</f>
        <v/>
      </c>
      <c r="C490">
        <f>Inputs!$B$3&gt;=110</f>
        <v/>
      </c>
      <c r="D490">
        <f>IF(Skills!C15=1,60+Inputs!$B$25+Inputs!$B$29,IF(Skills!C15=2,90+Inputs!$B$26+Inputs!$B$29,IF(Skills!C15=3,120+Inputs!$B$27+Inputs!$B$29,MAX(0,(Inputs!$B$3-100)*3)+Inputs!$B$28+Inputs!$B$29)))</f>
        <v/>
      </c>
      <c r="E490">
        <f>INDEX(FactorTable!$B$2:$Y$301, MATCH(ROUND(MIN(300,MAX(1,D490)),0), FactorTable!$A$2:$A$301,0), Skills!M15+1)</f>
        <v/>
      </c>
      <c r="F490">
        <f>IF(Skills!N15=TRUE,(Skills!L15/10)*(E490/1000),Skills!L15/10)+Skills!O15</f>
        <v/>
      </c>
      <c r="G490">
        <f>Calc!G15</f>
        <v/>
      </c>
      <c r="H490">
        <f>Calc!H15</f>
        <v/>
      </c>
      <c r="I490">
        <f>IF(Skills!AA15&lt;&gt;"",1+(Skills!AA15/10)*(U478/1000)/100,1)</f>
        <v/>
      </c>
      <c r="J490" t="inlineStr"/>
      <c r="K490" t="inlineStr"/>
      <c r="L490" t="inlineStr"/>
      <c r="M490" t="inlineStr"/>
      <c r="N490" t="inlineStr"/>
      <c r="O490">
        <f>(1-Summary!$B$55)*T490+Summary!$B$55*V490</f>
        <v/>
      </c>
      <c r="P490">
        <f>IF(B519=0,0,O490/B519)</f>
        <v/>
      </c>
      <c r="Q490">
        <f>IFERROR(1/IF(Inputs!$B$39="pvp",15,MAX(0.1,Skills!D15-IF(Skills!E15=TRUE,Inputs!$B$32,0))),0)</f>
        <v/>
      </c>
      <c r="R490">
        <f>IF(AND(Inputs!$B$39&lt;&gt;"pvp",Inputs!$B$44&gt;0),IF(Inputs!$B$44&lt;=0,0,(INT(Inputs!$B$44/IF(Inputs!$B$39="pvp",15,MAX(0.1,Skills!D15-IF(Skills!E15=TRUE,Inputs!$B$32,0))))+1)),0)</f>
        <v/>
      </c>
      <c r="S490">
        <f>IFERROR(O490/N490,0)</f>
        <v/>
      </c>
      <c r="T490" t="n">
        <v>0</v>
      </c>
      <c r="V490" t="n">
        <v>0</v>
      </c>
    </row>
    <row r="491">
      <c r="A491">
        <f>Skills!A16</f>
        <v/>
      </c>
      <c r="B491">
        <f>Skills!B16</f>
        <v/>
      </c>
      <c r="C491">
        <f>Inputs!$B$3&gt;=110</f>
        <v/>
      </c>
      <c r="D491">
        <f>IF(Skills!C16=1,60+Inputs!$B$25+Inputs!$B$29,IF(Skills!C16=2,90+Inputs!$B$26+Inputs!$B$29,IF(Skills!C16=3,120+Inputs!$B$27+Inputs!$B$29,MAX(0,(Inputs!$B$3-100)*3)+Inputs!$B$28+Inputs!$B$29)))</f>
        <v/>
      </c>
      <c r="E491">
        <f>INDEX(FactorTable!$B$2:$Y$301, MATCH(ROUND(MIN(300,MAX(1,D491)),0), FactorTable!$A$2:$A$301,0), Skills!M16+1)</f>
        <v/>
      </c>
      <c r="F491">
        <f>IF(Skills!N16=TRUE,(Skills!L16/10)*(E491/1000),Skills!L16/10)+Skills!O16</f>
        <v/>
      </c>
      <c r="G491">
        <f>Calc!G16</f>
        <v/>
      </c>
      <c r="H491">
        <f>Calc!H16</f>
        <v/>
      </c>
      <c r="I491">
        <f>IF(Skills!AA16&lt;&gt;"",1+(Skills!AA16/10)*(U478/1000)/100,1)</f>
        <v/>
      </c>
      <c r="J491" t="inlineStr"/>
      <c r="K491" t="inlineStr"/>
      <c r="L491" t="inlineStr"/>
      <c r="M491" t="inlineStr"/>
      <c r="N491" t="inlineStr"/>
      <c r="O491">
        <f>(1-Summary!$B$55)*T491+Summary!$B$55*V491</f>
        <v/>
      </c>
      <c r="P491">
        <f>IF(B519=0,0,O491/B519)</f>
        <v/>
      </c>
      <c r="Q491">
        <f>IFERROR(1/IF(Inputs!$B$39="pvp",15,MAX(0.1,Skills!D16-IF(Skills!E16=TRUE,Inputs!$B$32,0))),0)</f>
        <v/>
      </c>
      <c r="R491">
        <f>IF(AND(Inputs!$B$39&lt;&gt;"pvp",Inputs!$B$44&gt;0),IF(Inputs!$B$44&lt;=0,0,(INT(Inputs!$B$44/IF(Inputs!$B$39="pvp",15,MAX(0.1,Skills!D16-IF(Skills!E16=TRUE,Inputs!$B$32,0))))+1)),0)</f>
        <v/>
      </c>
      <c r="S491">
        <f>IFERROR(O491/N491,0)</f>
        <v/>
      </c>
      <c r="T491" t="n">
        <v>0</v>
      </c>
      <c r="V491" t="n">
        <v>0</v>
      </c>
    </row>
    <row r="492">
      <c r="A492">
        <f>Skills!A17</f>
        <v/>
      </c>
      <c r="B492">
        <f>Skills!B17</f>
        <v/>
      </c>
      <c r="C492">
        <f>Inputs!$B$3&gt;=115</f>
        <v/>
      </c>
      <c r="D492">
        <f>IF(Skills!C17=1,60+Inputs!$B$25+Inputs!$B$29,IF(Skills!C17=2,90+Inputs!$B$26+Inputs!$B$29,IF(Skills!C17=3,120+Inputs!$B$27+Inputs!$B$29,MAX(0,(Inputs!$B$3-100)*3)+Inputs!$B$28+Inputs!$B$29)))</f>
        <v/>
      </c>
      <c r="E492">
        <f>INDEX(FactorTable!$B$2:$Y$301, MATCH(ROUND(MIN(300,MAX(1,D492)),0), FactorTable!$A$2:$A$301,0), Skills!M17+1)</f>
        <v/>
      </c>
      <c r="F492">
        <f>IF(Skills!N17=TRUE,(Skills!L17/10)*(E492/1000),Skills!L17/10)+Skills!O17</f>
        <v/>
      </c>
      <c r="G492">
        <f>Calc!G17</f>
        <v/>
      </c>
      <c r="H492">
        <f>Calc!H17</f>
        <v/>
      </c>
      <c r="I492">
        <f>IF(Skills!AA17&lt;&gt;"",1+(Skills!AA17/10)*(U478/1000)/100,1)</f>
        <v/>
      </c>
      <c r="J492">
        <f>((Inputs!$B$6*(1+Inputs!$B$7/100))+(((Inputs!$B$12*(1+Inputs!$B$13/100))-(Inputs!$B$12*(1+Inputs!$B$13/100)))+0.25*(Inputs!$B$14-Inputs!$B$14))*(1+Inputs!$B$7/100))*(F492/100)</f>
        <v/>
      </c>
      <c r="K492">
        <f>J492*(1+((Inputs!$B$12*(1+Inputs!$B$13/100))*0.01+Inputs!$B$14*0.0025)/100)*(1+Inputs!$B$15/100)*(1+Inputs!$B$16/100)*(5000/(6000+Inputs!$B$43*(1-Inputs!$B$19/100)))*(1+(Inputs!$B$24+((C505=TRUE)*(F505-Calc!F30)))/100)*(1+Skills!R17/100)*(1+(IF(Skills!A17="SHOWDOWN",Inputs!$B$17+((C498=TRUE)*(F498-Calc!F23)),Inputs!$B$18+((C504=TRUE)*(F504-Calc!F29))))/100)*(((1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B517*I492)</f>
        <v/>
      </c>
      <c r="L492">
        <f>K492*(MIN(Inputs!$B$22+((C499=TRUE)*(F499-Calc!F24)),(Inputs!$B$23+1))/100+(Inputs!$B$23+1)/100)/2</f>
        <v/>
      </c>
      <c r="M492">
        <f>L492*(1+(Inputs!$B$10+((C501=TRUE)*(F501-Calc!F26))+B518)/100)</f>
        <v/>
      </c>
      <c r="N492">
        <f>L492*(1-MIN((Inputs!$B$9+((C500=TRUE)*(F500-Calc!F25))+B515),100)/100)+M492*(MIN((Inputs!$B$9+((C500=TRUE)*(F500-Calc!F25))+B515),100)/100)</f>
        <v/>
      </c>
      <c r="O492">
        <f>(1-Summary!$B$55)*T492+Summary!$B$55*V492</f>
        <v/>
      </c>
      <c r="P492">
        <f>IF(B519=0,0,O492/B519)</f>
        <v/>
      </c>
      <c r="Q492" t="n">
        <v>0</v>
      </c>
      <c r="R492" t="n">
        <v>0</v>
      </c>
      <c r="S492">
        <f>IFERROR(O492/N492,0)</f>
        <v/>
      </c>
      <c r="T492">
        <f>IF(C492,(Inputs!$B$38*0.2*N492)*IF(Inputs!$B$39="pvp",1,1+(Inputs!$B$20+((C502=TRUE)*(F502-Calc!F27))+Skills!P17+B516)/100),0)</f>
        <v/>
      </c>
      <c r="V492">
        <f>IF(C492,(Inputs!$B$38*0.2*N492)*IF(Inputs!$B$39="pvp",1,(1+(Inputs!$B$21+Skills!Q17+B516)/100)*(MIN(Skills!W17,Inputs!$B$37))),0)</f>
        <v/>
      </c>
    </row>
    <row r="493">
      <c r="A493">
        <f>Skills!A18</f>
        <v/>
      </c>
      <c r="B493">
        <f>Skills!B18</f>
        <v/>
      </c>
      <c r="C493">
        <f>Inputs!$B$3&gt;=115</f>
        <v/>
      </c>
      <c r="D493">
        <f>IF(Skills!C18=1,60+Inputs!$B$25+Inputs!$B$29,IF(Skills!C18=2,90+Inputs!$B$26+Inputs!$B$29,IF(Skills!C18=3,120+Inputs!$B$27+Inputs!$B$29,MAX(0,(Inputs!$B$3-100)*3)+Inputs!$B$28+Inputs!$B$29)))</f>
        <v/>
      </c>
      <c r="E493">
        <f>INDEX(FactorTable!$B$2:$Y$301, MATCH(ROUND(MIN(300,MAX(1,D493)),0), FactorTable!$A$2:$A$301,0), Skills!M18+1)</f>
        <v/>
      </c>
      <c r="F493">
        <f>IF(Skills!N18=TRUE,(Skills!L18/10)*(E493/1000),Skills!L18/10)+Skills!O18</f>
        <v/>
      </c>
      <c r="G493">
        <f>Calc!G18</f>
        <v/>
      </c>
      <c r="H493">
        <f>Calc!H18</f>
        <v/>
      </c>
      <c r="I493">
        <f>IF(Skills!AA18&lt;&gt;"",1+(Skills!AA18/10)*(U478/1000)/100,1)</f>
        <v/>
      </c>
      <c r="J493" t="inlineStr"/>
      <c r="K493" t="inlineStr"/>
      <c r="L493" t="inlineStr"/>
      <c r="M493" t="inlineStr"/>
      <c r="N493" t="inlineStr"/>
      <c r="O493">
        <f>(1-Summary!$B$55)*T493+Summary!$B$55*V493</f>
        <v/>
      </c>
      <c r="P493">
        <f>IF(B519=0,0,O493/B519)</f>
        <v/>
      </c>
      <c r="Q493" t="n">
        <v>0</v>
      </c>
      <c r="R493" t="n">
        <v>0</v>
      </c>
      <c r="S493">
        <f>IFERROR(O493/N493,0)</f>
        <v/>
      </c>
      <c r="T493" t="n">
        <v>0</v>
      </c>
      <c r="V493" t="n">
        <v>0</v>
      </c>
    </row>
    <row r="494">
      <c r="A494">
        <f>Skills!A19</f>
        <v/>
      </c>
      <c r="B494">
        <f>Skills!B19</f>
        <v/>
      </c>
      <c r="C494">
        <f>TRUE</f>
        <v/>
      </c>
      <c r="D494">
        <f>IF(Skills!C19=1,60+Inputs!$B$25+Inputs!$B$29,IF(Skills!C19=2,90+Inputs!$B$26+Inputs!$B$29,IF(Skills!C19=3,120+Inputs!$B$27+Inputs!$B$29,MAX(0,(Inputs!$B$3-100)*3)+Inputs!$B$28+Inputs!$B$29)))</f>
        <v/>
      </c>
      <c r="E494">
        <f>INDEX(FactorTable!$B$2:$Y$301, MATCH(ROUND(MIN(300,MAX(1,D494)),0), FactorTable!$A$2:$A$301,0), Skills!M19+1)</f>
        <v/>
      </c>
      <c r="F494">
        <f>IF(Skills!N19=TRUE,(Skills!L19/10)*(E494/1000),Skills!L19/10)+Skills!O19</f>
        <v/>
      </c>
      <c r="G494">
        <f>Calc!G19</f>
        <v/>
      </c>
      <c r="H494">
        <f>Calc!H19</f>
        <v/>
      </c>
      <c r="I494">
        <f>IF(Skills!AA19&lt;&gt;"",1+(Skills!AA19/10)*(U478/1000)/100,1)</f>
        <v/>
      </c>
      <c r="J494" t="inlineStr"/>
      <c r="K494" t="inlineStr"/>
      <c r="L494" t="inlineStr"/>
      <c r="M494" t="inlineStr"/>
      <c r="N494" t="inlineStr"/>
      <c r="O494">
        <f>(1-Summary!$B$55)*T494+Summary!$B$55*V494</f>
        <v/>
      </c>
      <c r="P494">
        <f>IF(B519=0,0,O494/B519)</f>
        <v/>
      </c>
      <c r="Q494">
        <f>IFERROR(1/IF(Inputs!$B$39="pvp",15,MAX(0.1,Skills!D19-IF(Skills!E19=TRUE,Inputs!$B$32,0))),0)</f>
        <v/>
      </c>
      <c r="R494">
        <f>IF(AND(Inputs!$B$39&lt;&gt;"pvp",Inputs!$B$44&gt;0),IF(Inputs!$B$44&lt;=0,0,(INT(Inputs!$B$44/IF(Inputs!$B$39="pvp",15,MAX(0.1,Skills!D19-IF(Skills!E19=TRUE,Inputs!$B$32,0))))+1)),0)</f>
        <v/>
      </c>
      <c r="S494">
        <f>IFERROR(O494/N494,0)</f>
        <v/>
      </c>
      <c r="T494" t="n">
        <v>0</v>
      </c>
      <c r="V494" t="n">
        <v>0</v>
      </c>
    </row>
    <row r="495">
      <c r="A495">
        <f>Skills!A20</f>
        <v/>
      </c>
      <c r="B495">
        <f>Skills!B20</f>
        <v/>
      </c>
      <c r="C495">
        <f>Inputs!$B$3&gt;=15</f>
        <v/>
      </c>
      <c r="D495">
        <f>IF(Skills!C20=1,60+Inputs!$B$25+Inputs!$B$29,IF(Skills!C20=2,90+Inputs!$B$26+Inputs!$B$29,IF(Skills!C20=3,120+Inputs!$B$27+Inputs!$B$29,MAX(0,(Inputs!$B$3-100)*3)+Inputs!$B$28+Inputs!$B$29)))</f>
        <v/>
      </c>
      <c r="E495">
        <f>INDEX(FactorTable!$B$2:$Y$301, MATCH(ROUND(MIN(300,MAX(1,D495)),0), FactorTable!$A$2:$A$301,0), Skills!M20+1)</f>
        <v/>
      </c>
      <c r="F495">
        <f>IF(Skills!N20=TRUE,(Skills!L20/10)*(E495/1000),Skills!L20/10)+Skills!O20</f>
        <v/>
      </c>
      <c r="G495">
        <f>Calc!G20</f>
        <v/>
      </c>
      <c r="H495">
        <f>Calc!H20</f>
        <v/>
      </c>
      <c r="I495">
        <f>IF(Skills!AA20&lt;&gt;"",1+(Skills!AA20/10)*(U478/1000)/100,1)</f>
        <v/>
      </c>
      <c r="J495" t="inlineStr"/>
      <c r="K495" t="inlineStr"/>
      <c r="L495" t="inlineStr"/>
      <c r="M495" t="inlineStr"/>
      <c r="N495" t="inlineStr"/>
      <c r="O495">
        <f>(1-Summary!$B$55)*T495+Summary!$B$55*V495</f>
        <v/>
      </c>
      <c r="P495">
        <f>IF(B519=0,0,O495/B519)</f>
        <v/>
      </c>
      <c r="Q495">
        <f>IFERROR(1/IF(Inputs!$B$39="pvp",15,MAX(0.1,Skills!D20-IF(Skills!E20=TRUE,Inputs!$B$32,0))),0)</f>
        <v/>
      </c>
      <c r="R495">
        <f>IF(AND(Inputs!$B$39&lt;&gt;"pvp",Inputs!$B$44&gt;0),IF(Inputs!$B$44&lt;=0,0,(INT(Inputs!$B$44/IF(Inputs!$B$39="pvp",15,MAX(0.1,Skills!D20-IF(Skills!E20=TRUE,Inputs!$B$32,0))))+1)),0)</f>
        <v/>
      </c>
      <c r="S495">
        <f>IFERROR(O495/N495,0)</f>
        <v/>
      </c>
      <c r="T495" t="n">
        <v>0</v>
      </c>
      <c r="V495" t="n">
        <v>0</v>
      </c>
    </row>
    <row r="496">
      <c r="A496">
        <f>Skills!A21</f>
        <v/>
      </c>
      <c r="B496">
        <f>Skills!B21</f>
        <v/>
      </c>
      <c r="C496">
        <f>Inputs!$B$3&gt;=15</f>
        <v/>
      </c>
      <c r="D496">
        <f>IF(Skills!C21=1,60+Inputs!$B$25+Inputs!$B$29,IF(Skills!C21=2,90+Inputs!$B$26+Inputs!$B$29,IF(Skills!C21=3,120+Inputs!$B$27+Inputs!$B$29,MAX(0,(Inputs!$B$3-100)*3)+Inputs!$B$28+Inputs!$B$29)))</f>
        <v/>
      </c>
      <c r="E496">
        <f>INDEX(FactorTable!$B$2:$Y$301, MATCH(ROUND(MIN(300,MAX(1,D496)),0), FactorTable!$A$2:$A$301,0), Skills!M21+1)</f>
        <v/>
      </c>
      <c r="F496">
        <f>IF(Skills!N21=TRUE,(Skills!L21/10)*(E496/1000),Skills!L21/10)+Skills!O21</f>
        <v/>
      </c>
      <c r="G496">
        <f>Calc!G21</f>
        <v/>
      </c>
      <c r="H496">
        <f>Calc!H21</f>
        <v/>
      </c>
      <c r="I496">
        <f>IF(Skills!AA21&lt;&gt;"",1+(Skills!AA21/10)*(U478/1000)/100,1)</f>
        <v/>
      </c>
      <c r="J496" t="inlineStr"/>
      <c r="K496" t="inlineStr"/>
      <c r="L496" t="inlineStr"/>
      <c r="M496" t="inlineStr"/>
      <c r="N496" t="inlineStr"/>
      <c r="O496">
        <f>(1-Summary!$B$55)*T496+Summary!$B$55*V496</f>
        <v/>
      </c>
      <c r="P496">
        <f>IF(B519=0,0,O496/B519)</f>
        <v/>
      </c>
      <c r="Q496">
        <f>IFERROR(1/IF(Inputs!$B$39="pvp",15,MAX(0.1,Skills!D21-IF(Skills!E21=TRUE,Inputs!$B$32,0))),0)</f>
        <v/>
      </c>
      <c r="R496">
        <f>IF(AND(Inputs!$B$39&lt;&gt;"pvp",Inputs!$B$44&gt;0),IF(Inputs!$B$44&lt;=0,0,(INT(Inputs!$B$44/IF(Inputs!$B$39="pvp",15,MAX(0.1,Skills!D21-IF(Skills!E21=TRUE,Inputs!$B$32,0))))+1)),0)</f>
        <v/>
      </c>
      <c r="S496">
        <f>IFERROR(O496/N496,0)</f>
        <v/>
      </c>
      <c r="T496" t="n">
        <v>0</v>
      </c>
      <c r="V496" t="n">
        <v>0</v>
      </c>
    </row>
    <row r="497">
      <c r="A497">
        <f>Skills!A22</f>
        <v/>
      </c>
      <c r="B497">
        <f>Skills!B22</f>
        <v/>
      </c>
      <c r="C497">
        <f>Inputs!$B$3&gt;=33</f>
        <v/>
      </c>
      <c r="D497">
        <f>IF(Skills!C22=1,60+Inputs!$B$25+Inputs!$B$29,IF(Skills!C22=2,90+Inputs!$B$26+Inputs!$B$29,IF(Skills!C22=3,120+Inputs!$B$27+Inputs!$B$29,MAX(0,(Inputs!$B$3-100)*3)+Inputs!$B$28+Inputs!$B$29)))</f>
        <v/>
      </c>
      <c r="E497">
        <f>INDEX(FactorTable!$B$2:$Y$301, MATCH(ROUND(MIN(300,MAX(1,D497)),0), FactorTable!$A$2:$A$301,0), Skills!M22+1)</f>
        <v/>
      </c>
      <c r="F497">
        <f>IF(Skills!N22=TRUE,(Skills!L22/10)*(E497/1000),Skills!L22/10)+Skills!O22</f>
        <v/>
      </c>
      <c r="G497">
        <f>Calc!G22</f>
        <v/>
      </c>
      <c r="H497">
        <f>Calc!H22</f>
        <v/>
      </c>
      <c r="I497">
        <f>IF(Skills!AA22&lt;&gt;"",1+(Skills!AA22/10)*(U478/1000)/100,1)</f>
        <v/>
      </c>
      <c r="J497" t="inlineStr"/>
      <c r="K497" t="inlineStr"/>
      <c r="L497" t="inlineStr"/>
      <c r="M497" t="inlineStr"/>
      <c r="N497" t="inlineStr"/>
      <c r="O497">
        <f>(1-Summary!$B$55)*T497+Summary!$B$55*V497</f>
        <v/>
      </c>
      <c r="P497">
        <f>IF(B519=0,0,O497/B519)</f>
        <v/>
      </c>
      <c r="Q497" t="n">
        <v>0</v>
      </c>
      <c r="R497" t="n">
        <v>0</v>
      </c>
      <c r="S497">
        <f>IFERROR(O497/N497,0)</f>
        <v/>
      </c>
      <c r="T497" t="n">
        <v>0</v>
      </c>
      <c r="V497" t="n">
        <v>0</v>
      </c>
    </row>
    <row r="498">
      <c r="A498">
        <f>Skills!A23</f>
        <v/>
      </c>
      <c r="B498">
        <f>Skills!B23</f>
        <v/>
      </c>
      <c r="C498">
        <f>Inputs!$B$3&gt;=38</f>
        <v/>
      </c>
      <c r="D498">
        <f>IF(Skills!C23=1,60+Inputs!$B$25+Inputs!$B$29,IF(Skills!C23=2,90+Inputs!$B$26+Inputs!$B$29,IF(Skills!C23=3,120+Inputs!$B$27+Inputs!$B$29,MAX(0,(Inputs!$B$3-100)*3)+Inputs!$B$28+Inputs!$B$29)))</f>
        <v/>
      </c>
      <c r="E498">
        <f>INDEX(FactorTable!$B$2:$Y$301, MATCH(ROUND(MIN(300,MAX(1,D498)),0), FactorTable!$A$2:$A$301,0), Skills!M23+1)</f>
        <v/>
      </c>
      <c r="F498">
        <f>IF(Skills!N23=TRUE,(Skills!L23/10)*(E498/1000),Skills!L23/10)+Skills!O23</f>
        <v/>
      </c>
      <c r="G498">
        <f>Calc!G23</f>
        <v/>
      </c>
      <c r="H498">
        <f>Calc!H23</f>
        <v/>
      </c>
      <c r="I498">
        <f>IF(Skills!AA23&lt;&gt;"",1+(Skills!AA23/10)*(U478/1000)/100,1)</f>
        <v/>
      </c>
      <c r="J498" t="inlineStr"/>
      <c r="K498" t="inlineStr"/>
      <c r="L498" t="inlineStr"/>
      <c r="M498" t="inlineStr"/>
      <c r="N498" t="inlineStr"/>
      <c r="O498">
        <f>(1-Summary!$B$55)*T498+Summary!$B$55*V498</f>
        <v/>
      </c>
      <c r="P498">
        <f>IF(B519=0,0,O498/B519)</f>
        <v/>
      </c>
      <c r="Q498" t="n">
        <v>0</v>
      </c>
      <c r="R498" t="n">
        <v>0</v>
      </c>
      <c r="S498">
        <f>IFERROR(O498/N498,0)</f>
        <v/>
      </c>
      <c r="T498" t="n">
        <v>0</v>
      </c>
      <c r="V498" t="n">
        <v>0</v>
      </c>
    </row>
    <row r="499">
      <c r="A499">
        <f>Skills!A24</f>
        <v/>
      </c>
      <c r="B499">
        <f>Skills!B24</f>
        <v/>
      </c>
      <c r="C499">
        <f>Inputs!$B$3&gt;=40</f>
        <v/>
      </c>
      <c r="D499">
        <f>IF(Skills!C24=1,60+Inputs!$B$25+Inputs!$B$29,IF(Skills!C24=2,90+Inputs!$B$26+Inputs!$B$29,IF(Skills!C24=3,120+Inputs!$B$27+Inputs!$B$29,MAX(0,(Inputs!$B$3-100)*3)+Inputs!$B$28+Inputs!$B$29)))</f>
        <v/>
      </c>
      <c r="E499">
        <f>INDEX(FactorTable!$B$2:$Y$301, MATCH(ROUND(MIN(300,MAX(1,D499)),0), FactorTable!$A$2:$A$301,0), Skills!M24+1)</f>
        <v/>
      </c>
      <c r="F499">
        <f>IF(Skills!N24=TRUE,(Skills!L24/10)*(E499/1000),Skills!L24/10)+Skills!O24</f>
        <v/>
      </c>
      <c r="G499">
        <f>Calc!G24</f>
        <v/>
      </c>
      <c r="H499">
        <f>Calc!H24</f>
        <v/>
      </c>
      <c r="I499">
        <f>IF(Skills!AA24&lt;&gt;"",1+(Skills!AA24/10)*(U478/1000)/100,1)</f>
        <v/>
      </c>
      <c r="J499" t="inlineStr"/>
      <c r="K499" t="inlineStr"/>
      <c r="L499" t="inlineStr"/>
      <c r="M499" t="inlineStr"/>
      <c r="N499" t="inlineStr"/>
      <c r="O499">
        <f>(1-Summary!$B$55)*T499+Summary!$B$55*V499</f>
        <v/>
      </c>
      <c r="P499">
        <f>IF(B519=0,0,O499/B519)</f>
        <v/>
      </c>
      <c r="Q499" t="n">
        <v>0</v>
      </c>
      <c r="R499" t="n">
        <v>0</v>
      </c>
      <c r="S499">
        <f>IFERROR(O499/N499,0)</f>
        <v/>
      </c>
      <c r="T499" t="n">
        <v>0</v>
      </c>
      <c r="V499" t="n">
        <v>0</v>
      </c>
    </row>
    <row r="500">
      <c r="A500">
        <f>Skills!A25</f>
        <v/>
      </c>
      <c r="B500">
        <f>Skills!B25</f>
        <v/>
      </c>
      <c r="C500">
        <f>Inputs!$B$3&gt;=45</f>
        <v/>
      </c>
      <c r="D500">
        <f>IF(Skills!C25=1,60+Inputs!$B$25+Inputs!$B$29,IF(Skills!C25=2,90+Inputs!$B$26+Inputs!$B$29,IF(Skills!C25=3,120+Inputs!$B$27+Inputs!$B$29,MAX(0,(Inputs!$B$3-100)*3)+Inputs!$B$28+Inputs!$B$29)))</f>
        <v/>
      </c>
      <c r="E500">
        <f>INDEX(FactorTable!$B$2:$Y$301, MATCH(ROUND(MIN(300,MAX(1,D500)),0), FactorTable!$A$2:$A$301,0), Skills!M25+1)</f>
        <v/>
      </c>
      <c r="F500">
        <f>IF(Skills!N25=TRUE,(Skills!L25/10)*(E500/1000),Skills!L25/10)+Skills!O25</f>
        <v/>
      </c>
      <c r="G500">
        <f>Calc!G25</f>
        <v/>
      </c>
      <c r="H500">
        <f>Calc!H25</f>
        <v/>
      </c>
      <c r="I500">
        <f>IF(Skills!AA25&lt;&gt;"",1+(Skills!AA25/10)*(U478/1000)/100,1)</f>
        <v/>
      </c>
      <c r="J500" t="inlineStr"/>
      <c r="K500" t="inlineStr"/>
      <c r="L500" t="inlineStr"/>
      <c r="M500" t="inlineStr"/>
      <c r="N500" t="inlineStr"/>
      <c r="O500">
        <f>(1-Summary!$B$55)*T500+Summary!$B$55*V500</f>
        <v/>
      </c>
      <c r="P500">
        <f>IF(B519=0,0,O500/B519)</f>
        <v/>
      </c>
      <c r="Q500" t="n">
        <v>0</v>
      </c>
      <c r="R500" t="n">
        <v>0</v>
      </c>
      <c r="S500">
        <f>IFERROR(O500/N500,0)</f>
        <v/>
      </c>
      <c r="T500" t="n">
        <v>0</v>
      </c>
      <c r="V500" t="n">
        <v>0</v>
      </c>
    </row>
    <row r="501">
      <c r="A501">
        <f>Skills!A26</f>
        <v/>
      </c>
      <c r="B501">
        <f>Skills!B26</f>
        <v/>
      </c>
      <c r="C501">
        <f>Inputs!$B$3&gt;=45</f>
        <v/>
      </c>
      <c r="D501">
        <f>IF(Skills!C26=1,60+Inputs!$B$25+Inputs!$B$29,IF(Skills!C26=2,90+Inputs!$B$26+Inputs!$B$29,IF(Skills!C26=3,120+Inputs!$B$27+Inputs!$B$29,MAX(0,(Inputs!$B$3-100)*3)+Inputs!$B$28+Inputs!$B$29)))</f>
        <v/>
      </c>
      <c r="E501">
        <f>INDEX(FactorTable!$B$2:$Y$301, MATCH(ROUND(MIN(300,MAX(1,D501)),0), FactorTable!$A$2:$A$301,0), Skills!M26+1)</f>
        <v/>
      </c>
      <c r="F501">
        <f>IF(Skills!N26=TRUE,(Skills!L26/10)*(E501/1000),Skills!L26/10)+Skills!O26</f>
        <v/>
      </c>
      <c r="G501">
        <f>Calc!G26</f>
        <v/>
      </c>
      <c r="H501">
        <f>Calc!H26</f>
        <v/>
      </c>
      <c r="I501">
        <f>IF(Skills!AA26&lt;&gt;"",1+(Skills!AA26/10)*(U478/1000)/100,1)</f>
        <v/>
      </c>
      <c r="J501" t="inlineStr"/>
      <c r="K501" t="inlineStr"/>
      <c r="L501" t="inlineStr"/>
      <c r="M501" t="inlineStr"/>
      <c r="N501" t="inlineStr"/>
      <c r="O501">
        <f>(1-Summary!$B$55)*T501+Summary!$B$55*V501</f>
        <v/>
      </c>
      <c r="P501">
        <f>IF(B519=0,0,O501/B519)</f>
        <v/>
      </c>
      <c r="Q501" t="n">
        <v>0</v>
      </c>
      <c r="R501" t="n">
        <v>0</v>
      </c>
      <c r="S501">
        <f>IFERROR(O501/N501,0)</f>
        <v/>
      </c>
      <c r="T501" t="n">
        <v>0</v>
      </c>
      <c r="V501" t="n">
        <v>0</v>
      </c>
    </row>
    <row r="502">
      <c r="A502">
        <f>Skills!A27</f>
        <v/>
      </c>
      <c r="B502">
        <f>Skills!B27</f>
        <v/>
      </c>
      <c r="C502">
        <f>Inputs!$B$3&gt;=72</f>
        <v/>
      </c>
      <c r="D502">
        <f>IF(Skills!C27=1,60+Inputs!$B$25+Inputs!$B$29,IF(Skills!C27=2,90+Inputs!$B$26+Inputs!$B$29,IF(Skills!C27=3,120+Inputs!$B$27+Inputs!$B$29,MAX(0,(Inputs!$B$3-100)*3)+Inputs!$B$28+Inputs!$B$29)))</f>
        <v/>
      </c>
      <c r="E502">
        <f>INDEX(FactorTable!$B$2:$Y$301, MATCH(ROUND(MIN(300,MAX(1,D502)),0), FactorTable!$A$2:$A$301,0), Skills!M27+1)</f>
        <v/>
      </c>
      <c r="F502">
        <f>IF(Skills!N27=TRUE,(Skills!L27/10)*(E502/1000),Skills!L27/10)+Skills!O27</f>
        <v/>
      </c>
      <c r="G502">
        <f>Calc!G27</f>
        <v/>
      </c>
      <c r="H502">
        <f>Calc!H27</f>
        <v/>
      </c>
      <c r="I502">
        <f>IF(Skills!AA27&lt;&gt;"",1+(Skills!AA27/10)*(U478/1000)/100,1)</f>
        <v/>
      </c>
      <c r="J502" t="inlineStr"/>
      <c r="K502" t="inlineStr"/>
      <c r="L502" t="inlineStr"/>
      <c r="M502" t="inlineStr"/>
      <c r="N502" t="inlineStr"/>
      <c r="O502">
        <f>(1-Summary!$B$55)*T502+Summary!$B$55*V502</f>
        <v/>
      </c>
      <c r="P502">
        <f>IF(B519=0,0,O502/B519)</f>
        <v/>
      </c>
      <c r="Q502" t="n">
        <v>0</v>
      </c>
      <c r="R502" t="n">
        <v>0</v>
      </c>
      <c r="S502">
        <f>IFERROR(O502/N502,0)</f>
        <v/>
      </c>
      <c r="T502" t="n">
        <v>0</v>
      </c>
      <c r="V502" t="n">
        <v>0</v>
      </c>
    </row>
    <row r="503">
      <c r="A503">
        <f>Skills!A28</f>
        <v/>
      </c>
      <c r="B503">
        <f>Skills!B28</f>
        <v/>
      </c>
      <c r="C503">
        <f>Inputs!$B$3&gt;=75</f>
        <v/>
      </c>
      <c r="D503">
        <f>IF(Skills!C28=1,60+Inputs!$B$25+Inputs!$B$29,IF(Skills!C28=2,90+Inputs!$B$26+Inputs!$B$29,IF(Skills!C28=3,120+Inputs!$B$27+Inputs!$B$29,MAX(0,(Inputs!$B$3-100)*3)+Inputs!$B$28+Inputs!$B$29)))</f>
        <v/>
      </c>
      <c r="E503">
        <f>INDEX(FactorTable!$B$2:$Y$301, MATCH(ROUND(MIN(300,MAX(1,D503)),0), FactorTable!$A$2:$A$301,0), Skills!M28+1)</f>
        <v/>
      </c>
      <c r="F503">
        <f>IF(Skills!N28=TRUE,(Skills!L28/10)*(E503/1000),Skills!L28/10)+Skills!O28</f>
        <v/>
      </c>
      <c r="G503">
        <f>Calc!G28</f>
        <v/>
      </c>
      <c r="H503">
        <f>Calc!H28</f>
        <v/>
      </c>
      <c r="I503">
        <f>IF(Skills!AA28&lt;&gt;"",1+(Skills!AA28/10)*(U478/1000)/100,1)</f>
        <v/>
      </c>
      <c r="J503" t="inlineStr"/>
      <c r="K503" t="inlineStr"/>
      <c r="L503" t="inlineStr"/>
      <c r="M503" t="inlineStr"/>
      <c r="N503" t="inlineStr"/>
      <c r="O503">
        <f>(1-Summary!$B$55)*T503+Summary!$B$55*V503</f>
        <v/>
      </c>
      <c r="P503">
        <f>IF(B519=0,0,O503/B519)</f>
        <v/>
      </c>
      <c r="Q503" t="n">
        <v>0</v>
      </c>
      <c r="R503" t="n">
        <v>0</v>
      </c>
      <c r="S503">
        <f>IFERROR(O503/N503,0)</f>
        <v/>
      </c>
      <c r="T503" t="n">
        <v>0</v>
      </c>
      <c r="V503" t="n">
        <v>0</v>
      </c>
    </row>
    <row r="504">
      <c r="A504">
        <f>Skills!A29</f>
        <v/>
      </c>
      <c r="B504">
        <f>Skills!B29</f>
        <v/>
      </c>
      <c r="C504">
        <f>Inputs!$B$3&gt;=120</f>
        <v/>
      </c>
      <c r="D504">
        <f>IF(Skills!C29=1,60+Inputs!$B$25+Inputs!$B$29,IF(Skills!C29=2,90+Inputs!$B$26+Inputs!$B$29,IF(Skills!C29=3,120+Inputs!$B$27+Inputs!$B$29,MAX(0,(Inputs!$B$3-100)*3)+Inputs!$B$28+Inputs!$B$29)))</f>
        <v/>
      </c>
      <c r="E504">
        <f>INDEX(FactorTable!$B$2:$Y$301, MATCH(ROUND(MIN(300,MAX(1,D504)),0), FactorTable!$A$2:$A$301,0), Skills!M29+1)</f>
        <v/>
      </c>
      <c r="F504">
        <f>IF(Skills!N29=TRUE,(Skills!L29/10)*(E504/1000),Skills!L29/10)+Skills!O29</f>
        <v/>
      </c>
      <c r="G504">
        <f>Calc!G29</f>
        <v/>
      </c>
      <c r="H504">
        <f>Calc!H29</f>
        <v/>
      </c>
      <c r="I504">
        <f>IF(Skills!AA29&lt;&gt;"",1+(Skills!AA29/10)*(U478/1000)/100,1)</f>
        <v/>
      </c>
      <c r="J504" t="inlineStr"/>
      <c r="K504" t="inlineStr"/>
      <c r="L504" t="inlineStr"/>
      <c r="M504" t="inlineStr"/>
      <c r="N504" t="inlineStr"/>
      <c r="O504">
        <f>(1-Summary!$B$55)*T504+Summary!$B$55*V504</f>
        <v/>
      </c>
      <c r="P504">
        <f>IF(B519=0,0,O504/B519)</f>
        <v/>
      </c>
      <c r="Q504" t="n">
        <v>0</v>
      </c>
      <c r="R504" t="n">
        <v>0</v>
      </c>
      <c r="S504">
        <f>IFERROR(O504/N504,0)</f>
        <v/>
      </c>
      <c r="T504" t="n">
        <v>0</v>
      </c>
      <c r="V504" t="n">
        <v>0</v>
      </c>
    </row>
    <row r="505">
      <c r="A505">
        <f>Skills!A30</f>
        <v/>
      </c>
      <c r="B505">
        <f>Skills!B30</f>
        <v/>
      </c>
      <c r="C505">
        <f>Inputs!$B$3&gt;=125</f>
        <v/>
      </c>
      <c r="D505">
        <f>IF(Skills!C30=1,60+Inputs!$B$25+Inputs!$B$29,IF(Skills!C30=2,90+Inputs!$B$26+Inputs!$B$29,IF(Skills!C30=3,120+Inputs!$B$27+Inputs!$B$29,MAX(0,(Inputs!$B$3-100)*3)+Inputs!$B$28+Inputs!$B$29)))</f>
        <v/>
      </c>
      <c r="E505">
        <f>INDEX(FactorTable!$B$2:$Y$301, MATCH(ROUND(MIN(300,MAX(1,D505)),0), FactorTable!$A$2:$A$301,0), Skills!M30+1)</f>
        <v/>
      </c>
      <c r="F505">
        <f>IF(Skills!N30=TRUE,(Skills!L30/10)*(E505/1000),Skills!L30/10)+Skills!O30</f>
        <v/>
      </c>
      <c r="G505">
        <f>Calc!G30</f>
        <v/>
      </c>
      <c r="H505">
        <f>Calc!H30</f>
        <v/>
      </c>
      <c r="I505">
        <f>IF(Skills!AA30&lt;&gt;"",1+(Skills!AA30/10)*(U478/1000)/100,1)</f>
        <v/>
      </c>
      <c r="J505" t="inlineStr"/>
      <c r="K505" t="inlineStr"/>
      <c r="L505" t="inlineStr"/>
      <c r="M505" t="inlineStr"/>
      <c r="N505" t="inlineStr"/>
      <c r="O505">
        <f>(1-Summary!$B$55)*T505+Summary!$B$55*V505</f>
        <v/>
      </c>
      <c r="P505">
        <f>IF(B519=0,0,O505/B519)</f>
        <v/>
      </c>
      <c r="Q505" t="n">
        <v>0</v>
      </c>
      <c r="R505" t="n">
        <v>0</v>
      </c>
      <c r="S505">
        <f>IFERROR(O505/N505,0)</f>
        <v/>
      </c>
      <c r="T505" t="n">
        <v>0</v>
      </c>
      <c r="V505" t="n">
        <v>0</v>
      </c>
    </row>
    <row r="506">
      <c r="A506">
        <f>Skills!A31</f>
        <v/>
      </c>
      <c r="B506">
        <f>Skills!B31</f>
        <v/>
      </c>
      <c r="C506">
        <f>Inputs!$B$3&gt;=107</f>
        <v/>
      </c>
      <c r="D506">
        <f>IF(Skills!C31=1,60+Inputs!$B$25+Inputs!$B$29,IF(Skills!C31=2,90+Inputs!$B$26+Inputs!$B$29,IF(Skills!C31=3,120+Inputs!$B$27+Inputs!$B$29,MAX(0,(Inputs!$B$3-100)*3)+Inputs!$B$28+Inputs!$B$29)))</f>
        <v/>
      </c>
      <c r="E506">
        <f>INDEX(FactorTable!$B$2:$Y$301, MATCH(ROUND(MIN(300,MAX(1,D506)),0), FactorTable!$A$2:$A$301,0), Skills!M31+1)</f>
        <v/>
      </c>
      <c r="F506">
        <f>IF(Skills!N31=TRUE,(Skills!L31/10)*(E506/1000),Skills!L31/10)+Skills!O31</f>
        <v/>
      </c>
      <c r="G506">
        <f>Calc!G31</f>
        <v/>
      </c>
      <c r="H506">
        <f>Calc!H31</f>
        <v/>
      </c>
      <c r="I506">
        <f>IF(Skills!AA31&lt;&gt;"",1+(Skills!AA31/10)*(U478/1000)/100,1)</f>
        <v/>
      </c>
      <c r="J506" t="inlineStr"/>
      <c r="K506" t="inlineStr"/>
      <c r="L506" t="inlineStr"/>
      <c r="M506" t="inlineStr"/>
      <c r="N506" t="inlineStr"/>
      <c r="O506">
        <f>(1-Summary!$B$55)*T506+Summary!$B$55*V506</f>
        <v/>
      </c>
      <c r="P506">
        <f>IF(B519=0,0,O506/B519)</f>
        <v/>
      </c>
      <c r="Q506" t="n">
        <v>0</v>
      </c>
      <c r="R506" t="n">
        <v>0</v>
      </c>
      <c r="S506">
        <f>IFERROR(O506/N506,0)</f>
        <v/>
      </c>
      <c r="T506" t="n">
        <v>0</v>
      </c>
      <c r="V506" t="n">
        <v>0</v>
      </c>
    </row>
    <row r="508">
      <c r="A508" t="inlineStr">
        <is>
          <t>Actions Per Second (pre-Adrenalin)</t>
        </is>
      </c>
      <c r="B508">
        <f>1+MIN(150,150*(1-(1-(Inputs!$B$11+((C497=TRUE)*(F497-Calc!F22)))/150)*(1-((C494=TRUE)*F494*IF(AND(Inputs!$B$39&lt;&gt;"pvp",Inputs!$B$44&gt;0),(((R494-1)*(Skills!Y19*(1+Inputs!$B$34/100))+MIN((Skills!Y19*(1+Inputs!$B$34/100)),MAX(0,Inputs!$B$44-((R494-1)*Skills!D19))))/Inputs!$B$44),IF(Inputs!$B$39="pvp",MIN((Skills!Y19*(1+Inputs!$B$34/100)),15)/15,(Skills!Y19*(1+Inputs!$B$34/100))/Skills!D19)))/150)))/100</f>
        <v/>
      </c>
    </row>
    <row r="509">
      <c r="A509" t="inlineStr">
        <is>
          <t>Alchemic Adrenaline Uptime</t>
        </is>
      </c>
      <c r="B509">
        <f>(Skills!Y6*(1+Inputs!$B$34/100))/((Skills!Y6*(1+Inputs!$B$34/100))+(5/B508))</f>
        <v/>
      </c>
    </row>
    <row r="510">
      <c r="A510" t="inlineStr">
        <is>
          <t>Attack Speed Buff Bonus %</t>
        </is>
      </c>
      <c r="B510">
        <f>((C494=TRUE)*F494*IF(AND(Inputs!$B$39&lt;&gt;"pvp",Inputs!$B$44&gt;0),(((R494-1)*(Skills!Y19*(1+Inputs!$B$34/100))+MIN((Skills!Y19*(1+Inputs!$B$34/100)),MAX(0,Inputs!$B$44-((R494-1)*Skills!D19))))/Inputs!$B$44),IF(Inputs!$B$39="pvp",MIN((Skills!Y19*(1+Inputs!$B$34/100)),15)/15,(Skills!Y19*(1+Inputs!$B$34/100))/Skills!D19)))+((C482=TRUE)*F482*B509)</f>
        <v/>
      </c>
    </row>
    <row r="511">
      <c r="A511" t="inlineStr">
        <is>
          <t>Actions Per Second (final)</t>
        </is>
      </c>
      <c r="B511">
        <f>1+MIN(150,150*(1-(1-(Inputs!$B$11+((C497=TRUE)*(F497-Calc!F22)))/150)*(1-B510/150)))/100</f>
        <v/>
      </c>
    </row>
    <row r="512">
      <c r="A512" t="inlineStr">
        <is>
          <t>Skill + Buff Cast Rate</t>
        </is>
      </c>
      <c r="B512">
        <f>IF(AND(Inputs!$B$39&lt;&gt;"pvp",Inputs!$B$44&gt;0),SUMPRODUCT((Skills!E2:E31=TRUE)*(C477:C506=TRUE)*R477:R506*Skills!F2:F31)/Inputs!$B$44,SUMPRODUCT((Skills!E2:E31=TRUE)*(C477:C506=TRUE)*Q477:Q506*Skills!F2:F31))</f>
        <v/>
      </c>
    </row>
    <row r="513">
      <c r="A513" t="inlineStr">
        <is>
          <t>Showdown Casts Per Second</t>
        </is>
      </c>
      <c r="B513">
        <f>MAX(0,B511-B512)</f>
        <v/>
      </c>
    </row>
    <row r="514">
      <c r="A514" t="inlineStr">
        <is>
          <t>Average Buff Multiplier</t>
        </is>
      </c>
      <c r="B514">
        <f>(1+(((C496=TRUE)*F496*IF(AND(Inputs!$B$39&lt;&gt;"pvp",Inputs!$B$44&gt;0),(((R496-1)*(Skills!Y21*(1+Inputs!$B$34/100))+MIN((Skills!Y21*(1+Inputs!$B$34/100)),MAX(0,Inputs!$B$44-((R496-1)*Skills!D21))))/Inputs!$B$44),IF(Inputs!$B$39="pvp",MIN((Skills!Y21*(1+Inputs!$B$34/100)),15)/15,(Skills!Y21*(1+Inputs!$B$34/100))/Skills!D21)))+((C503=TRUE)*(F503-Calc!F28))+((C493=TRUE)*(F493-Calc!F18)))/100)*(1+((C490=TRUE)*F490*IF(AND(Inputs!$B$39&lt;&gt;"pvp",Inputs!$B$44&gt;0),(((R490-1)*(Skills!Y15*(1+Inputs!$B$34/100))+MIN((Skills!Y15*(1+Inputs!$B$34/100)),MAX(0,Inputs!$B$44-((R490-1)*Skills!D15))))/Inputs!$B$44),IF(Inputs!$B$39="pvp",MIN((Skills!Y15*(1+Inputs!$B$34/100)),15)/15,(Skills!Y15*(1+Inputs!$B$34/100))/Skills!D15)))/100)*(1+((C481=TRUE)*F481*B509)/100)</f>
        <v/>
      </c>
    </row>
    <row r="515">
      <c r="A515" t="inlineStr">
        <is>
          <t>Global Crit Rate Bonus %</t>
        </is>
      </c>
      <c r="B515">
        <f>IF(Inputs!$B$3&gt;=47,8,0)+((C495=TRUE)*F495*IF(AND(Inputs!$B$39&lt;&gt;"pvp",Inputs!$B$44&gt;0),(((R495-1)*(Skills!Y20*(1+Inputs!$B$34/100))+MIN((Skills!Y20*(1+Inputs!$B$34/100)),MAX(0,Inputs!$B$44-((R495-1)*Skills!D20))))/Inputs!$B$44),IF(Inputs!$B$39="pvp",MIN((Skills!Y20*(1+Inputs!$B$34/100)),15)/15,(Skills!Y20*(1+Inputs!$B$34/100))/Skills!D20)))</f>
        <v/>
      </c>
    </row>
    <row r="516">
      <c r="A516" t="inlineStr">
        <is>
          <t>Global Monster Damage-Taken Bonus %</t>
        </is>
      </c>
      <c r="B516">
        <f>IF(Inputs!$B$3&gt;=82,15,0)+((C491=TRUE)*F491*IF(AND(Inputs!$B$39&lt;&gt;"pvp",Inputs!$B$44&gt;0),(((R491-1)*(Skills!Y16*(1+Inputs!$B$34/100))+MIN((Skills!Y16*(1+Inputs!$B$34/100)),MAX(0,Inputs!$B$44-((R491-1)*Skills!D16))))/Inputs!$B$44),IF(Inputs!$B$39="pvp",MIN((Skills!Y16*(1+Inputs!$B$34/100)),15)/15,(Skills!Y16*(1+Inputs!$B$34/100))/Skills!D16)))</f>
        <v/>
      </c>
    </row>
    <row r="517">
      <c r="A517" t="inlineStr">
        <is>
          <t>Shadow Partner Average Multiplier</t>
        </is>
      </c>
      <c r="B517">
        <f>1+((C486=TRUE)*F486*I486*Skills!J11/100)/100</f>
        <v/>
      </c>
    </row>
    <row r="518">
      <c r="A518" t="inlineStr">
        <is>
          <t>Global Critical Damage Bonus % (Frailty Curse Mastery Lv.111)</t>
        </is>
      </c>
      <c r="B518">
        <f>IF(Inputs!$B$3&gt;=111,30,0)*IF(AND(Inputs!$B$39&lt;&gt;"pvp",Inputs!$B$44&gt;0),(((R491-1)*(Skills!Y16*(1+Inputs!$B$34/100))+MIN((Skills!Y16*(1+Inputs!$B$34/100)),MAX(0,Inputs!$B$44-((R491-1)*Skills!D16))))/Inputs!$B$44),IF(Inputs!$B$39="pvp",MIN((Skills!Y16*(1+Inputs!$B$34/100)),15)/15,(Skills!Y16*(1+Inputs!$B$34/100))/Skills!D16))</f>
        <v/>
      </c>
    </row>
    <row r="519">
      <c r="A519" s="5" t="inlineStr">
        <is>
          <t>TOTAL DPS</t>
        </is>
      </c>
      <c r="B519" s="5">
        <f>SUM(O477:O506)</f>
        <v/>
      </c>
    </row>
    <row r="520">
      <c r="A520" t="inlineStr">
        <is>
          <t>Buff-Casting Startup Delay (s, fixed-duration only)</t>
        </is>
      </c>
      <c r="B520">
        <f>IF(AND(Inputs!$B$39&lt;&gt;"pvp",Inputs!$B$44&gt;0),SUMPRODUCT((Skills!Y2:Y31&gt;0)*(Skills!E2:E31=TRUE)*(C477:C506=TRUE))/B511,0)</f>
        <v/>
      </c>
    </row>
    <row r="521">
      <c r="A521" t="inlineStr">
        <is>
          <t>Boss-Only Total DPS (this block's swept value)</t>
        </is>
      </c>
      <c r="B521">
        <f>SUM(T477:T506)</f>
        <v/>
      </c>
    </row>
    <row r="522">
      <c r="A522" t="inlineStr">
        <is>
          <t>Normal-Only Total DPS (this block's swept value)</t>
        </is>
      </c>
      <c r="B522">
        <f>SUM(V477:V506)</f>
        <v/>
      </c>
    </row>
    <row r="524">
      <c r="A524" s="5" t="inlineStr">
        <is>
          <t>Stat: CRIT_RATE %</t>
        </is>
      </c>
    </row>
    <row r="525">
      <c r="A525" s="9" t="inlineStr">
        <is>
          <t>Key</t>
        </is>
      </c>
      <c r="B525" s="9" t="inlineStr">
        <is>
          <t>Name</t>
        </is>
      </c>
      <c r="C525" s="9" t="inlineStr">
        <is>
          <t>Unlocked</t>
        </is>
      </c>
      <c r="D525" s="9" t="inlineStr">
        <is>
          <t>InputLevel</t>
        </is>
      </c>
      <c r="E525" s="9" t="inlineStr">
        <is>
          <t>Factor</t>
        </is>
      </c>
      <c r="F525" s="9" t="inlineStr">
        <is>
          <t>CoefficientPercent</t>
        </is>
      </c>
      <c r="G525" s="9" t="inlineStr">
        <is>
          <t>EffectiveHits</t>
        </is>
      </c>
      <c r="H525" s="9" t="inlineStr">
        <is>
          <t>ProcProbability</t>
        </is>
      </c>
      <c r="I525" s="9" t="inlineStr">
        <is>
          <t>MapleHeroMultiplier</t>
        </is>
      </c>
      <c r="J525" s="9" t="inlineStr">
        <is>
          <t>BaseDamage</t>
        </is>
      </c>
      <c r="K525" s="9" t="inlineStr">
        <is>
          <t>BaseHitDamage</t>
        </is>
      </c>
      <c r="L525" s="9" t="inlineStr">
        <is>
          <t>NonCritAvg</t>
        </is>
      </c>
      <c r="M525" s="9" t="inlineStr">
        <is>
          <t>CritAvg</t>
        </is>
      </c>
      <c r="N525" s="9" t="inlineStr">
        <is>
          <t>ExpectedDamage(perHit)</t>
        </is>
      </c>
      <c r="O525" s="9" t="inlineStr">
        <is>
          <t>DPS</t>
        </is>
      </c>
      <c r="P525" s="9" t="inlineStr">
        <is>
          <t>% of Total</t>
        </is>
      </c>
      <c r="Q525" s="9" t="inlineStr">
        <is>
          <t>InvCooldown</t>
        </is>
      </c>
      <c r="R525" s="9" t="inlineStr">
        <is>
          <t>CastsInFight</t>
        </is>
      </c>
      <c r="S525" s="9" t="inlineStr">
        <is>
          <t>HitRate(perSec)</t>
        </is>
      </c>
      <c r="U525" t="inlineStr">
        <is>
          <t>helpers</t>
        </is>
      </c>
    </row>
    <row r="526">
      <c r="A526">
        <f>Skills!A2</f>
        <v/>
      </c>
      <c r="B526">
        <f>Skills!B2</f>
        <v/>
      </c>
      <c r="C526">
        <f>Inputs!$B$3&gt;=100</f>
        <v/>
      </c>
      <c r="D526" t="inlineStr"/>
      <c r="E526" t="inlineStr"/>
      <c r="F526">
        <f>U530+Skills!O2</f>
        <v/>
      </c>
      <c r="G526">
        <f>Calc!G2</f>
        <v/>
      </c>
      <c r="H526">
        <f>Calc!H2</f>
        <v/>
      </c>
      <c r="I526">
        <f>IF(Skills!AA2&lt;&gt;"",1+(Skills!AA2/10)*(U527/1000)/100,1)</f>
        <v/>
      </c>
      <c r="J526">
        <f>((Inputs!$B$6*(1+Inputs!$B$7/100))+(((Inputs!$B$12*(1+Inputs!$B$13/100))-(Inputs!$B$12*(1+Inputs!$B$13/100)))+0.25*(Inputs!$B$14-Inputs!$B$14))*(1+Inputs!$B$7/100))*(F526/100)</f>
        <v/>
      </c>
      <c r="K526">
        <f>J526*(1+((Inputs!$B$12*(1+Inputs!$B$13/100))*0.01+Inputs!$B$14*0.0025)/100)*(1+Inputs!$B$15/100)*(1+Inputs!$B$16/100)*(5000/(6000+Inputs!$B$43*(1-Inputs!$B$19/100)))*(1+(Inputs!$B$24+((C554=TRUE)*(F554-Calc!F30)))/100)*(1+Skills!R2/100)*(1+(IF(Skills!A2="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526)</f>
        <v/>
      </c>
      <c r="L526">
        <f>K526*(MIN(Inputs!$B$22+((C548=TRUE)*(F548-Calc!F24)),Inputs!$B$23)/100+Inputs!$B$23/100)/2</f>
        <v/>
      </c>
      <c r="M526">
        <f>L526*(1+(Inputs!$B$10+((C550=TRUE)*(F550-Calc!F26))+B567)/100)</f>
        <v/>
      </c>
      <c r="N526">
        <f>L526*(1-MIN(((Inputs!$B$9+1)+((C549=TRUE)*(F549-Calc!F25))+B564),100)/100)+M526*(MIN(((Inputs!$B$9+1)+((C549=TRUE)*(F549-Calc!F25))+B564),100)/100)</f>
        <v/>
      </c>
      <c r="O526">
        <f>(1-Summary!$B$55)*T526+Summary!$B$55*V526</f>
        <v/>
      </c>
      <c r="P526">
        <f>IF(B568=0,0,O526/B568)</f>
        <v/>
      </c>
      <c r="Q526" t="n">
        <v>0</v>
      </c>
      <c r="R526" t="n">
        <v>0</v>
      </c>
      <c r="S526">
        <f>IFERROR(O526/N526,0)</f>
        <v/>
      </c>
      <c r="T526">
        <f>IF(C526,(Skills!G2*N526*B562)*IF(Inputs!$B$39="pvp",1,1+(Inputs!$B$20+((C551=TRUE)*(F551-Calc!F27))+Skills!P2+B565)/100),0)</f>
        <v/>
      </c>
      <c r="U526">
        <f>MAX(0,(Inputs!$B$3-100)*3)+Inputs!$B$28+Inputs!$B$29</f>
        <v/>
      </c>
      <c r="V526">
        <f>IF(C526,(Skills!G2*N526*B562)*IF(Inputs!$B$39="pvp",1,(1+(Inputs!$B$21+Skills!Q2+B565)/100)*(MIN((6+Inputs!$B$33),Inputs!$B$37))),0)</f>
        <v/>
      </c>
    </row>
    <row r="527">
      <c r="A527">
        <f>Skills!A3</f>
        <v/>
      </c>
      <c r="B527">
        <f>Skills!B3</f>
        <v/>
      </c>
      <c r="C527">
        <f>Inputs!$B$3&gt;=35</f>
        <v/>
      </c>
      <c r="D527">
        <f>IF(Skills!C3=1,60+Inputs!$B$25+Inputs!$B$29,IF(Skills!C3=2,90+Inputs!$B$26+Inputs!$B$29,IF(Skills!C3=3,120+Inputs!$B$27+Inputs!$B$29,MAX(0,(Inputs!$B$3-100)*3)+Inputs!$B$28+Inputs!$B$29)))</f>
        <v/>
      </c>
      <c r="E527">
        <f>INDEX(FactorTable!$B$2:$Y$301, MATCH(ROUND(MIN(300,MAX(1,D527)),0), FactorTable!$A$2:$A$301,0), Skills!M3+1)</f>
        <v/>
      </c>
      <c r="F527">
        <f>IF(Skills!N3=TRUE,(Skills!L3/10)*(E527/1000),Skills!L3/10)+Skills!O3</f>
        <v/>
      </c>
      <c r="G527">
        <f>Calc!G3</f>
        <v/>
      </c>
      <c r="H527">
        <f>Calc!H3</f>
        <v/>
      </c>
      <c r="I527">
        <f>IF(Skills!AA3&lt;&gt;"",1+(Skills!AA3/10)*(U527/1000)/100,1)</f>
        <v/>
      </c>
      <c r="J527">
        <f>((Inputs!$B$6*(1+Inputs!$B$7/100))+(((Inputs!$B$12*(1+Inputs!$B$13/100))-(Inputs!$B$12*(1+Inputs!$B$13/100)))+0.25*(Inputs!$B$14-Inputs!$B$14))*(1+Inputs!$B$7/100))*(F527/100)</f>
        <v/>
      </c>
      <c r="K527">
        <f>J527*(1+((Inputs!$B$12*(1+Inputs!$B$13/100))*0.01+Inputs!$B$14*0.0025)/100)*(1+Inputs!$B$15/100)*(1+Inputs!$B$16/100)*(5000/(6000+Inputs!$B$43*(1-Inputs!$B$19/100)))*(1+(Inputs!$B$24+((C554=TRUE)*(F554-Calc!F30)))/100)*(1+Skills!R3/100)*(1+(IF(Skills!A3="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527)</f>
        <v/>
      </c>
      <c r="L527">
        <f>K527*(MIN(Inputs!$B$22+((C548=TRUE)*(F548-Calc!F24)),Inputs!$B$23)/100+Inputs!$B$23/100)/2</f>
        <v/>
      </c>
      <c r="M527">
        <f>L527*(1+(Inputs!$B$10+((C550=TRUE)*(F550-Calc!F26))+B567)/100)</f>
        <v/>
      </c>
      <c r="N527">
        <f>L527*(1-MIN(((Inputs!$B$9+1)+((C549=TRUE)*(F549-Calc!F25))+B564),100)/100)+M527*(MIN(((Inputs!$B$9+1)+((C549=TRUE)*(F549-Calc!F25))+B564),100)/100)</f>
        <v/>
      </c>
      <c r="O527">
        <f>(1-Summary!$B$55)*T527+Summary!$B$55*V527</f>
        <v/>
      </c>
      <c r="P527">
        <f>IF(B568=0,0,O527/B568)</f>
        <v/>
      </c>
      <c r="Q527">
        <f>IFERROR(1/IF(Inputs!$B$39="pvp",15,MAX(0.1,Skills!D3-IF(Skills!E3=TRUE,Inputs!$B$32,0))),0)</f>
        <v/>
      </c>
      <c r="R527">
        <f>IF(AND(Inputs!$B$39&lt;&gt;"pvp",Inputs!$B$44&gt;0),IF(MAX(0,Inputs!$B$44-B569)&lt;=0,0,(INT(MAX(0,Inputs!$B$44-B569)/IF(Inputs!$B$39="pvp",15,MAX(0.1,Skills!D3-IF(Skills!E3=TRUE,Inputs!$B$32,0))))+1)),0)</f>
        <v/>
      </c>
      <c r="S527">
        <f>IFERROR(O527/N527,0)</f>
        <v/>
      </c>
      <c r="T527">
        <f>IF(C527,(H527*N527*IF(AND(Inputs!$B$39&lt;&gt;"pvp",Inputs!$B$44&gt;0),((Skills!G3*((R527-1)*IF(Skills!H3&gt;0,Skills!I3/Skills!H3,1)+IF(Skills!H3&gt;0,MIN(Skills!I3,MAX(0,MAX(0,Inputs!$B$44-B569)-((R527-1)*IF(Inputs!$B$39="pvp",15,MAX(0.1,Skills!D3-IF(Skills!E3=TRUE,Inputs!$B$32,0))))))/Skills!H3,1)))/Inputs!$B$44),G527*Q527))*IF(Inputs!$B$39="pvp",1,1+(Inputs!$B$20+((C551=TRUE)*(F551-Calc!F27))+Skills!P3+B565)/100),0)</f>
        <v/>
      </c>
      <c r="U527">
        <f>INDEX(FactorTable!$B$2:$Y$301, MATCH(ROUND(MIN(300,MAX(1,U526)),0), FactorTable!$A$2:$A$301,0), 24)</f>
        <v/>
      </c>
      <c r="V527">
        <f>IF(C527,(H527*N527*IF(AND(Inputs!$B$39&lt;&gt;"pvp",Inputs!$B$44&gt;0),((Skills!G3*((R527-1)*IF(Skills!H3&gt;0,Skills!I3/Skills!H3,1)+IF(Skills!H3&gt;0,MIN(Skills!I3,MAX(0,MAX(0,Inputs!$B$44-B569)-((R527-1)*IF(Inputs!$B$39="pvp",15,MAX(0.1,Skills!D3-IF(Skills!E3=TRUE,Inputs!$B$32,0))))))/Skills!H3,1)))/Inputs!$B$44),G527*Q527))*IF(Inputs!$B$39="pvp",1,(1+(Inputs!$B$21+Skills!Q3+B565)/100)*(MIN(Skills!W3,Inputs!$B$37))),0)</f>
        <v/>
      </c>
    </row>
    <row r="528">
      <c r="A528">
        <f>Skills!A4</f>
        <v/>
      </c>
      <c r="B528">
        <f>Skills!B4</f>
        <v/>
      </c>
      <c r="C528">
        <f>Inputs!$B$3&gt;=40</f>
        <v/>
      </c>
      <c r="D528">
        <f>IF(Skills!C4=1,60+Inputs!$B$25+Inputs!$B$29,IF(Skills!C4=2,90+Inputs!$B$26+Inputs!$B$29,IF(Skills!C4=3,120+Inputs!$B$27+Inputs!$B$29,MAX(0,(Inputs!$B$3-100)*3)+Inputs!$B$28+Inputs!$B$29)))</f>
        <v/>
      </c>
      <c r="E528">
        <f>INDEX(FactorTable!$B$2:$Y$301, MATCH(ROUND(MIN(300,MAX(1,D528)),0), FactorTable!$A$2:$A$301,0), Skills!M4+1)</f>
        <v/>
      </c>
      <c r="F528">
        <f>IF(Skills!N4=TRUE,(Skills!L4/10)*(E528/1000),Skills!L4/10)+Skills!O4</f>
        <v/>
      </c>
      <c r="G528">
        <f>Calc!G4</f>
        <v/>
      </c>
      <c r="H528">
        <f>Calc!H4</f>
        <v/>
      </c>
      <c r="I528">
        <f>IF(Skills!AA4&lt;&gt;"",1+(Skills!AA4/10)*(U527/1000)/100,1)</f>
        <v/>
      </c>
      <c r="J528">
        <f>((Inputs!$B$6*(1+Inputs!$B$7/100))+(((Inputs!$B$12*(1+Inputs!$B$13/100))-(Inputs!$B$12*(1+Inputs!$B$13/100)))+0.25*(Inputs!$B$14-Inputs!$B$14))*(1+Inputs!$B$7/100))*(F528/100)</f>
        <v/>
      </c>
      <c r="K528">
        <f>J528*(1+((Inputs!$B$12*(1+Inputs!$B$13/100))*0.01+Inputs!$B$14*0.0025)/100)*(1+Inputs!$B$15/100)*(1+Inputs!$B$16/100)*(5000/(6000+Inputs!$B$43*(1-Inputs!$B$19/100)))*(1+(Inputs!$B$24+((C554=TRUE)*(F554-Calc!F30)))/100)*(1+Skills!R4/100)*(1+(IF(Skills!A4="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528)</f>
        <v/>
      </c>
      <c r="L528">
        <f>K528*(MIN(Inputs!$B$22+((C548=TRUE)*(F548-Calc!F24)),Inputs!$B$23)/100+Inputs!$B$23/100)/2</f>
        <v/>
      </c>
      <c r="M528">
        <f>L528*(1+(Inputs!$B$10+((C550=TRUE)*(F550-Calc!F26))+B567)/100)</f>
        <v/>
      </c>
      <c r="N528">
        <f>L528*(1-MIN(((Inputs!$B$9+1)+((C549=TRUE)*(F549-Calc!F25))+B564),100)/100)+M528*(MIN(((Inputs!$B$9+1)+((C549=TRUE)*(F549-Calc!F25))+B564),100)/100)</f>
        <v/>
      </c>
      <c r="O528">
        <f>(1-Summary!$B$55)*T528+Summary!$B$55*V528</f>
        <v/>
      </c>
      <c r="P528">
        <f>IF(B568=0,0,O528/B568)</f>
        <v/>
      </c>
      <c r="Q528">
        <f>IFERROR(1/IF(Inputs!$B$39="pvp",15,MAX(0.1,Skills!D4-IF(Skills!E4=TRUE,Inputs!$B$32,0))),0)</f>
        <v/>
      </c>
      <c r="R528">
        <f>IF(AND(Inputs!$B$39&lt;&gt;"pvp",Inputs!$B$44&gt;0),IF(MAX(0,Inputs!$B$44-B569)&lt;=0,0,(INT(MAX(0,Inputs!$B$44-B569)/IF(Inputs!$B$39="pvp",15,MAX(0.1,Skills!D4-IF(Skills!E4=TRUE,Inputs!$B$32,0))))+1)),0)</f>
        <v/>
      </c>
      <c r="S528">
        <f>IFERROR(O528/N528,0)</f>
        <v/>
      </c>
      <c r="T528">
        <f>IF(C528,(H528*N528*IF(AND(Inputs!$B$39&lt;&gt;"pvp",Inputs!$B$44&gt;0),((Skills!G4*((R528-1)*IF(Skills!H4&gt;0,Skills!I4/Skills!H4,1)+IF(Skills!H4&gt;0,MIN(Skills!I4,MAX(0,MAX(0,Inputs!$B$44-B569)-((R528-1)*IF(Inputs!$B$39="pvp",15,MAX(0.1,Skills!D4-IF(Skills!E4=TRUE,Inputs!$B$32,0))))))/Skills!H4,1)))/Inputs!$B$44),G528*Q528))*IF(Inputs!$B$39="pvp",1,1+(Inputs!$B$20+((C551=TRUE)*(F551-Calc!F27))+Skills!P4+B565)/100),0)</f>
        <v/>
      </c>
      <c r="U528">
        <f>MAX(0,(Inputs!$B$3-100)*3)+Inputs!$B$28+Inputs!$B$29</f>
        <v/>
      </c>
      <c r="V528">
        <f>IF(C528,(H528*N528*IF(AND(Inputs!$B$39&lt;&gt;"pvp",Inputs!$B$44&gt;0),((Skills!G4*((R528-1)*IF(Skills!H4&gt;0,Skills!I4/Skills!H4,1)+IF(Skills!H4&gt;0,MIN(Skills!I4,MAX(0,MAX(0,Inputs!$B$44-B569)-((R528-1)*IF(Inputs!$B$39="pvp",15,MAX(0.1,Skills!D4-IF(Skills!E4=TRUE,Inputs!$B$32,0))))))/Skills!H4,1)))/Inputs!$B$44),G528*Q528))*IF(Inputs!$B$39="pvp",1,(1+(Inputs!$B$21+Skills!Q4+B565)/100)*(MIN(Skills!W4,Inputs!$B$37))),0)</f>
        <v/>
      </c>
    </row>
    <row r="529">
      <c r="A529">
        <f>Skills!A5</f>
        <v/>
      </c>
      <c r="B529">
        <f>Skills!B5</f>
        <v/>
      </c>
      <c r="C529">
        <f>Inputs!$B$3&gt;=63</f>
        <v/>
      </c>
      <c r="D529">
        <f>IF(Skills!C5=1,60+Inputs!$B$25+Inputs!$B$29,IF(Skills!C5=2,90+Inputs!$B$26+Inputs!$B$29,IF(Skills!C5=3,120+Inputs!$B$27+Inputs!$B$29,MAX(0,(Inputs!$B$3-100)*3)+Inputs!$B$28+Inputs!$B$29)))</f>
        <v/>
      </c>
      <c r="E529">
        <f>INDEX(FactorTable!$B$2:$Y$301, MATCH(ROUND(MIN(300,MAX(1,D529)),0), FactorTable!$A$2:$A$301,0), Skills!M5+1)</f>
        <v/>
      </c>
      <c r="F529">
        <f>IF(Skills!N5=TRUE,(Skills!L5/10)*(E529/1000),Skills!L5/10)+Skills!O5</f>
        <v/>
      </c>
      <c r="G529">
        <f>Calc!G5</f>
        <v/>
      </c>
      <c r="H529">
        <f>Calc!H5</f>
        <v/>
      </c>
      <c r="I529">
        <f>IF(Skills!AA5&lt;&gt;"",1+(Skills!AA5/10)*(U527/1000)/100,1)</f>
        <v/>
      </c>
      <c r="J529">
        <f>((Inputs!$B$6*(1+Inputs!$B$7/100))+(((Inputs!$B$12*(1+Inputs!$B$13/100))-(Inputs!$B$12*(1+Inputs!$B$13/100)))+0.25*(Inputs!$B$14-Inputs!$B$14))*(1+Inputs!$B$7/100))*(F529/100)</f>
        <v/>
      </c>
      <c r="K529">
        <f>J529*(1+((Inputs!$B$12*(1+Inputs!$B$13/100))*0.01+Inputs!$B$14*0.0025)/100)*(1+Inputs!$B$15/100)*(1+Inputs!$B$16/100)*(5000/(6000+Inputs!$B$43*(1-Inputs!$B$19/100)))*(1+(Inputs!$B$24+((C554=TRUE)*(F554-Calc!F30)))/100)*(1+Skills!R5/100)*(1+(IF(Skills!A5="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529)</f>
        <v/>
      </c>
      <c r="L529">
        <f>K529*(MIN(Inputs!$B$22+((C548=TRUE)*(F548-Calc!F24)),Inputs!$B$23)/100+Inputs!$B$23/100)/2</f>
        <v/>
      </c>
      <c r="M529">
        <f>L529*(1+(Inputs!$B$10+((C550=TRUE)*(F550-Calc!F26))+B567)/100)</f>
        <v/>
      </c>
      <c r="N529">
        <f>L529*(1-MIN(((Inputs!$B$9+1)+((C549=TRUE)*(F549-Calc!F25))+B564),100)/100)+M529*(MIN(((Inputs!$B$9+1)+((C549=TRUE)*(F549-Calc!F25))+B564),100)/100)</f>
        <v/>
      </c>
      <c r="O529">
        <f>(1-Summary!$B$55)*T529+Summary!$B$55*V529</f>
        <v/>
      </c>
      <c r="P529">
        <f>IF(B568=0,0,O529/B568)</f>
        <v/>
      </c>
      <c r="Q529">
        <f>IFERROR(1/IF(Inputs!$B$39="pvp",15,MAX(0.1,Skills!D5-IF(Skills!E5=TRUE,Inputs!$B$32,0))),0)</f>
        <v/>
      </c>
      <c r="R529">
        <f>IF(AND(Inputs!$B$39&lt;&gt;"pvp",Inputs!$B$44&gt;0),IF(MAX(0,Inputs!$B$44-B569)&lt;=0,0,(INT(MAX(0,Inputs!$B$44-B569)/IF(Inputs!$B$39="pvp",15,MAX(0.1,Skills!D5-IF(Skills!E5=TRUE,Inputs!$B$32,0))))+1)),0)</f>
        <v/>
      </c>
      <c r="S529">
        <f>IFERROR(O529/N529,0)</f>
        <v/>
      </c>
      <c r="T529">
        <f>IF(C529,(H529*N529*IF(AND(Inputs!$B$39&lt;&gt;"pvp",Inputs!$B$44&gt;0),((Skills!G5*((R529-1)*IF(Skills!H5&gt;0,Skills!I5/Skills!H5,1)+IF(Skills!H5&gt;0,MIN(Skills!I5,MAX(0,MAX(0,Inputs!$B$44-B569)-((R529-1)*IF(Inputs!$B$39="pvp",15,MAX(0.1,Skills!D5-IF(Skills!E5=TRUE,Inputs!$B$32,0))))))/Skills!H5,1)))/Inputs!$B$44),G529*Q529))*IF(Inputs!$B$39="pvp",1,1+(Inputs!$B$20+((C551=TRUE)*(F551-Calc!F27))+Skills!P5+B565)/100),0)</f>
        <v/>
      </c>
      <c r="U529">
        <f>INDEX(FactorTable!$B$2:$Y$301, MATCH(ROUND(MIN(300,MAX(1,U528)),0), FactorTable!$A$2:$A$301,0), 22)</f>
        <v/>
      </c>
      <c r="V529">
        <f>IF(C529,(H529*N529*IF(AND(Inputs!$B$39&lt;&gt;"pvp",Inputs!$B$44&gt;0),((Skills!G5*((R529-1)*IF(Skills!H5&gt;0,Skills!I5/Skills!H5,1)+IF(Skills!H5&gt;0,MIN(Skills!I5,MAX(0,MAX(0,Inputs!$B$44-B569)-((R529-1)*IF(Inputs!$B$39="pvp",15,MAX(0.1,Skills!D5-IF(Skills!E5=TRUE,Inputs!$B$32,0))))))/Skills!H5,1)))/Inputs!$B$44),G529*Q529))*IF(Inputs!$B$39="pvp",1,(1+(Inputs!$B$21+Skills!Q5+B565)/100)*(MIN(Skills!W5,Inputs!$B$37))),0)</f>
        <v/>
      </c>
    </row>
    <row r="530">
      <c r="A530">
        <f>Skills!A6</f>
        <v/>
      </c>
      <c r="B530">
        <f>Skills!B6</f>
        <v/>
      </c>
      <c r="C530">
        <f>Inputs!$B$3&gt;=66</f>
        <v/>
      </c>
      <c r="D530">
        <f>IF(Skills!C6=1,60+Inputs!$B$25+Inputs!$B$29,IF(Skills!C6=2,90+Inputs!$B$26+Inputs!$B$29,IF(Skills!C6=3,120+Inputs!$B$27+Inputs!$B$29,MAX(0,(Inputs!$B$3-100)*3)+Inputs!$B$28+Inputs!$B$29)))</f>
        <v/>
      </c>
      <c r="E530">
        <f>INDEX(FactorTable!$B$2:$Y$301, MATCH(ROUND(MIN(300,MAX(1,D530)),0), FactorTable!$A$2:$A$301,0), Skills!M6+1)</f>
        <v/>
      </c>
      <c r="F530">
        <f>IF(Skills!N6=TRUE,(Skills!L6/10)*(E530/1000),Skills!L6/10)+Skills!O6</f>
        <v/>
      </c>
      <c r="G530">
        <f>Calc!G6</f>
        <v/>
      </c>
      <c r="H530">
        <f>Calc!H6</f>
        <v/>
      </c>
      <c r="I530">
        <f>IF(Skills!AA6&lt;&gt;"",1+(Skills!AA6/10)*(U527/1000)/100,1)</f>
        <v/>
      </c>
      <c r="J530" t="inlineStr"/>
      <c r="K530" t="inlineStr"/>
      <c r="L530" t="inlineStr"/>
      <c r="M530" t="inlineStr"/>
      <c r="N530" t="inlineStr"/>
      <c r="O530">
        <f>(1-Summary!$B$55)*T530+Summary!$B$55*V530</f>
        <v/>
      </c>
      <c r="P530">
        <f>IF(B568=0,0,O530/B568)</f>
        <v/>
      </c>
      <c r="Q530" t="n">
        <v>0</v>
      </c>
      <c r="R530" t="n">
        <v>0</v>
      </c>
      <c r="S530">
        <f>IFERROR(O530/N530,0)</f>
        <v/>
      </c>
      <c r="T530" t="n">
        <v>0</v>
      </c>
      <c r="U530">
        <f>290*U529/1000</f>
        <v/>
      </c>
      <c r="V530" t="n">
        <v>0</v>
      </c>
    </row>
    <row r="531">
      <c r="A531">
        <f>Skills!A7</f>
        <v/>
      </c>
      <c r="B531">
        <f>Skills!B7</f>
        <v/>
      </c>
      <c r="C531">
        <f>Inputs!$B$3&gt;=66</f>
        <v/>
      </c>
      <c r="D531">
        <f>IF(Skills!C7=1,60+Inputs!$B$25+Inputs!$B$29,IF(Skills!C7=2,90+Inputs!$B$26+Inputs!$B$29,IF(Skills!C7=3,120+Inputs!$B$27+Inputs!$B$29,MAX(0,(Inputs!$B$3-100)*3)+Inputs!$B$28+Inputs!$B$29)))</f>
        <v/>
      </c>
      <c r="E531">
        <f>INDEX(FactorTable!$B$2:$Y$301, MATCH(ROUND(MIN(300,MAX(1,D531)),0), FactorTable!$A$2:$A$301,0), Skills!M7+1)</f>
        <v/>
      </c>
      <c r="F531">
        <f>IF(Skills!N7=TRUE,(Skills!L7/10)*(E531/1000),Skills!L7/10)+Skills!O7</f>
        <v/>
      </c>
      <c r="G531">
        <f>Calc!G7</f>
        <v/>
      </c>
      <c r="H531">
        <f>Calc!H7</f>
        <v/>
      </c>
      <c r="I531">
        <f>IF(Skills!AA7&lt;&gt;"",1+(Skills!AA7/10)*(U527/1000)/100,1)</f>
        <v/>
      </c>
      <c r="J531" t="inlineStr"/>
      <c r="K531" t="inlineStr"/>
      <c r="L531" t="inlineStr"/>
      <c r="M531" t="inlineStr"/>
      <c r="N531" t="inlineStr"/>
      <c r="O531">
        <f>(1-Summary!$B$55)*T531+Summary!$B$55*V531</f>
        <v/>
      </c>
      <c r="P531">
        <f>IF(B568=0,0,O531/B568)</f>
        <v/>
      </c>
      <c r="Q531" t="n">
        <v>0</v>
      </c>
      <c r="R531" t="n">
        <v>0</v>
      </c>
      <c r="S531">
        <f>IFERROR(O531/N531,0)</f>
        <v/>
      </c>
      <c r="T531" t="n">
        <v>0</v>
      </c>
      <c r="V531" t="n">
        <v>0</v>
      </c>
    </row>
    <row r="532">
      <c r="A532">
        <f>Skills!A8</f>
        <v/>
      </c>
      <c r="B532">
        <f>Skills!B8</f>
        <v/>
      </c>
      <c r="C532">
        <f>Inputs!$B$3&gt;=69</f>
        <v/>
      </c>
      <c r="D532">
        <f>IF(Skills!C8=1,60+Inputs!$B$25+Inputs!$B$29,IF(Skills!C8=2,90+Inputs!$B$26+Inputs!$B$29,IF(Skills!C8=3,120+Inputs!$B$27+Inputs!$B$29,MAX(0,(Inputs!$B$3-100)*3)+Inputs!$B$28+Inputs!$B$29)))</f>
        <v/>
      </c>
      <c r="E532">
        <f>INDEX(FactorTable!$B$2:$Y$301, MATCH(ROUND(MIN(300,MAX(1,D532)),0), FactorTable!$A$2:$A$301,0), Skills!M8+1)</f>
        <v/>
      </c>
      <c r="F532">
        <f>IF(Skills!N8=TRUE,(Skills!L8/10)*(E532/1000),Skills!L8/10)+Skills!O8</f>
        <v/>
      </c>
      <c r="G532">
        <f>Calc!G8</f>
        <v/>
      </c>
      <c r="H532">
        <f>Calc!H8</f>
        <v/>
      </c>
      <c r="I532">
        <f>IF(Skills!AA8&lt;&gt;"",1+(Skills!AA8/10)*(U527/1000)/100,1)</f>
        <v/>
      </c>
      <c r="J532">
        <f>((Inputs!$B$6*(1+Inputs!$B$7/100))+(((Inputs!$B$12*(1+Inputs!$B$13/100))-(Inputs!$B$12*(1+Inputs!$B$13/100)))+0.25*(Inputs!$B$14-Inputs!$B$14))*(1+Inputs!$B$7/100))*(F532/100)</f>
        <v/>
      </c>
      <c r="K532">
        <f>J532*(1+((Inputs!$B$12*(1+Inputs!$B$13/100))*0.01+Inputs!$B$14*0.0025)/100)*(1+Inputs!$B$15/100)*(1+Inputs!$B$16/100)*(5000/(6000+Inputs!$B$43*(1-Inputs!$B$19/100)))*(1+(Inputs!$B$24+((C554=TRUE)*(F554-Calc!F30)))/100)*(1+Skills!R8/100)*(1+(IF(Skills!A8="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532)</f>
        <v/>
      </c>
      <c r="L532">
        <f>K532*(MIN(Inputs!$B$22+((C548=TRUE)*(F548-Calc!F24)),Inputs!$B$23)/100+Inputs!$B$23/100)/2</f>
        <v/>
      </c>
      <c r="M532">
        <f>L532*(1+(Inputs!$B$10+((C550=TRUE)*(F550-Calc!F26))+B567)/100)</f>
        <v/>
      </c>
      <c r="N532">
        <f>L532*(1-MIN(((Inputs!$B$9+1)+((C549=TRUE)*(F549-Calc!F25))+B564),100)/100)+M532*(MIN(((Inputs!$B$9+1)+((C549=TRUE)*(F549-Calc!F25))+B564),100)/100)</f>
        <v/>
      </c>
      <c r="O532">
        <f>(1-Summary!$B$55)*T532+Summary!$B$55*V532</f>
        <v/>
      </c>
      <c r="P532">
        <f>IF(B568=0,0,O532/B568)</f>
        <v/>
      </c>
      <c r="Q532">
        <f>IFERROR(1/IF(Inputs!$B$39="pvp",15,MAX(0.1,Skills!D8-IF(Skills!E8=TRUE,Inputs!$B$32,0))),0)</f>
        <v/>
      </c>
      <c r="R532">
        <f>IF(AND(Inputs!$B$39&lt;&gt;"pvp",Inputs!$B$44&gt;0),IF(MAX(0,Inputs!$B$44-B569)&lt;=0,0,(INT(MAX(0,Inputs!$B$44-B569)/IF(Inputs!$B$39="pvp",15,MAX(0.1,Skills!D8-IF(Skills!E8=TRUE,Inputs!$B$32,0))))+1)),0)</f>
        <v/>
      </c>
      <c r="S532">
        <f>IFERROR(O532/N532,0)</f>
        <v/>
      </c>
      <c r="T532">
        <f>IF(C532,(H532*N532*IF(AND(Inputs!$B$39&lt;&gt;"pvp",Inputs!$B$44&gt;0),((Skills!G8*((R532-1)*IF(Skills!H8&gt;0,Skills!I8/Skills!H8,1)+IF(Skills!H8&gt;0,MIN(Skills!I8,MAX(0,MAX(0,Inputs!$B$44-B569)-((R532-1)*IF(Inputs!$B$39="pvp",15,MAX(0.1,Skills!D8-IF(Skills!E8=TRUE,Inputs!$B$32,0))))))/Skills!H8,1)))/Inputs!$B$44),G532*Q532))*IF(Inputs!$B$39="pvp",1,1+(Inputs!$B$20+((C551=TRUE)*(F551-Calc!F27))+Skills!P8+B565)/100),0)</f>
        <v/>
      </c>
      <c r="V532">
        <f>IF(C532,(H532*N532*IF(AND(Inputs!$B$39&lt;&gt;"pvp",Inputs!$B$44&gt;0),((Skills!G8*((R532-1)*IF(Skills!H8&gt;0,Skills!I8/Skills!H8,1)+IF(Skills!H8&gt;0,MIN(Skills!I8,MAX(0,MAX(0,Inputs!$B$44-B569)-((R532-1)*IF(Inputs!$B$39="pvp",15,MAX(0.1,Skills!D8-IF(Skills!E8=TRUE,Inputs!$B$32,0))))))/Skills!H8,1)))/Inputs!$B$44),G532*Q532))*IF(Inputs!$B$39="pvp",1,(1+(Inputs!$B$21+Skills!Q8+B565)/100)*(MIN(Skills!W8,Inputs!$B$37))),0)</f>
        <v/>
      </c>
    </row>
    <row r="533">
      <c r="A533">
        <f>Skills!A9</f>
        <v/>
      </c>
      <c r="B533">
        <f>Skills!B9</f>
        <v/>
      </c>
      <c r="C533">
        <f>Inputs!$B$3&gt;=72</f>
        <v/>
      </c>
      <c r="D533">
        <f>IF(Skills!C9=1,60+Inputs!$B$25+Inputs!$B$29,IF(Skills!C9=2,90+Inputs!$B$26+Inputs!$B$29,IF(Skills!C9=3,120+Inputs!$B$27+Inputs!$B$29,MAX(0,(Inputs!$B$3-100)*3)+Inputs!$B$28+Inputs!$B$29)))</f>
        <v/>
      </c>
      <c r="E533">
        <f>INDEX(FactorTable!$B$2:$Y$301, MATCH(ROUND(MIN(300,MAX(1,D533)),0), FactorTable!$A$2:$A$301,0), Skills!M9+1)</f>
        <v/>
      </c>
      <c r="F533">
        <f>IF(Skills!N9=TRUE,(Skills!L9/10)*(E533/1000),Skills!L9/10)+Skills!O9</f>
        <v/>
      </c>
      <c r="G533">
        <f>Calc!G9</f>
        <v/>
      </c>
      <c r="H533">
        <f>Calc!H9</f>
        <v/>
      </c>
      <c r="I533">
        <f>IF(Skills!AA9&lt;&gt;"",1+(Skills!AA9/10)*(U527/1000)/100,1)</f>
        <v/>
      </c>
      <c r="J533">
        <f>((Inputs!$B$6*(1+Inputs!$B$7/100))+(((Inputs!$B$12*(1+Inputs!$B$13/100))-(Inputs!$B$12*(1+Inputs!$B$13/100)))+0.25*(Inputs!$B$14-Inputs!$B$14))*(1+Inputs!$B$7/100))*(F533/100)</f>
        <v/>
      </c>
      <c r="K533">
        <f>J533*(1+((Inputs!$B$12*(1+Inputs!$B$13/100))*0.01+Inputs!$B$14*0.0025)/100)*(1+Inputs!$B$15/100)*(1+Inputs!$B$16/100)*(5000/(6000+Inputs!$B$43*(1-Inputs!$B$19/100)))*(1+(Inputs!$B$24+((C554=TRUE)*(F554-Calc!F30)))/100)*(1+Skills!R9/100)*(1+(IF(Skills!A9="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533)</f>
        <v/>
      </c>
      <c r="L533">
        <f>K533*(MIN(Inputs!$B$22+((C548=TRUE)*(F548-Calc!F24)),Inputs!$B$23)/100+Inputs!$B$23/100)/2</f>
        <v/>
      </c>
      <c r="M533">
        <f>L533*(1+(Inputs!$B$10+((C550=TRUE)*(F550-Calc!F26))+B567)/100)</f>
        <v/>
      </c>
      <c r="N533">
        <f>L533*(1-MIN(((Inputs!$B$9+1)+((C549=TRUE)*(F549-Calc!F25))+B564),100)/100)+M533*(MIN(((Inputs!$B$9+1)+((C549=TRUE)*(F549-Calc!F25))+B564),100)/100)</f>
        <v/>
      </c>
      <c r="O533">
        <f>(1-Summary!$B$55)*T533+Summary!$B$55*V533</f>
        <v/>
      </c>
      <c r="P533">
        <f>IF(B568=0,0,O533/B568)</f>
        <v/>
      </c>
      <c r="Q533">
        <f>IFERROR(1/IF(Inputs!$B$39="pvp",15,MAX(0.1,Skills!D9-IF(Skills!E9=TRUE,Inputs!$B$32,0))),0)</f>
        <v/>
      </c>
      <c r="R533">
        <f>IF(AND(Inputs!$B$39&lt;&gt;"pvp",Inputs!$B$44&gt;0),IF(MAX(0,Inputs!$B$44-B569)&lt;=0,0,(INT(MAX(0,Inputs!$B$44-B569)/IF(Inputs!$B$39="pvp",15,MAX(0.1,Skills!D9-IF(Skills!E9=TRUE,Inputs!$B$32,0))))+1)),0)</f>
        <v/>
      </c>
      <c r="S533">
        <f>IFERROR(O533/N533,0)</f>
        <v/>
      </c>
      <c r="T533">
        <f>IF(C533,(H533*N533*IF(AND(Inputs!$B$39&lt;&gt;"pvp",Inputs!$B$44&gt;0),((Skills!G9*((R533-1)*IF(Skills!H9&gt;0,Skills!I9/Skills!H9,1)+IF(Skills!H9&gt;0,MIN(Skills!I9,MAX(0,MAX(0,Inputs!$B$44-B569)-((R533-1)*IF(Inputs!$B$39="pvp",15,MAX(0.1,Skills!D9-IF(Skills!E9=TRUE,Inputs!$B$32,0))))))/Skills!H9,1)))/Inputs!$B$44),G533*Q533))*IF(Inputs!$B$39="pvp",1,1+(Inputs!$B$20+((C551=TRUE)*(F551-Calc!F27))+Skills!P9+B565)/100),0)</f>
        <v/>
      </c>
      <c r="V533">
        <f>IF(C533,(H533*N533*IF(AND(Inputs!$B$39&lt;&gt;"pvp",Inputs!$B$44&gt;0),((Skills!G9*((R533-1)*IF(Skills!H9&gt;0,Skills!I9/Skills!H9,1)+IF(Skills!H9&gt;0,MIN(Skills!I9,MAX(0,MAX(0,Inputs!$B$44-B569)-((R533-1)*IF(Inputs!$B$39="pvp",15,MAX(0.1,Skills!D9-IF(Skills!E9=TRUE,Inputs!$B$32,0))))))/Skills!H9,1)))/Inputs!$B$44),G533*Q533))*IF(Inputs!$B$39="pvp",1,(1+(Inputs!$B$21+Skills!Q9+B565)/100)*(MIN(Skills!W9,Inputs!$B$37))),0)</f>
        <v/>
      </c>
    </row>
    <row r="534">
      <c r="A534">
        <f>Skills!A10</f>
        <v/>
      </c>
      <c r="B534">
        <f>Skills!B10</f>
        <v/>
      </c>
      <c r="C534">
        <f>Inputs!$B$3&gt;=117</f>
        <v/>
      </c>
      <c r="D534">
        <f>IF(Skills!C10=1,60+Inputs!$B$25+Inputs!$B$29,IF(Skills!C10=2,90+Inputs!$B$26+Inputs!$B$29,IF(Skills!C10=3,120+Inputs!$B$27+Inputs!$B$29,MAX(0,(Inputs!$B$3-100)*3)+Inputs!$B$28+Inputs!$B$29)))</f>
        <v/>
      </c>
      <c r="E534">
        <f>INDEX(FactorTable!$B$2:$Y$301, MATCH(ROUND(MIN(300,MAX(1,D534)),0), FactorTable!$A$2:$A$301,0), Skills!M10+1)</f>
        <v/>
      </c>
      <c r="F534">
        <f>IF(Skills!N10=TRUE,(Skills!L10/10)*(E534/1000),Skills!L10/10)+Skills!O10</f>
        <v/>
      </c>
      <c r="G534">
        <f>Calc!G10</f>
        <v/>
      </c>
      <c r="H534">
        <f>Calc!H10</f>
        <v/>
      </c>
      <c r="I534">
        <f>IF(Skills!AA10&lt;&gt;"",1+(Skills!AA10/10)*(U527/1000)/100,1)</f>
        <v/>
      </c>
      <c r="J534">
        <f>((Inputs!$B$6*(1+Inputs!$B$7/100))+(((Inputs!$B$12*(1+Inputs!$B$13/100))-(Inputs!$B$12*(1+Inputs!$B$13/100)))+0.25*(Inputs!$B$14-Inputs!$B$14))*(1+Inputs!$B$7/100))*(F534/100)</f>
        <v/>
      </c>
      <c r="K534">
        <f>J534*(1+((Inputs!$B$12*(1+Inputs!$B$13/100))*0.01+Inputs!$B$14*0.0025)/100)*(1+Inputs!$B$15/100)*(1+Inputs!$B$16/100)*(5000/(6000+Inputs!$B$43*(1-Inputs!$B$19/100)))*(1+(Inputs!$B$24+((C554=TRUE)*(F554-Calc!F30)))/100)*(1+Skills!R10/100)*(1+(IF(Skills!A10="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534)</f>
        <v/>
      </c>
      <c r="L534">
        <f>K534*(MIN(Inputs!$B$22+((C548=TRUE)*(F548-Calc!F24)),Inputs!$B$23)/100+Inputs!$B$23/100)/2</f>
        <v/>
      </c>
      <c r="M534">
        <f>L534*(1+(Inputs!$B$10+((C550=TRUE)*(F550-Calc!F26))+B567)/100)</f>
        <v/>
      </c>
      <c r="N534">
        <f>L534*(1-MIN(((Inputs!$B$9+1)+((C549=TRUE)*(F549-Calc!F25))+B564),100)/100)+M534*(MIN(((Inputs!$B$9+1)+((C549=TRUE)*(F549-Calc!F25))+B564),100)/100)</f>
        <v/>
      </c>
      <c r="O534">
        <f>(1-Summary!$B$55)*T534+Summary!$B$55*V534</f>
        <v/>
      </c>
      <c r="P534">
        <f>IF(B568=0,0,O534/B568)</f>
        <v/>
      </c>
      <c r="Q534" t="n">
        <v>0</v>
      </c>
      <c r="R534" t="n">
        <v>0</v>
      </c>
      <c r="S534" t="n">
        <v>0</v>
      </c>
      <c r="T534">
        <f>IF(C534,(0.2*SUMPRODUCT((Skills!Z2:Z31=TRUE)*(C526:C555=TRUE)*S526:S555)*N534)*IF(Inputs!$B$39="pvp",1,1+(Inputs!$B$20+((C551=TRUE)*(F551-Calc!F27))+Skills!P10+B565)/100),0)</f>
        <v/>
      </c>
      <c r="V534">
        <f>IF(C534,(0.2*SUMPRODUCT((Skills!Z2:Z31=TRUE)*(C526:C555=TRUE)*S526:S555)*N534)*IF(Inputs!$B$39="pvp",1,(1+(Inputs!$B$21+Skills!Q10+B565)/100)*(MIN(Skills!W10,Inputs!$B$37))),0)</f>
        <v/>
      </c>
    </row>
    <row r="535">
      <c r="A535">
        <f>Skills!A11</f>
        <v/>
      </c>
      <c r="B535">
        <f>Skills!B11</f>
        <v/>
      </c>
      <c r="C535">
        <f>Inputs!$B$3&gt;=60</f>
        <v/>
      </c>
      <c r="D535">
        <f>IF(Skills!C11=1,60+Inputs!$B$25+Inputs!$B$29,IF(Skills!C11=2,90+Inputs!$B$26+Inputs!$B$29,IF(Skills!C11=3,120+Inputs!$B$27+Inputs!$B$29,MAX(0,(Inputs!$B$3-100)*3)+Inputs!$B$28+Inputs!$B$29)))</f>
        <v/>
      </c>
      <c r="E535">
        <f>INDEX(FactorTable!$B$2:$Y$301, MATCH(ROUND(MIN(300,MAX(1,D535)),0), FactorTable!$A$2:$A$301,0), Skills!M11+1)</f>
        <v/>
      </c>
      <c r="F535">
        <f>IF(Skills!N11=TRUE,(Skills!L11/10)*(E535/1000),Skills!L11/10)+Skills!O11</f>
        <v/>
      </c>
      <c r="G535">
        <f>Calc!G11</f>
        <v/>
      </c>
      <c r="H535">
        <f>Calc!H11</f>
        <v/>
      </c>
      <c r="I535">
        <f>IF(Skills!AA11&lt;&gt;"",1+(Skills!AA11/10)*(U527/1000)/100,1)</f>
        <v/>
      </c>
      <c r="J535" t="inlineStr"/>
      <c r="K535" t="inlineStr"/>
      <c r="L535" t="inlineStr"/>
      <c r="M535" t="inlineStr"/>
      <c r="N535" t="inlineStr"/>
      <c r="O535">
        <f>(1-Summary!$B$55)*T535+Summary!$B$55*V535</f>
        <v/>
      </c>
      <c r="P535">
        <f>IF(B568=0,0,O535/B568)</f>
        <v/>
      </c>
      <c r="Q535" t="n">
        <v>0</v>
      </c>
      <c r="R535" t="n">
        <v>0</v>
      </c>
      <c r="S535">
        <f>IFERROR(O535/N535,0)</f>
        <v/>
      </c>
      <c r="T535" t="n">
        <v>0</v>
      </c>
      <c r="V535" t="n">
        <v>0</v>
      </c>
    </row>
    <row r="536">
      <c r="A536">
        <f>Skills!A12</f>
        <v/>
      </c>
      <c r="B536">
        <f>Skills!B12</f>
        <v/>
      </c>
      <c r="C536">
        <f>Inputs!$B$3&gt;=103</f>
        <v/>
      </c>
      <c r="D536">
        <f>IF(Skills!C12=1,60+Inputs!$B$25+Inputs!$B$29,IF(Skills!C12=2,90+Inputs!$B$26+Inputs!$B$29,IF(Skills!C12=3,120+Inputs!$B$27+Inputs!$B$29,MAX(0,(Inputs!$B$3-100)*3)+Inputs!$B$28+Inputs!$B$29)))</f>
        <v/>
      </c>
      <c r="E536">
        <f>INDEX(FactorTable!$B$2:$Y$301, MATCH(ROUND(MIN(300,MAX(1,D536)),0), FactorTable!$A$2:$A$301,0), Skills!M12+1)</f>
        <v/>
      </c>
      <c r="F536">
        <f>IF(Skills!N12=TRUE,(Skills!L12/10)*(E536/1000),Skills!L12/10)+Skills!O12</f>
        <v/>
      </c>
      <c r="G536">
        <f>Calc!G12</f>
        <v/>
      </c>
      <c r="H536">
        <f>Calc!H12</f>
        <v/>
      </c>
      <c r="I536">
        <f>IF(Skills!AA12&lt;&gt;"",1+(Skills!AA12/10)*(U527/1000)/100,1)</f>
        <v/>
      </c>
      <c r="J536">
        <f>((Inputs!$B$6*(1+Inputs!$B$7/100))+(((Inputs!$B$12*(1+Inputs!$B$13/100))-(Inputs!$B$12*(1+Inputs!$B$13/100)))+0.25*(Inputs!$B$14-Inputs!$B$14))*(1+Inputs!$B$7/100))*(F536/100)</f>
        <v/>
      </c>
      <c r="K536">
        <f>J536*(1+((Inputs!$B$12*(1+Inputs!$B$13/100))*0.01+Inputs!$B$14*0.0025)/100)*(1+Inputs!$B$15/100)*(1+Inputs!$B$16/100)*(5000/(6000+Inputs!$B$43*(1-Inputs!$B$19/100)))*(1+(Inputs!$B$24+((C554=TRUE)*(F554-Calc!F30)))/100)*(1+Skills!R12/100)*(1+(IF(Skills!A12="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536)</f>
        <v/>
      </c>
      <c r="L536">
        <f>K536*(MIN(Inputs!$B$22+((C548=TRUE)*(F548-Calc!F24)),Inputs!$B$23)/100+Inputs!$B$23/100)/2</f>
        <v/>
      </c>
      <c r="M536">
        <f>L536*(1+(Inputs!$B$10+((C550=TRUE)*(F550-Calc!F26))+B567)/100)</f>
        <v/>
      </c>
      <c r="N536">
        <f>L536*(1-MIN(((Inputs!$B$9+1)+((C549=TRUE)*(F549-Calc!F25))+B564),100)/100)+M536*(MIN(((Inputs!$B$9+1)+((C549=TRUE)*(F549-Calc!F25))+B564),100)/100)</f>
        <v/>
      </c>
      <c r="O536">
        <f>(1-Summary!$B$55)*T536+Summary!$B$55*V536</f>
        <v/>
      </c>
      <c r="P536">
        <f>IF(B568=0,0,O536/B568)</f>
        <v/>
      </c>
      <c r="Q536">
        <f>IFERROR(1/IF(Inputs!$B$39="pvp",15,MAX(0.1,Skills!D12-IF(Skills!E12=TRUE,Inputs!$B$32,0))),0)</f>
        <v/>
      </c>
      <c r="R536">
        <f>IF(AND(Inputs!$B$39&lt;&gt;"pvp",Inputs!$B$44&gt;0),IF(MAX(0,Inputs!$B$44-B569)&lt;=0,0,(INT(MAX(0,Inputs!$B$44-B569)/IF(Inputs!$B$39="pvp",15,MAX(0.1,Skills!D12-IF(Skills!E12=TRUE,Inputs!$B$32,0))))+1)),0)</f>
        <v/>
      </c>
      <c r="S536">
        <f>IFERROR(O536/N536,0)</f>
        <v/>
      </c>
      <c r="T536">
        <f>IF(C536,(H536*N536*IF(AND(Inputs!$B$39&lt;&gt;"pvp",Inputs!$B$44&gt;0),((Skills!G12*((R536-1)*IF(Skills!H12&gt;0,Skills!I12/Skills!H12,1)+IF(Skills!H12&gt;0,MIN(Skills!I12,MAX(0,MAX(0,Inputs!$B$44-B569)-((R536-1)*IF(Inputs!$B$39="pvp",15,MAX(0.1,Skills!D12-IF(Skills!E12=TRUE,Inputs!$B$32,0))))))/Skills!H12,1)))/Inputs!$B$44),G536*Q536))*IF(Inputs!$B$39="pvp",1,1+(Inputs!$B$20+((C551=TRUE)*(F551-Calc!F27))+Skills!P12+B565)/100),0)</f>
        <v/>
      </c>
      <c r="V536">
        <f>IF(C536,(H536*N536*IF(AND(Inputs!$B$39&lt;&gt;"pvp",Inputs!$B$44&gt;0),((Skills!G12*((R536-1)*IF(Skills!H12&gt;0,Skills!I12/Skills!H12,1)+IF(Skills!H12&gt;0,MIN(Skills!I12,MAX(0,MAX(0,Inputs!$B$44-B569)-((R536-1)*IF(Inputs!$B$39="pvp",15,MAX(0.1,Skills!D12-IF(Skills!E12=TRUE,Inputs!$B$32,0))))))/Skills!H12,1)))/Inputs!$B$44),G536*Q536))*IF(Inputs!$B$39="pvp",1,(1+(Inputs!$B$21+Skills!Q12+B565)/100)*(MIN(Skills!W12,Inputs!$B$37))),0)</f>
        <v/>
      </c>
    </row>
    <row r="537">
      <c r="A537">
        <f>Skills!A13</f>
        <v/>
      </c>
      <c r="B537">
        <f>Skills!B13</f>
        <v/>
      </c>
      <c r="C537">
        <f>Inputs!$B$3&gt;=105</f>
        <v/>
      </c>
      <c r="D537">
        <f>IF(Skills!C13=1,60+Inputs!$B$25+Inputs!$B$29,IF(Skills!C13=2,90+Inputs!$B$26+Inputs!$B$29,IF(Skills!C13=3,120+Inputs!$B$27+Inputs!$B$29,MAX(0,(Inputs!$B$3-100)*3)+Inputs!$B$28+Inputs!$B$29)))</f>
        <v/>
      </c>
      <c r="E537">
        <f>INDEX(FactorTable!$B$2:$Y$301, MATCH(ROUND(MIN(300,MAX(1,D537)),0), FactorTable!$A$2:$A$301,0), Skills!M13+1)</f>
        <v/>
      </c>
      <c r="F537">
        <f>IF(Skills!N13=TRUE,(Skills!L13/10)*(E537/1000),Skills!L13/10)+Skills!O13</f>
        <v/>
      </c>
      <c r="G537">
        <f>Calc!G13</f>
        <v/>
      </c>
      <c r="H537">
        <f>Calc!H13</f>
        <v/>
      </c>
      <c r="I537">
        <f>IF(Skills!AA13&lt;&gt;"",1+(Skills!AA13/10)*(U527/1000)/100,1)</f>
        <v/>
      </c>
      <c r="J537">
        <f>((Inputs!$B$6*(1+Inputs!$B$7/100))+(((Inputs!$B$12*(1+Inputs!$B$13/100))-(Inputs!$B$12*(1+Inputs!$B$13/100)))+0.25*(Inputs!$B$14-Inputs!$B$14))*(1+Inputs!$B$7/100))*(F537/100)</f>
        <v/>
      </c>
      <c r="K537">
        <f>J537*(1+((Inputs!$B$12*(1+Inputs!$B$13/100))*0.01+Inputs!$B$14*0.0025)/100)*(1+Inputs!$B$15/100)*(1+Inputs!$B$16/100)*(5000/(6000+Inputs!$B$43*(1-Inputs!$B$19/100)))*(1+(Inputs!$B$24+((C554=TRUE)*(F554-Calc!F30)))/100)*(1+Skills!R13/100)*(1+(IF(Skills!A13="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537)</f>
        <v/>
      </c>
      <c r="L537">
        <f>K537*(MIN(Inputs!$B$22+((C548=TRUE)*(F548-Calc!F24)),Inputs!$B$23)/100+Inputs!$B$23/100)/2</f>
        <v/>
      </c>
      <c r="M537">
        <f>L537*(1+(Inputs!$B$10+((C550=TRUE)*(F550-Calc!F26))+B567)/100)</f>
        <v/>
      </c>
      <c r="N537">
        <f>L537*(1-MIN(((Inputs!$B$9+1)+((C549=TRUE)*(F549-Calc!F25))+B564),100)/100)+M537*(MIN(((Inputs!$B$9+1)+((C549=TRUE)*(F549-Calc!F25))+B564),100)/100)</f>
        <v/>
      </c>
      <c r="O537">
        <f>(1-Summary!$B$55)*T537+Summary!$B$55*V537</f>
        <v/>
      </c>
      <c r="P537">
        <f>IF(B568=0,0,O537/B568)</f>
        <v/>
      </c>
      <c r="Q537">
        <f>IFERROR(1/IF(Inputs!$B$39="pvp",15,MAX(0.1,Skills!D13-IF(Skills!E13=TRUE,Inputs!$B$32,0))),0)</f>
        <v/>
      </c>
      <c r="R537">
        <f>IF(AND(Inputs!$B$39&lt;&gt;"pvp",Inputs!$B$44&gt;0),IF(MAX(0,Inputs!$B$44-B569)&lt;=0,0,(INT(MAX(0,Inputs!$B$44-B569)/IF(Inputs!$B$39="pvp",15,MAX(0.1,Skills!D13-IF(Skills!E13=TRUE,Inputs!$B$32,0))))+1)),0)</f>
        <v/>
      </c>
      <c r="S537">
        <f>IFERROR(O537/N537,0)</f>
        <v/>
      </c>
      <c r="T537">
        <f>IF(C537,(H537*N537*IF(AND(Inputs!$B$39&lt;&gt;"pvp",Inputs!$B$44&gt;0),((Skills!G13*((R537-1)*IF(Skills!H13&gt;0,Skills!I13/Skills!H13,1)+IF(Skills!H13&gt;0,MIN(Skills!I13,MAX(0,MAX(0,Inputs!$B$44-B569)-((R537-1)*IF(Inputs!$B$39="pvp",15,MAX(0.1,Skills!D13-IF(Skills!E13=TRUE,Inputs!$B$32,0))))))/Skills!H13,1)))/Inputs!$B$44),G537*Q537))*IF(Inputs!$B$39="pvp",1,1+(Inputs!$B$20+((C551=TRUE)*(F551-Calc!F27))+Skills!P13+B565)/100),0)</f>
        <v/>
      </c>
      <c r="V537">
        <f>IF(C537,(H537*N537*IF(AND(Inputs!$B$39&lt;&gt;"pvp",Inputs!$B$44&gt;0),((Skills!G13*((R537-1)*IF(Skills!H13&gt;0,Skills!I13/Skills!H13,1)+IF(Skills!H13&gt;0,MIN(Skills!I13,MAX(0,MAX(0,Inputs!$B$44-B569)-((R537-1)*IF(Inputs!$B$39="pvp",15,MAX(0.1,Skills!D13-IF(Skills!E13=TRUE,Inputs!$B$32,0))))))/Skills!H13,1)))/Inputs!$B$44),G537*Q537))*IF(Inputs!$B$39="pvp",1,(1+(Inputs!$B$21+Skills!Q13+B565)/100)*(MIN(Skills!W13,Inputs!$B$37))),0)</f>
        <v/>
      </c>
    </row>
    <row r="538">
      <c r="A538">
        <f>Skills!A14</f>
        <v/>
      </c>
      <c r="B538">
        <f>Skills!B14</f>
        <v/>
      </c>
      <c r="C538">
        <f>Inputs!$B$3&gt;=105</f>
        <v/>
      </c>
      <c r="D538">
        <f>IF(Skills!C14=1,60+Inputs!$B$25+Inputs!$B$29,IF(Skills!C14=2,90+Inputs!$B$26+Inputs!$B$29,IF(Skills!C14=3,120+Inputs!$B$27+Inputs!$B$29,MAX(0,(Inputs!$B$3-100)*3)+Inputs!$B$28+Inputs!$B$29)))</f>
        <v/>
      </c>
      <c r="E538">
        <f>INDEX(FactorTable!$B$2:$Y$301, MATCH(ROUND(MIN(300,MAX(1,D538)),0), FactorTable!$A$2:$A$301,0), Skills!M14+1)</f>
        <v/>
      </c>
      <c r="F538">
        <f>IF(Skills!N14=TRUE,(Skills!L14/10)*(E538/1000),Skills!L14/10)+Skills!O14</f>
        <v/>
      </c>
      <c r="G538">
        <f>Calc!G14</f>
        <v/>
      </c>
      <c r="H538">
        <f>Calc!H14</f>
        <v/>
      </c>
      <c r="I538">
        <f>IF(Skills!AA14&lt;&gt;"",1+(Skills!AA14/10)*(U527/1000)/100,1)</f>
        <v/>
      </c>
      <c r="J538">
        <f>((Inputs!$B$6*(1+Inputs!$B$7/100))+(((Inputs!$B$12*(1+Inputs!$B$13/100))-(Inputs!$B$12*(1+Inputs!$B$13/100)))+0.25*(Inputs!$B$14-Inputs!$B$14))*(1+Inputs!$B$7/100))*(F538/100)</f>
        <v/>
      </c>
      <c r="K538">
        <f>J538*(1+((Inputs!$B$12*(1+Inputs!$B$13/100))*0.01+Inputs!$B$14*0.0025)/100)*(1+Inputs!$B$15/100)*(1+Inputs!$B$16/100)*(5000/(6000+Inputs!$B$43*(1-Inputs!$B$19/100)))*(1+(Inputs!$B$24+((C554=TRUE)*(F554-Calc!F30)))/100)*(1+Skills!R14/100)*(1+(IF(Skills!A14="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538)</f>
        <v/>
      </c>
      <c r="L538">
        <f>K538*(MIN(Inputs!$B$22+((C548=TRUE)*(F548-Calc!F24)),Inputs!$B$23)/100+Inputs!$B$23/100)/2</f>
        <v/>
      </c>
      <c r="M538">
        <f>L538*(1+(Inputs!$B$10+((C550=TRUE)*(F550-Calc!F26))+B567)/100)</f>
        <v/>
      </c>
      <c r="N538">
        <f>L538*(1-MIN(((Inputs!$B$9+1)+((C549=TRUE)*(F549-Calc!F25))+B564),100)/100)+M538*(MIN(((Inputs!$B$9+1)+((C549=TRUE)*(F549-Calc!F25))+B564),100)/100)</f>
        <v/>
      </c>
      <c r="O538">
        <f>(1-Summary!$B$55)*T538+Summary!$B$55*V538</f>
        <v/>
      </c>
      <c r="P538">
        <f>IF(B568=0,0,O538/B568)</f>
        <v/>
      </c>
      <c r="Q538">
        <f>IFERROR(1/IF(Inputs!$B$39="pvp",15,MAX(0.1,Skills!D14-IF(Skills!E14=TRUE,Inputs!$B$32,0))),0)</f>
        <v/>
      </c>
      <c r="R538">
        <f>IF(AND(Inputs!$B$39&lt;&gt;"pvp",Inputs!$B$44&gt;0),IF(MAX(0,Inputs!$B$44-B569)&lt;=0,0,(INT(MAX(0,Inputs!$B$44-B569)/IF(Inputs!$B$39="pvp",15,MAX(0.1,Skills!D14-IF(Skills!E14=TRUE,Inputs!$B$32,0))))+1)),0)</f>
        <v/>
      </c>
      <c r="S538">
        <f>IFERROR(O538/N538,0)</f>
        <v/>
      </c>
      <c r="T538">
        <f>IF(C538,(H538*N538*IF(AND(Inputs!$B$39&lt;&gt;"pvp",Inputs!$B$44&gt;0),((Skills!G14*((R538-1)*IF(Skills!H14&gt;0,Skills!I14/Skills!H14,1)+IF(Skills!H14&gt;0,MIN(Skills!I14,MAX(0,MAX(0,Inputs!$B$44-B569)-((R538-1)*IF(Inputs!$B$39="pvp",15,MAX(0.1,Skills!D14-IF(Skills!E14=TRUE,Inputs!$B$32,0))))))/Skills!H14,1)))/Inputs!$B$44),G538*Q538))*IF(Inputs!$B$39="pvp",1,1+(Inputs!$B$20+((C551=TRUE)*(F551-Calc!F27))+Skills!P14+B565)/100),0)</f>
        <v/>
      </c>
      <c r="V538">
        <f>IF(C538,(H538*N538*IF(AND(Inputs!$B$39&lt;&gt;"pvp",Inputs!$B$44&gt;0),((Skills!G14*((R538-1)*IF(Skills!H14&gt;0,Skills!I14/Skills!H14,1)+IF(Skills!H14&gt;0,MIN(Skills!I14,MAX(0,MAX(0,Inputs!$B$44-B569)-((R538-1)*IF(Inputs!$B$39="pvp",15,MAX(0.1,Skills!D14-IF(Skills!E14=TRUE,Inputs!$B$32,0))))))/Skills!H14,1)))/Inputs!$B$44),G538*Q538))*IF(Inputs!$B$39="pvp",1,(1+(Inputs!$B$21+Skills!Q14+B565)/100)*(MIN(Skills!W14,Inputs!$B$37))),0)</f>
        <v/>
      </c>
    </row>
    <row r="539">
      <c r="A539">
        <f>Skills!A15</f>
        <v/>
      </c>
      <c r="B539">
        <f>Skills!B15</f>
        <v/>
      </c>
      <c r="C539">
        <f>Inputs!$B$3&gt;=110</f>
        <v/>
      </c>
      <c r="D539">
        <f>IF(Skills!C15=1,60+Inputs!$B$25+Inputs!$B$29,IF(Skills!C15=2,90+Inputs!$B$26+Inputs!$B$29,IF(Skills!C15=3,120+Inputs!$B$27+Inputs!$B$29,MAX(0,(Inputs!$B$3-100)*3)+Inputs!$B$28+Inputs!$B$29)))</f>
        <v/>
      </c>
      <c r="E539">
        <f>INDEX(FactorTable!$B$2:$Y$301, MATCH(ROUND(MIN(300,MAX(1,D539)),0), FactorTable!$A$2:$A$301,0), Skills!M15+1)</f>
        <v/>
      </c>
      <c r="F539">
        <f>IF(Skills!N15=TRUE,(Skills!L15/10)*(E539/1000),Skills!L15/10)+Skills!O15</f>
        <v/>
      </c>
      <c r="G539">
        <f>Calc!G15</f>
        <v/>
      </c>
      <c r="H539">
        <f>Calc!H15</f>
        <v/>
      </c>
      <c r="I539">
        <f>IF(Skills!AA15&lt;&gt;"",1+(Skills!AA15/10)*(U527/1000)/100,1)</f>
        <v/>
      </c>
      <c r="J539" t="inlineStr"/>
      <c r="K539" t="inlineStr"/>
      <c r="L539" t="inlineStr"/>
      <c r="M539" t="inlineStr"/>
      <c r="N539" t="inlineStr"/>
      <c r="O539">
        <f>(1-Summary!$B$55)*T539+Summary!$B$55*V539</f>
        <v/>
      </c>
      <c r="P539">
        <f>IF(B568=0,0,O539/B568)</f>
        <v/>
      </c>
      <c r="Q539">
        <f>IFERROR(1/IF(Inputs!$B$39="pvp",15,MAX(0.1,Skills!D15-IF(Skills!E15=TRUE,Inputs!$B$32,0))),0)</f>
        <v/>
      </c>
      <c r="R539">
        <f>IF(AND(Inputs!$B$39&lt;&gt;"pvp",Inputs!$B$44&gt;0),IF(Inputs!$B$44&lt;=0,0,(INT(Inputs!$B$44/IF(Inputs!$B$39="pvp",15,MAX(0.1,Skills!D15-IF(Skills!E15=TRUE,Inputs!$B$32,0))))+1)),0)</f>
        <v/>
      </c>
      <c r="S539">
        <f>IFERROR(O539/N539,0)</f>
        <v/>
      </c>
      <c r="T539" t="n">
        <v>0</v>
      </c>
      <c r="V539" t="n">
        <v>0</v>
      </c>
    </row>
    <row r="540">
      <c r="A540">
        <f>Skills!A16</f>
        <v/>
      </c>
      <c r="B540">
        <f>Skills!B16</f>
        <v/>
      </c>
      <c r="C540">
        <f>Inputs!$B$3&gt;=110</f>
        <v/>
      </c>
      <c r="D540">
        <f>IF(Skills!C16=1,60+Inputs!$B$25+Inputs!$B$29,IF(Skills!C16=2,90+Inputs!$B$26+Inputs!$B$29,IF(Skills!C16=3,120+Inputs!$B$27+Inputs!$B$29,MAX(0,(Inputs!$B$3-100)*3)+Inputs!$B$28+Inputs!$B$29)))</f>
        <v/>
      </c>
      <c r="E540">
        <f>INDEX(FactorTable!$B$2:$Y$301, MATCH(ROUND(MIN(300,MAX(1,D540)),0), FactorTable!$A$2:$A$301,0), Skills!M16+1)</f>
        <v/>
      </c>
      <c r="F540">
        <f>IF(Skills!N16=TRUE,(Skills!L16/10)*(E540/1000),Skills!L16/10)+Skills!O16</f>
        <v/>
      </c>
      <c r="G540">
        <f>Calc!G16</f>
        <v/>
      </c>
      <c r="H540">
        <f>Calc!H16</f>
        <v/>
      </c>
      <c r="I540">
        <f>IF(Skills!AA16&lt;&gt;"",1+(Skills!AA16/10)*(U527/1000)/100,1)</f>
        <v/>
      </c>
      <c r="J540" t="inlineStr"/>
      <c r="K540" t="inlineStr"/>
      <c r="L540" t="inlineStr"/>
      <c r="M540" t="inlineStr"/>
      <c r="N540" t="inlineStr"/>
      <c r="O540">
        <f>(1-Summary!$B$55)*T540+Summary!$B$55*V540</f>
        <v/>
      </c>
      <c r="P540">
        <f>IF(B568=0,0,O540/B568)</f>
        <v/>
      </c>
      <c r="Q540">
        <f>IFERROR(1/IF(Inputs!$B$39="pvp",15,MAX(0.1,Skills!D16-IF(Skills!E16=TRUE,Inputs!$B$32,0))),0)</f>
        <v/>
      </c>
      <c r="R540">
        <f>IF(AND(Inputs!$B$39&lt;&gt;"pvp",Inputs!$B$44&gt;0),IF(Inputs!$B$44&lt;=0,0,(INT(Inputs!$B$44/IF(Inputs!$B$39="pvp",15,MAX(0.1,Skills!D16-IF(Skills!E16=TRUE,Inputs!$B$32,0))))+1)),0)</f>
        <v/>
      </c>
      <c r="S540">
        <f>IFERROR(O540/N540,0)</f>
        <v/>
      </c>
      <c r="T540" t="n">
        <v>0</v>
      </c>
      <c r="V540" t="n">
        <v>0</v>
      </c>
    </row>
    <row r="541">
      <c r="A541">
        <f>Skills!A17</f>
        <v/>
      </c>
      <c r="B541">
        <f>Skills!B17</f>
        <v/>
      </c>
      <c r="C541">
        <f>Inputs!$B$3&gt;=115</f>
        <v/>
      </c>
      <c r="D541">
        <f>IF(Skills!C17=1,60+Inputs!$B$25+Inputs!$B$29,IF(Skills!C17=2,90+Inputs!$B$26+Inputs!$B$29,IF(Skills!C17=3,120+Inputs!$B$27+Inputs!$B$29,MAX(0,(Inputs!$B$3-100)*3)+Inputs!$B$28+Inputs!$B$29)))</f>
        <v/>
      </c>
      <c r="E541">
        <f>INDEX(FactorTable!$B$2:$Y$301, MATCH(ROUND(MIN(300,MAX(1,D541)),0), FactorTable!$A$2:$A$301,0), Skills!M17+1)</f>
        <v/>
      </c>
      <c r="F541">
        <f>IF(Skills!N17=TRUE,(Skills!L17/10)*(E541/1000),Skills!L17/10)+Skills!O17</f>
        <v/>
      </c>
      <c r="G541">
        <f>Calc!G17</f>
        <v/>
      </c>
      <c r="H541">
        <f>Calc!H17</f>
        <v/>
      </c>
      <c r="I541">
        <f>IF(Skills!AA17&lt;&gt;"",1+(Skills!AA17/10)*(U527/1000)/100,1)</f>
        <v/>
      </c>
      <c r="J541">
        <f>((Inputs!$B$6*(1+Inputs!$B$7/100))+(((Inputs!$B$12*(1+Inputs!$B$13/100))-(Inputs!$B$12*(1+Inputs!$B$13/100)))+0.25*(Inputs!$B$14-Inputs!$B$14))*(1+Inputs!$B$7/100))*(F541/100)</f>
        <v/>
      </c>
      <c r="K541">
        <f>J541*(1+((Inputs!$B$12*(1+Inputs!$B$13/100))*0.01+Inputs!$B$14*0.0025)/100)*(1+Inputs!$B$15/100)*(1+Inputs!$B$16/100)*(5000/(6000+Inputs!$B$43*(1-Inputs!$B$19/100)))*(1+(Inputs!$B$24+((C554=TRUE)*(F554-Calc!F30)))/100)*(1+Skills!R17/100)*(1+(IF(Skills!A17="SHOWDOWN",Inputs!$B$17+((C547=TRUE)*(F547-Calc!F23)),Inputs!$B$18+((C553=TRUE)*(F553-Calc!F29))))/100)*(((1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B566*I541)</f>
        <v/>
      </c>
      <c r="L541">
        <f>K541*(MIN(Inputs!$B$22+((C548=TRUE)*(F548-Calc!F24)),Inputs!$B$23)/100+Inputs!$B$23/100)/2</f>
        <v/>
      </c>
      <c r="M541">
        <f>L541*(1+(Inputs!$B$10+((C550=TRUE)*(F550-Calc!F26))+B567)/100)</f>
        <v/>
      </c>
      <c r="N541">
        <f>L541*(1-MIN(((Inputs!$B$9+1)+((C549=TRUE)*(F549-Calc!F25))+B564),100)/100)+M541*(MIN(((Inputs!$B$9+1)+((C549=TRUE)*(F549-Calc!F25))+B564),100)/100)</f>
        <v/>
      </c>
      <c r="O541">
        <f>(1-Summary!$B$55)*T541+Summary!$B$55*V541</f>
        <v/>
      </c>
      <c r="P541">
        <f>IF(B568=0,0,O541/B568)</f>
        <v/>
      </c>
      <c r="Q541" t="n">
        <v>0</v>
      </c>
      <c r="R541" t="n">
        <v>0</v>
      </c>
      <c r="S541">
        <f>IFERROR(O541/N541,0)</f>
        <v/>
      </c>
      <c r="T541">
        <f>IF(C541,(Inputs!$B$38*0.2*N541)*IF(Inputs!$B$39="pvp",1,1+(Inputs!$B$20+((C551=TRUE)*(F551-Calc!F27))+Skills!P17+B565)/100),0)</f>
        <v/>
      </c>
      <c r="V541">
        <f>IF(C541,(Inputs!$B$38*0.2*N541)*IF(Inputs!$B$39="pvp",1,(1+(Inputs!$B$21+Skills!Q17+B565)/100)*(MIN(Skills!W17,Inputs!$B$37))),0)</f>
        <v/>
      </c>
    </row>
    <row r="542">
      <c r="A542">
        <f>Skills!A18</f>
        <v/>
      </c>
      <c r="B542">
        <f>Skills!B18</f>
        <v/>
      </c>
      <c r="C542">
        <f>Inputs!$B$3&gt;=115</f>
        <v/>
      </c>
      <c r="D542">
        <f>IF(Skills!C18=1,60+Inputs!$B$25+Inputs!$B$29,IF(Skills!C18=2,90+Inputs!$B$26+Inputs!$B$29,IF(Skills!C18=3,120+Inputs!$B$27+Inputs!$B$29,MAX(0,(Inputs!$B$3-100)*3)+Inputs!$B$28+Inputs!$B$29)))</f>
        <v/>
      </c>
      <c r="E542">
        <f>INDEX(FactorTable!$B$2:$Y$301, MATCH(ROUND(MIN(300,MAX(1,D542)),0), FactorTable!$A$2:$A$301,0), Skills!M18+1)</f>
        <v/>
      </c>
      <c r="F542">
        <f>IF(Skills!N18=TRUE,(Skills!L18/10)*(E542/1000),Skills!L18/10)+Skills!O18</f>
        <v/>
      </c>
      <c r="G542">
        <f>Calc!G18</f>
        <v/>
      </c>
      <c r="H542">
        <f>Calc!H18</f>
        <v/>
      </c>
      <c r="I542">
        <f>IF(Skills!AA18&lt;&gt;"",1+(Skills!AA18/10)*(U527/1000)/100,1)</f>
        <v/>
      </c>
      <c r="J542" t="inlineStr"/>
      <c r="K542" t="inlineStr"/>
      <c r="L542" t="inlineStr"/>
      <c r="M542" t="inlineStr"/>
      <c r="N542" t="inlineStr"/>
      <c r="O542">
        <f>(1-Summary!$B$55)*T542+Summary!$B$55*V542</f>
        <v/>
      </c>
      <c r="P542">
        <f>IF(B568=0,0,O542/B568)</f>
        <v/>
      </c>
      <c r="Q542" t="n">
        <v>0</v>
      </c>
      <c r="R542" t="n">
        <v>0</v>
      </c>
      <c r="S542">
        <f>IFERROR(O542/N542,0)</f>
        <v/>
      </c>
      <c r="T542" t="n">
        <v>0</v>
      </c>
      <c r="V542" t="n">
        <v>0</v>
      </c>
    </row>
    <row r="543">
      <c r="A543">
        <f>Skills!A19</f>
        <v/>
      </c>
      <c r="B543">
        <f>Skills!B19</f>
        <v/>
      </c>
      <c r="C543">
        <f>TRUE</f>
        <v/>
      </c>
      <c r="D543">
        <f>IF(Skills!C19=1,60+Inputs!$B$25+Inputs!$B$29,IF(Skills!C19=2,90+Inputs!$B$26+Inputs!$B$29,IF(Skills!C19=3,120+Inputs!$B$27+Inputs!$B$29,MAX(0,(Inputs!$B$3-100)*3)+Inputs!$B$28+Inputs!$B$29)))</f>
        <v/>
      </c>
      <c r="E543">
        <f>INDEX(FactorTable!$B$2:$Y$301, MATCH(ROUND(MIN(300,MAX(1,D543)),0), FactorTable!$A$2:$A$301,0), Skills!M19+1)</f>
        <v/>
      </c>
      <c r="F543">
        <f>IF(Skills!N19=TRUE,(Skills!L19/10)*(E543/1000),Skills!L19/10)+Skills!O19</f>
        <v/>
      </c>
      <c r="G543">
        <f>Calc!G19</f>
        <v/>
      </c>
      <c r="H543">
        <f>Calc!H19</f>
        <v/>
      </c>
      <c r="I543">
        <f>IF(Skills!AA19&lt;&gt;"",1+(Skills!AA19/10)*(U527/1000)/100,1)</f>
        <v/>
      </c>
      <c r="J543" t="inlineStr"/>
      <c r="K543" t="inlineStr"/>
      <c r="L543" t="inlineStr"/>
      <c r="M543" t="inlineStr"/>
      <c r="N543" t="inlineStr"/>
      <c r="O543">
        <f>(1-Summary!$B$55)*T543+Summary!$B$55*V543</f>
        <v/>
      </c>
      <c r="P543">
        <f>IF(B568=0,0,O543/B568)</f>
        <v/>
      </c>
      <c r="Q543">
        <f>IFERROR(1/IF(Inputs!$B$39="pvp",15,MAX(0.1,Skills!D19-IF(Skills!E19=TRUE,Inputs!$B$32,0))),0)</f>
        <v/>
      </c>
      <c r="R543">
        <f>IF(AND(Inputs!$B$39&lt;&gt;"pvp",Inputs!$B$44&gt;0),IF(Inputs!$B$44&lt;=0,0,(INT(Inputs!$B$44/IF(Inputs!$B$39="pvp",15,MAX(0.1,Skills!D19-IF(Skills!E19=TRUE,Inputs!$B$32,0))))+1)),0)</f>
        <v/>
      </c>
      <c r="S543">
        <f>IFERROR(O543/N543,0)</f>
        <v/>
      </c>
      <c r="T543" t="n">
        <v>0</v>
      </c>
      <c r="V543" t="n">
        <v>0</v>
      </c>
    </row>
    <row r="544">
      <c r="A544">
        <f>Skills!A20</f>
        <v/>
      </c>
      <c r="B544">
        <f>Skills!B20</f>
        <v/>
      </c>
      <c r="C544">
        <f>Inputs!$B$3&gt;=15</f>
        <v/>
      </c>
      <c r="D544">
        <f>IF(Skills!C20=1,60+Inputs!$B$25+Inputs!$B$29,IF(Skills!C20=2,90+Inputs!$B$26+Inputs!$B$29,IF(Skills!C20=3,120+Inputs!$B$27+Inputs!$B$29,MAX(0,(Inputs!$B$3-100)*3)+Inputs!$B$28+Inputs!$B$29)))</f>
        <v/>
      </c>
      <c r="E544">
        <f>INDEX(FactorTable!$B$2:$Y$301, MATCH(ROUND(MIN(300,MAX(1,D544)),0), FactorTable!$A$2:$A$301,0), Skills!M20+1)</f>
        <v/>
      </c>
      <c r="F544">
        <f>IF(Skills!N20=TRUE,(Skills!L20/10)*(E544/1000),Skills!L20/10)+Skills!O20</f>
        <v/>
      </c>
      <c r="G544">
        <f>Calc!G20</f>
        <v/>
      </c>
      <c r="H544">
        <f>Calc!H20</f>
        <v/>
      </c>
      <c r="I544">
        <f>IF(Skills!AA20&lt;&gt;"",1+(Skills!AA20/10)*(U527/1000)/100,1)</f>
        <v/>
      </c>
      <c r="J544" t="inlineStr"/>
      <c r="K544" t="inlineStr"/>
      <c r="L544" t="inlineStr"/>
      <c r="M544" t="inlineStr"/>
      <c r="N544" t="inlineStr"/>
      <c r="O544">
        <f>(1-Summary!$B$55)*T544+Summary!$B$55*V544</f>
        <v/>
      </c>
      <c r="P544">
        <f>IF(B568=0,0,O544/B568)</f>
        <v/>
      </c>
      <c r="Q544">
        <f>IFERROR(1/IF(Inputs!$B$39="pvp",15,MAX(0.1,Skills!D20-IF(Skills!E20=TRUE,Inputs!$B$32,0))),0)</f>
        <v/>
      </c>
      <c r="R544">
        <f>IF(AND(Inputs!$B$39&lt;&gt;"pvp",Inputs!$B$44&gt;0),IF(Inputs!$B$44&lt;=0,0,(INT(Inputs!$B$44/IF(Inputs!$B$39="pvp",15,MAX(0.1,Skills!D20-IF(Skills!E20=TRUE,Inputs!$B$32,0))))+1)),0)</f>
        <v/>
      </c>
      <c r="S544">
        <f>IFERROR(O544/N544,0)</f>
        <v/>
      </c>
      <c r="T544" t="n">
        <v>0</v>
      </c>
      <c r="V544" t="n">
        <v>0</v>
      </c>
    </row>
    <row r="545">
      <c r="A545">
        <f>Skills!A21</f>
        <v/>
      </c>
      <c r="B545">
        <f>Skills!B21</f>
        <v/>
      </c>
      <c r="C545">
        <f>Inputs!$B$3&gt;=15</f>
        <v/>
      </c>
      <c r="D545">
        <f>IF(Skills!C21=1,60+Inputs!$B$25+Inputs!$B$29,IF(Skills!C21=2,90+Inputs!$B$26+Inputs!$B$29,IF(Skills!C21=3,120+Inputs!$B$27+Inputs!$B$29,MAX(0,(Inputs!$B$3-100)*3)+Inputs!$B$28+Inputs!$B$29)))</f>
        <v/>
      </c>
      <c r="E545">
        <f>INDEX(FactorTable!$B$2:$Y$301, MATCH(ROUND(MIN(300,MAX(1,D545)),0), FactorTable!$A$2:$A$301,0), Skills!M21+1)</f>
        <v/>
      </c>
      <c r="F545">
        <f>IF(Skills!N21=TRUE,(Skills!L21/10)*(E545/1000),Skills!L21/10)+Skills!O21</f>
        <v/>
      </c>
      <c r="G545">
        <f>Calc!G21</f>
        <v/>
      </c>
      <c r="H545">
        <f>Calc!H21</f>
        <v/>
      </c>
      <c r="I545">
        <f>IF(Skills!AA21&lt;&gt;"",1+(Skills!AA21/10)*(U527/1000)/100,1)</f>
        <v/>
      </c>
      <c r="J545" t="inlineStr"/>
      <c r="K545" t="inlineStr"/>
      <c r="L545" t="inlineStr"/>
      <c r="M545" t="inlineStr"/>
      <c r="N545" t="inlineStr"/>
      <c r="O545">
        <f>(1-Summary!$B$55)*T545+Summary!$B$55*V545</f>
        <v/>
      </c>
      <c r="P545">
        <f>IF(B568=0,0,O545/B568)</f>
        <v/>
      </c>
      <c r="Q545">
        <f>IFERROR(1/IF(Inputs!$B$39="pvp",15,MAX(0.1,Skills!D21-IF(Skills!E21=TRUE,Inputs!$B$32,0))),0)</f>
        <v/>
      </c>
      <c r="R545">
        <f>IF(AND(Inputs!$B$39&lt;&gt;"pvp",Inputs!$B$44&gt;0),IF(Inputs!$B$44&lt;=0,0,(INT(Inputs!$B$44/IF(Inputs!$B$39="pvp",15,MAX(0.1,Skills!D21-IF(Skills!E21=TRUE,Inputs!$B$32,0))))+1)),0)</f>
        <v/>
      </c>
      <c r="S545">
        <f>IFERROR(O545/N545,0)</f>
        <v/>
      </c>
      <c r="T545" t="n">
        <v>0</v>
      </c>
      <c r="V545" t="n">
        <v>0</v>
      </c>
    </row>
    <row r="546">
      <c r="A546">
        <f>Skills!A22</f>
        <v/>
      </c>
      <c r="B546">
        <f>Skills!B22</f>
        <v/>
      </c>
      <c r="C546">
        <f>Inputs!$B$3&gt;=33</f>
        <v/>
      </c>
      <c r="D546">
        <f>IF(Skills!C22=1,60+Inputs!$B$25+Inputs!$B$29,IF(Skills!C22=2,90+Inputs!$B$26+Inputs!$B$29,IF(Skills!C22=3,120+Inputs!$B$27+Inputs!$B$29,MAX(0,(Inputs!$B$3-100)*3)+Inputs!$B$28+Inputs!$B$29)))</f>
        <v/>
      </c>
      <c r="E546">
        <f>INDEX(FactorTable!$B$2:$Y$301, MATCH(ROUND(MIN(300,MAX(1,D546)),0), FactorTable!$A$2:$A$301,0), Skills!M22+1)</f>
        <v/>
      </c>
      <c r="F546">
        <f>IF(Skills!N22=TRUE,(Skills!L22/10)*(E546/1000),Skills!L22/10)+Skills!O22</f>
        <v/>
      </c>
      <c r="G546">
        <f>Calc!G22</f>
        <v/>
      </c>
      <c r="H546">
        <f>Calc!H22</f>
        <v/>
      </c>
      <c r="I546">
        <f>IF(Skills!AA22&lt;&gt;"",1+(Skills!AA22/10)*(U527/1000)/100,1)</f>
        <v/>
      </c>
      <c r="J546" t="inlineStr"/>
      <c r="K546" t="inlineStr"/>
      <c r="L546" t="inlineStr"/>
      <c r="M546" t="inlineStr"/>
      <c r="N546" t="inlineStr"/>
      <c r="O546">
        <f>(1-Summary!$B$55)*T546+Summary!$B$55*V546</f>
        <v/>
      </c>
      <c r="P546">
        <f>IF(B568=0,0,O546/B568)</f>
        <v/>
      </c>
      <c r="Q546" t="n">
        <v>0</v>
      </c>
      <c r="R546" t="n">
        <v>0</v>
      </c>
      <c r="S546">
        <f>IFERROR(O546/N546,0)</f>
        <v/>
      </c>
      <c r="T546" t="n">
        <v>0</v>
      </c>
      <c r="V546" t="n">
        <v>0</v>
      </c>
    </row>
    <row r="547">
      <c r="A547">
        <f>Skills!A23</f>
        <v/>
      </c>
      <c r="B547">
        <f>Skills!B23</f>
        <v/>
      </c>
      <c r="C547">
        <f>Inputs!$B$3&gt;=38</f>
        <v/>
      </c>
      <c r="D547">
        <f>IF(Skills!C23=1,60+Inputs!$B$25+Inputs!$B$29,IF(Skills!C23=2,90+Inputs!$B$26+Inputs!$B$29,IF(Skills!C23=3,120+Inputs!$B$27+Inputs!$B$29,MAX(0,(Inputs!$B$3-100)*3)+Inputs!$B$28+Inputs!$B$29)))</f>
        <v/>
      </c>
      <c r="E547">
        <f>INDEX(FactorTable!$B$2:$Y$301, MATCH(ROUND(MIN(300,MAX(1,D547)),0), FactorTable!$A$2:$A$301,0), Skills!M23+1)</f>
        <v/>
      </c>
      <c r="F547">
        <f>IF(Skills!N23=TRUE,(Skills!L23/10)*(E547/1000),Skills!L23/10)+Skills!O23</f>
        <v/>
      </c>
      <c r="G547">
        <f>Calc!G23</f>
        <v/>
      </c>
      <c r="H547">
        <f>Calc!H23</f>
        <v/>
      </c>
      <c r="I547">
        <f>IF(Skills!AA23&lt;&gt;"",1+(Skills!AA23/10)*(U527/1000)/100,1)</f>
        <v/>
      </c>
      <c r="J547" t="inlineStr"/>
      <c r="K547" t="inlineStr"/>
      <c r="L547" t="inlineStr"/>
      <c r="M547" t="inlineStr"/>
      <c r="N547" t="inlineStr"/>
      <c r="O547">
        <f>(1-Summary!$B$55)*T547+Summary!$B$55*V547</f>
        <v/>
      </c>
      <c r="P547">
        <f>IF(B568=0,0,O547/B568)</f>
        <v/>
      </c>
      <c r="Q547" t="n">
        <v>0</v>
      </c>
      <c r="R547" t="n">
        <v>0</v>
      </c>
      <c r="S547">
        <f>IFERROR(O547/N547,0)</f>
        <v/>
      </c>
      <c r="T547" t="n">
        <v>0</v>
      </c>
      <c r="V547" t="n">
        <v>0</v>
      </c>
    </row>
    <row r="548">
      <c r="A548">
        <f>Skills!A24</f>
        <v/>
      </c>
      <c r="B548">
        <f>Skills!B24</f>
        <v/>
      </c>
      <c r="C548">
        <f>Inputs!$B$3&gt;=40</f>
        <v/>
      </c>
      <c r="D548">
        <f>IF(Skills!C24=1,60+Inputs!$B$25+Inputs!$B$29,IF(Skills!C24=2,90+Inputs!$B$26+Inputs!$B$29,IF(Skills!C24=3,120+Inputs!$B$27+Inputs!$B$29,MAX(0,(Inputs!$B$3-100)*3)+Inputs!$B$28+Inputs!$B$29)))</f>
        <v/>
      </c>
      <c r="E548">
        <f>INDEX(FactorTable!$B$2:$Y$301, MATCH(ROUND(MIN(300,MAX(1,D548)),0), FactorTable!$A$2:$A$301,0), Skills!M24+1)</f>
        <v/>
      </c>
      <c r="F548">
        <f>IF(Skills!N24=TRUE,(Skills!L24/10)*(E548/1000),Skills!L24/10)+Skills!O24</f>
        <v/>
      </c>
      <c r="G548">
        <f>Calc!G24</f>
        <v/>
      </c>
      <c r="H548">
        <f>Calc!H24</f>
        <v/>
      </c>
      <c r="I548">
        <f>IF(Skills!AA24&lt;&gt;"",1+(Skills!AA24/10)*(U527/1000)/100,1)</f>
        <v/>
      </c>
      <c r="J548" t="inlineStr"/>
      <c r="K548" t="inlineStr"/>
      <c r="L548" t="inlineStr"/>
      <c r="M548" t="inlineStr"/>
      <c r="N548" t="inlineStr"/>
      <c r="O548">
        <f>(1-Summary!$B$55)*T548+Summary!$B$55*V548</f>
        <v/>
      </c>
      <c r="P548">
        <f>IF(B568=0,0,O548/B568)</f>
        <v/>
      </c>
      <c r="Q548" t="n">
        <v>0</v>
      </c>
      <c r="R548" t="n">
        <v>0</v>
      </c>
      <c r="S548">
        <f>IFERROR(O548/N548,0)</f>
        <v/>
      </c>
      <c r="T548" t="n">
        <v>0</v>
      </c>
      <c r="V548" t="n">
        <v>0</v>
      </c>
    </row>
    <row r="549">
      <c r="A549">
        <f>Skills!A25</f>
        <v/>
      </c>
      <c r="B549">
        <f>Skills!B25</f>
        <v/>
      </c>
      <c r="C549">
        <f>Inputs!$B$3&gt;=45</f>
        <v/>
      </c>
      <c r="D549">
        <f>IF(Skills!C25=1,60+Inputs!$B$25+Inputs!$B$29,IF(Skills!C25=2,90+Inputs!$B$26+Inputs!$B$29,IF(Skills!C25=3,120+Inputs!$B$27+Inputs!$B$29,MAX(0,(Inputs!$B$3-100)*3)+Inputs!$B$28+Inputs!$B$29)))</f>
        <v/>
      </c>
      <c r="E549">
        <f>INDEX(FactorTable!$B$2:$Y$301, MATCH(ROUND(MIN(300,MAX(1,D549)),0), FactorTable!$A$2:$A$301,0), Skills!M25+1)</f>
        <v/>
      </c>
      <c r="F549">
        <f>IF(Skills!N25=TRUE,(Skills!L25/10)*(E549/1000),Skills!L25/10)+Skills!O25</f>
        <v/>
      </c>
      <c r="G549">
        <f>Calc!G25</f>
        <v/>
      </c>
      <c r="H549">
        <f>Calc!H25</f>
        <v/>
      </c>
      <c r="I549">
        <f>IF(Skills!AA25&lt;&gt;"",1+(Skills!AA25/10)*(U527/1000)/100,1)</f>
        <v/>
      </c>
      <c r="J549" t="inlineStr"/>
      <c r="K549" t="inlineStr"/>
      <c r="L549" t="inlineStr"/>
      <c r="M549" t="inlineStr"/>
      <c r="N549" t="inlineStr"/>
      <c r="O549">
        <f>(1-Summary!$B$55)*T549+Summary!$B$55*V549</f>
        <v/>
      </c>
      <c r="P549">
        <f>IF(B568=0,0,O549/B568)</f>
        <v/>
      </c>
      <c r="Q549" t="n">
        <v>0</v>
      </c>
      <c r="R549" t="n">
        <v>0</v>
      </c>
      <c r="S549">
        <f>IFERROR(O549/N549,0)</f>
        <v/>
      </c>
      <c r="T549" t="n">
        <v>0</v>
      </c>
      <c r="V549" t="n">
        <v>0</v>
      </c>
    </row>
    <row r="550">
      <c r="A550">
        <f>Skills!A26</f>
        <v/>
      </c>
      <c r="B550">
        <f>Skills!B26</f>
        <v/>
      </c>
      <c r="C550">
        <f>Inputs!$B$3&gt;=45</f>
        <v/>
      </c>
      <c r="D550">
        <f>IF(Skills!C26=1,60+Inputs!$B$25+Inputs!$B$29,IF(Skills!C26=2,90+Inputs!$B$26+Inputs!$B$29,IF(Skills!C26=3,120+Inputs!$B$27+Inputs!$B$29,MAX(0,(Inputs!$B$3-100)*3)+Inputs!$B$28+Inputs!$B$29)))</f>
        <v/>
      </c>
      <c r="E550">
        <f>INDEX(FactorTable!$B$2:$Y$301, MATCH(ROUND(MIN(300,MAX(1,D550)),0), FactorTable!$A$2:$A$301,0), Skills!M26+1)</f>
        <v/>
      </c>
      <c r="F550">
        <f>IF(Skills!N26=TRUE,(Skills!L26/10)*(E550/1000),Skills!L26/10)+Skills!O26</f>
        <v/>
      </c>
      <c r="G550">
        <f>Calc!G26</f>
        <v/>
      </c>
      <c r="H550">
        <f>Calc!H26</f>
        <v/>
      </c>
      <c r="I550">
        <f>IF(Skills!AA26&lt;&gt;"",1+(Skills!AA26/10)*(U527/1000)/100,1)</f>
        <v/>
      </c>
      <c r="J550" t="inlineStr"/>
      <c r="K550" t="inlineStr"/>
      <c r="L550" t="inlineStr"/>
      <c r="M550" t="inlineStr"/>
      <c r="N550" t="inlineStr"/>
      <c r="O550">
        <f>(1-Summary!$B$55)*T550+Summary!$B$55*V550</f>
        <v/>
      </c>
      <c r="P550">
        <f>IF(B568=0,0,O550/B568)</f>
        <v/>
      </c>
      <c r="Q550" t="n">
        <v>0</v>
      </c>
      <c r="R550" t="n">
        <v>0</v>
      </c>
      <c r="S550">
        <f>IFERROR(O550/N550,0)</f>
        <v/>
      </c>
      <c r="T550" t="n">
        <v>0</v>
      </c>
      <c r="V550" t="n">
        <v>0</v>
      </c>
    </row>
    <row r="551">
      <c r="A551">
        <f>Skills!A27</f>
        <v/>
      </c>
      <c r="B551">
        <f>Skills!B27</f>
        <v/>
      </c>
      <c r="C551">
        <f>Inputs!$B$3&gt;=72</f>
        <v/>
      </c>
      <c r="D551">
        <f>IF(Skills!C27=1,60+Inputs!$B$25+Inputs!$B$29,IF(Skills!C27=2,90+Inputs!$B$26+Inputs!$B$29,IF(Skills!C27=3,120+Inputs!$B$27+Inputs!$B$29,MAX(0,(Inputs!$B$3-100)*3)+Inputs!$B$28+Inputs!$B$29)))</f>
        <v/>
      </c>
      <c r="E551">
        <f>INDEX(FactorTable!$B$2:$Y$301, MATCH(ROUND(MIN(300,MAX(1,D551)),0), FactorTable!$A$2:$A$301,0), Skills!M27+1)</f>
        <v/>
      </c>
      <c r="F551">
        <f>IF(Skills!N27=TRUE,(Skills!L27/10)*(E551/1000),Skills!L27/10)+Skills!O27</f>
        <v/>
      </c>
      <c r="G551">
        <f>Calc!G27</f>
        <v/>
      </c>
      <c r="H551">
        <f>Calc!H27</f>
        <v/>
      </c>
      <c r="I551">
        <f>IF(Skills!AA27&lt;&gt;"",1+(Skills!AA27/10)*(U527/1000)/100,1)</f>
        <v/>
      </c>
      <c r="J551" t="inlineStr"/>
      <c r="K551" t="inlineStr"/>
      <c r="L551" t="inlineStr"/>
      <c r="M551" t="inlineStr"/>
      <c r="N551" t="inlineStr"/>
      <c r="O551">
        <f>(1-Summary!$B$55)*T551+Summary!$B$55*V551</f>
        <v/>
      </c>
      <c r="P551">
        <f>IF(B568=0,0,O551/B568)</f>
        <v/>
      </c>
      <c r="Q551" t="n">
        <v>0</v>
      </c>
      <c r="R551" t="n">
        <v>0</v>
      </c>
      <c r="S551">
        <f>IFERROR(O551/N551,0)</f>
        <v/>
      </c>
      <c r="T551" t="n">
        <v>0</v>
      </c>
      <c r="V551" t="n">
        <v>0</v>
      </c>
    </row>
    <row r="552">
      <c r="A552">
        <f>Skills!A28</f>
        <v/>
      </c>
      <c r="B552">
        <f>Skills!B28</f>
        <v/>
      </c>
      <c r="C552">
        <f>Inputs!$B$3&gt;=75</f>
        <v/>
      </c>
      <c r="D552">
        <f>IF(Skills!C28=1,60+Inputs!$B$25+Inputs!$B$29,IF(Skills!C28=2,90+Inputs!$B$26+Inputs!$B$29,IF(Skills!C28=3,120+Inputs!$B$27+Inputs!$B$29,MAX(0,(Inputs!$B$3-100)*3)+Inputs!$B$28+Inputs!$B$29)))</f>
        <v/>
      </c>
      <c r="E552">
        <f>INDEX(FactorTable!$B$2:$Y$301, MATCH(ROUND(MIN(300,MAX(1,D552)),0), FactorTable!$A$2:$A$301,0), Skills!M28+1)</f>
        <v/>
      </c>
      <c r="F552">
        <f>IF(Skills!N28=TRUE,(Skills!L28/10)*(E552/1000),Skills!L28/10)+Skills!O28</f>
        <v/>
      </c>
      <c r="G552">
        <f>Calc!G28</f>
        <v/>
      </c>
      <c r="H552">
        <f>Calc!H28</f>
        <v/>
      </c>
      <c r="I552">
        <f>IF(Skills!AA28&lt;&gt;"",1+(Skills!AA28/10)*(U527/1000)/100,1)</f>
        <v/>
      </c>
      <c r="J552" t="inlineStr"/>
      <c r="K552" t="inlineStr"/>
      <c r="L552" t="inlineStr"/>
      <c r="M552" t="inlineStr"/>
      <c r="N552" t="inlineStr"/>
      <c r="O552">
        <f>(1-Summary!$B$55)*T552+Summary!$B$55*V552</f>
        <v/>
      </c>
      <c r="P552">
        <f>IF(B568=0,0,O552/B568)</f>
        <v/>
      </c>
      <c r="Q552" t="n">
        <v>0</v>
      </c>
      <c r="R552" t="n">
        <v>0</v>
      </c>
      <c r="S552">
        <f>IFERROR(O552/N552,0)</f>
        <v/>
      </c>
      <c r="T552" t="n">
        <v>0</v>
      </c>
      <c r="V552" t="n">
        <v>0</v>
      </c>
    </row>
    <row r="553">
      <c r="A553">
        <f>Skills!A29</f>
        <v/>
      </c>
      <c r="B553">
        <f>Skills!B29</f>
        <v/>
      </c>
      <c r="C553">
        <f>Inputs!$B$3&gt;=120</f>
        <v/>
      </c>
      <c r="D553">
        <f>IF(Skills!C29=1,60+Inputs!$B$25+Inputs!$B$29,IF(Skills!C29=2,90+Inputs!$B$26+Inputs!$B$29,IF(Skills!C29=3,120+Inputs!$B$27+Inputs!$B$29,MAX(0,(Inputs!$B$3-100)*3)+Inputs!$B$28+Inputs!$B$29)))</f>
        <v/>
      </c>
      <c r="E553">
        <f>INDEX(FactorTable!$B$2:$Y$301, MATCH(ROUND(MIN(300,MAX(1,D553)),0), FactorTable!$A$2:$A$301,0), Skills!M29+1)</f>
        <v/>
      </c>
      <c r="F553">
        <f>IF(Skills!N29=TRUE,(Skills!L29/10)*(E553/1000),Skills!L29/10)+Skills!O29</f>
        <v/>
      </c>
      <c r="G553">
        <f>Calc!G29</f>
        <v/>
      </c>
      <c r="H553">
        <f>Calc!H29</f>
        <v/>
      </c>
      <c r="I553">
        <f>IF(Skills!AA29&lt;&gt;"",1+(Skills!AA29/10)*(U527/1000)/100,1)</f>
        <v/>
      </c>
      <c r="J553" t="inlineStr"/>
      <c r="K553" t="inlineStr"/>
      <c r="L553" t="inlineStr"/>
      <c r="M553" t="inlineStr"/>
      <c r="N553" t="inlineStr"/>
      <c r="O553">
        <f>(1-Summary!$B$55)*T553+Summary!$B$55*V553</f>
        <v/>
      </c>
      <c r="P553">
        <f>IF(B568=0,0,O553/B568)</f>
        <v/>
      </c>
      <c r="Q553" t="n">
        <v>0</v>
      </c>
      <c r="R553" t="n">
        <v>0</v>
      </c>
      <c r="S553">
        <f>IFERROR(O553/N553,0)</f>
        <v/>
      </c>
      <c r="T553" t="n">
        <v>0</v>
      </c>
      <c r="V553" t="n">
        <v>0</v>
      </c>
    </row>
    <row r="554">
      <c r="A554">
        <f>Skills!A30</f>
        <v/>
      </c>
      <c r="B554">
        <f>Skills!B30</f>
        <v/>
      </c>
      <c r="C554">
        <f>Inputs!$B$3&gt;=125</f>
        <v/>
      </c>
      <c r="D554">
        <f>IF(Skills!C30=1,60+Inputs!$B$25+Inputs!$B$29,IF(Skills!C30=2,90+Inputs!$B$26+Inputs!$B$29,IF(Skills!C30=3,120+Inputs!$B$27+Inputs!$B$29,MAX(0,(Inputs!$B$3-100)*3)+Inputs!$B$28+Inputs!$B$29)))</f>
        <v/>
      </c>
      <c r="E554">
        <f>INDEX(FactorTable!$B$2:$Y$301, MATCH(ROUND(MIN(300,MAX(1,D554)),0), FactorTable!$A$2:$A$301,0), Skills!M30+1)</f>
        <v/>
      </c>
      <c r="F554">
        <f>IF(Skills!N30=TRUE,(Skills!L30/10)*(E554/1000),Skills!L30/10)+Skills!O30</f>
        <v/>
      </c>
      <c r="G554">
        <f>Calc!G30</f>
        <v/>
      </c>
      <c r="H554">
        <f>Calc!H30</f>
        <v/>
      </c>
      <c r="I554">
        <f>IF(Skills!AA30&lt;&gt;"",1+(Skills!AA30/10)*(U527/1000)/100,1)</f>
        <v/>
      </c>
      <c r="J554" t="inlineStr"/>
      <c r="K554" t="inlineStr"/>
      <c r="L554" t="inlineStr"/>
      <c r="M554" t="inlineStr"/>
      <c r="N554" t="inlineStr"/>
      <c r="O554">
        <f>(1-Summary!$B$55)*T554+Summary!$B$55*V554</f>
        <v/>
      </c>
      <c r="P554">
        <f>IF(B568=0,0,O554/B568)</f>
        <v/>
      </c>
      <c r="Q554" t="n">
        <v>0</v>
      </c>
      <c r="R554" t="n">
        <v>0</v>
      </c>
      <c r="S554">
        <f>IFERROR(O554/N554,0)</f>
        <v/>
      </c>
      <c r="T554" t="n">
        <v>0</v>
      </c>
      <c r="V554" t="n">
        <v>0</v>
      </c>
    </row>
    <row r="555">
      <c r="A555">
        <f>Skills!A31</f>
        <v/>
      </c>
      <c r="B555">
        <f>Skills!B31</f>
        <v/>
      </c>
      <c r="C555">
        <f>Inputs!$B$3&gt;=107</f>
        <v/>
      </c>
      <c r="D555">
        <f>IF(Skills!C31=1,60+Inputs!$B$25+Inputs!$B$29,IF(Skills!C31=2,90+Inputs!$B$26+Inputs!$B$29,IF(Skills!C31=3,120+Inputs!$B$27+Inputs!$B$29,MAX(0,(Inputs!$B$3-100)*3)+Inputs!$B$28+Inputs!$B$29)))</f>
        <v/>
      </c>
      <c r="E555">
        <f>INDEX(FactorTable!$B$2:$Y$301, MATCH(ROUND(MIN(300,MAX(1,D555)),0), FactorTable!$A$2:$A$301,0), Skills!M31+1)</f>
        <v/>
      </c>
      <c r="F555">
        <f>IF(Skills!N31=TRUE,(Skills!L31/10)*(E555/1000),Skills!L31/10)+Skills!O31</f>
        <v/>
      </c>
      <c r="G555">
        <f>Calc!G31</f>
        <v/>
      </c>
      <c r="H555">
        <f>Calc!H31</f>
        <v/>
      </c>
      <c r="I555">
        <f>IF(Skills!AA31&lt;&gt;"",1+(Skills!AA31/10)*(U527/1000)/100,1)</f>
        <v/>
      </c>
      <c r="J555" t="inlineStr"/>
      <c r="K555" t="inlineStr"/>
      <c r="L555" t="inlineStr"/>
      <c r="M555" t="inlineStr"/>
      <c r="N555" t="inlineStr"/>
      <c r="O555">
        <f>(1-Summary!$B$55)*T555+Summary!$B$55*V555</f>
        <v/>
      </c>
      <c r="P555">
        <f>IF(B568=0,0,O555/B568)</f>
        <v/>
      </c>
      <c r="Q555" t="n">
        <v>0</v>
      </c>
      <c r="R555" t="n">
        <v>0</v>
      </c>
      <c r="S555">
        <f>IFERROR(O555/N555,0)</f>
        <v/>
      </c>
      <c r="T555" t="n">
        <v>0</v>
      </c>
      <c r="V555" t="n">
        <v>0</v>
      </c>
    </row>
    <row r="557">
      <c r="A557" t="inlineStr">
        <is>
          <t>Actions Per Second (pre-Adrenalin)</t>
        </is>
      </c>
      <c r="B557">
        <f>1+MIN(150,150*(1-(1-(Inputs!$B$11+((C546=TRUE)*(F546-Calc!F22)))/150)*(1-((C543=TRUE)*F543*IF(AND(Inputs!$B$39&lt;&gt;"pvp",Inputs!$B$44&gt;0),(((R543-1)*(Skills!Y19*(1+Inputs!$B$34/100))+MIN((Skills!Y19*(1+Inputs!$B$34/100)),MAX(0,Inputs!$B$44-((R543-1)*Skills!D19))))/Inputs!$B$44),IF(Inputs!$B$39="pvp",MIN((Skills!Y19*(1+Inputs!$B$34/100)),15)/15,(Skills!Y19*(1+Inputs!$B$34/100))/Skills!D19)))/150)))/100</f>
        <v/>
      </c>
    </row>
    <row r="558">
      <c r="A558" t="inlineStr">
        <is>
          <t>Alchemic Adrenaline Uptime</t>
        </is>
      </c>
      <c r="B558">
        <f>(Skills!Y6*(1+Inputs!$B$34/100))/((Skills!Y6*(1+Inputs!$B$34/100))+(5/B557))</f>
        <v/>
      </c>
    </row>
    <row r="559">
      <c r="A559" t="inlineStr">
        <is>
          <t>Attack Speed Buff Bonus %</t>
        </is>
      </c>
      <c r="B559">
        <f>((C543=TRUE)*F543*IF(AND(Inputs!$B$39&lt;&gt;"pvp",Inputs!$B$44&gt;0),(((R543-1)*(Skills!Y19*(1+Inputs!$B$34/100))+MIN((Skills!Y19*(1+Inputs!$B$34/100)),MAX(0,Inputs!$B$44-((R543-1)*Skills!D19))))/Inputs!$B$44),IF(Inputs!$B$39="pvp",MIN((Skills!Y19*(1+Inputs!$B$34/100)),15)/15,(Skills!Y19*(1+Inputs!$B$34/100))/Skills!D19)))+((C531=TRUE)*F531*B558)</f>
        <v/>
      </c>
    </row>
    <row r="560">
      <c r="A560" t="inlineStr">
        <is>
          <t>Actions Per Second (final)</t>
        </is>
      </c>
      <c r="B560">
        <f>1+MIN(150,150*(1-(1-(Inputs!$B$11+((C546=TRUE)*(F546-Calc!F22)))/150)*(1-B559/150)))/100</f>
        <v/>
      </c>
    </row>
    <row r="561">
      <c r="A561" t="inlineStr">
        <is>
          <t>Skill + Buff Cast Rate</t>
        </is>
      </c>
      <c r="B561">
        <f>IF(AND(Inputs!$B$39&lt;&gt;"pvp",Inputs!$B$44&gt;0),SUMPRODUCT((Skills!E2:E31=TRUE)*(C526:C555=TRUE)*R526:R555*Skills!F2:F31)/Inputs!$B$44,SUMPRODUCT((Skills!E2:E31=TRUE)*(C526:C555=TRUE)*Q526:Q555*Skills!F2:F31))</f>
        <v/>
      </c>
    </row>
    <row r="562">
      <c r="A562" t="inlineStr">
        <is>
          <t>Showdown Casts Per Second</t>
        </is>
      </c>
      <c r="B562">
        <f>MAX(0,B560-B561)</f>
        <v/>
      </c>
    </row>
    <row r="563">
      <c r="A563" t="inlineStr">
        <is>
          <t>Average Buff Multiplier</t>
        </is>
      </c>
      <c r="B563">
        <f>(1+(((C545=TRUE)*F545*IF(AND(Inputs!$B$39&lt;&gt;"pvp",Inputs!$B$44&gt;0),(((R545-1)*(Skills!Y21*(1+Inputs!$B$34/100))+MIN((Skills!Y21*(1+Inputs!$B$34/100)),MAX(0,Inputs!$B$44-((R545-1)*Skills!D21))))/Inputs!$B$44),IF(Inputs!$B$39="pvp",MIN((Skills!Y21*(1+Inputs!$B$34/100)),15)/15,(Skills!Y21*(1+Inputs!$B$34/100))/Skills!D21)))+((C552=TRUE)*(F552-Calc!F28))+((C542=TRUE)*(F542-Calc!F18)))/100)*(1+((C539=TRUE)*F539*IF(AND(Inputs!$B$39&lt;&gt;"pvp",Inputs!$B$44&gt;0),(((R539-1)*(Skills!Y15*(1+Inputs!$B$34/100))+MIN((Skills!Y15*(1+Inputs!$B$34/100)),MAX(0,Inputs!$B$44-((R539-1)*Skills!D15))))/Inputs!$B$44),IF(Inputs!$B$39="pvp",MIN((Skills!Y15*(1+Inputs!$B$34/100)),15)/15,(Skills!Y15*(1+Inputs!$B$34/100))/Skills!D15)))/100)*(1+((C530=TRUE)*F530*B558)/100)</f>
        <v/>
      </c>
    </row>
    <row r="564">
      <c r="A564" t="inlineStr">
        <is>
          <t>Global Crit Rate Bonus %</t>
        </is>
      </c>
      <c r="B564">
        <f>IF(Inputs!$B$3&gt;=47,8,0)+((C544=TRUE)*F544*IF(AND(Inputs!$B$39&lt;&gt;"pvp",Inputs!$B$44&gt;0),(((R544-1)*(Skills!Y20*(1+Inputs!$B$34/100))+MIN((Skills!Y20*(1+Inputs!$B$34/100)),MAX(0,Inputs!$B$44-((R544-1)*Skills!D20))))/Inputs!$B$44),IF(Inputs!$B$39="pvp",MIN((Skills!Y20*(1+Inputs!$B$34/100)),15)/15,(Skills!Y20*(1+Inputs!$B$34/100))/Skills!D20)))</f>
        <v/>
      </c>
    </row>
    <row r="565">
      <c r="A565" t="inlineStr">
        <is>
          <t>Global Monster Damage-Taken Bonus %</t>
        </is>
      </c>
      <c r="B565">
        <f>IF(Inputs!$B$3&gt;=82,15,0)+((C540=TRUE)*F540*IF(AND(Inputs!$B$39&lt;&gt;"pvp",Inputs!$B$44&gt;0),(((R540-1)*(Skills!Y16*(1+Inputs!$B$34/100))+MIN((Skills!Y16*(1+Inputs!$B$34/100)),MAX(0,Inputs!$B$44-((R540-1)*Skills!D16))))/Inputs!$B$44),IF(Inputs!$B$39="pvp",MIN((Skills!Y16*(1+Inputs!$B$34/100)),15)/15,(Skills!Y16*(1+Inputs!$B$34/100))/Skills!D16)))</f>
        <v/>
      </c>
    </row>
    <row r="566">
      <c r="A566" t="inlineStr">
        <is>
          <t>Shadow Partner Average Multiplier</t>
        </is>
      </c>
      <c r="B566">
        <f>1+((C535=TRUE)*F535*I535*Skills!J11/100)/100</f>
        <v/>
      </c>
    </row>
    <row r="567">
      <c r="A567" t="inlineStr">
        <is>
          <t>Global Critical Damage Bonus % (Frailty Curse Mastery Lv.111)</t>
        </is>
      </c>
      <c r="B567">
        <f>IF(Inputs!$B$3&gt;=111,30,0)*IF(AND(Inputs!$B$39&lt;&gt;"pvp",Inputs!$B$44&gt;0),(((R540-1)*(Skills!Y16*(1+Inputs!$B$34/100))+MIN((Skills!Y16*(1+Inputs!$B$34/100)),MAX(0,Inputs!$B$44-((R540-1)*Skills!D16))))/Inputs!$B$44),IF(Inputs!$B$39="pvp",MIN((Skills!Y16*(1+Inputs!$B$34/100)),15)/15,(Skills!Y16*(1+Inputs!$B$34/100))/Skills!D16))</f>
        <v/>
      </c>
    </row>
    <row r="568">
      <c r="A568" s="5" t="inlineStr">
        <is>
          <t>TOTAL DPS</t>
        </is>
      </c>
      <c r="B568" s="5">
        <f>SUM(O526:O555)</f>
        <v/>
      </c>
    </row>
    <row r="569">
      <c r="A569" t="inlineStr">
        <is>
          <t>Buff-Casting Startup Delay (s, fixed-duration only)</t>
        </is>
      </c>
      <c r="B569">
        <f>IF(AND(Inputs!$B$39&lt;&gt;"pvp",Inputs!$B$44&gt;0),SUMPRODUCT((Skills!Y2:Y31&gt;0)*(Skills!E2:E31=TRUE)*(C526:C555=TRUE))/B560,0)</f>
        <v/>
      </c>
    </row>
    <row r="570">
      <c r="A570" t="inlineStr">
        <is>
          <t>Boss-Only Total DPS (this block's swept value)</t>
        </is>
      </c>
      <c r="B570">
        <f>SUM(T526:T555)</f>
        <v/>
      </c>
    </row>
    <row r="571">
      <c r="A571" t="inlineStr">
        <is>
          <t>Normal-Only Total DPS (this block's swept value)</t>
        </is>
      </c>
      <c r="B571">
        <f>SUM(V526:V555)</f>
        <v/>
      </c>
    </row>
    <row r="573">
      <c r="A573" s="5" t="inlineStr">
        <is>
          <t>Stat: CRIT_DAMAGE %</t>
        </is>
      </c>
    </row>
    <row r="574">
      <c r="A574" s="9" t="inlineStr">
        <is>
          <t>Key</t>
        </is>
      </c>
      <c r="B574" s="9" t="inlineStr">
        <is>
          <t>Name</t>
        </is>
      </c>
      <c r="C574" s="9" t="inlineStr">
        <is>
          <t>Unlocked</t>
        </is>
      </c>
      <c r="D574" s="9" t="inlineStr">
        <is>
          <t>InputLevel</t>
        </is>
      </c>
      <c r="E574" s="9" t="inlineStr">
        <is>
          <t>Factor</t>
        </is>
      </c>
      <c r="F574" s="9" t="inlineStr">
        <is>
          <t>CoefficientPercent</t>
        </is>
      </c>
      <c r="G574" s="9" t="inlineStr">
        <is>
          <t>EffectiveHits</t>
        </is>
      </c>
      <c r="H574" s="9" t="inlineStr">
        <is>
          <t>ProcProbability</t>
        </is>
      </c>
      <c r="I574" s="9" t="inlineStr">
        <is>
          <t>MapleHeroMultiplier</t>
        </is>
      </c>
      <c r="J574" s="9" t="inlineStr">
        <is>
          <t>BaseDamage</t>
        </is>
      </c>
      <c r="K574" s="9" t="inlineStr">
        <is>
          <t>BaseHitDamage</t>
        </is>
      </c>
      <c r="L574" s="9" t="inlineStr">
        <is>
          <t>NonCritAvg</t>
        </is>
      </c>
      <c r="M574" s="9" t="inlineStr">
        <is>
          <t>CritAvg</t>
        </is>
      </c>
      <c r="N574" s="9" t="inlineStr">
        <is>
          <t>ExpectedDamage(perHit)</t>
        </is>
      </c>
      <c r="O574" s="9" t="inlineStr">
        <is>
          <t>DPS</t>
        </is>
      </c>
      <c r="P574" s="9" t="inlineStr">
        <is>
          <t>% of Total</t>
        </is>
      </c>
      <c r="Q574" s="9" t="inlineStr">
        <is>
          <t>InvCooldown</t>
        </is>
      </c>
      <c r="R574" s="9" t="inlineStr">
        <is>
          <t>CastsInFight</t>
        </is>
      </c>
      <c r="S574" s="9" t="inlineStr">
        <is>
          <t>HitRate(perSec)</t>
        </is>
      </c>
      <c r="U574" t="inlineStr">
        <is>
          <t>helpers</t>
        </is>
      </c>
    </row>
    <row r="575">
      <c r="A575">
        <f>Skills!A2</f>
        <v/>
      </c>
      <c r="B575">
        <f>Skills!B2</f>
        <v/>
      </c>
      <c r="C575">
        <f>Inputs!$B$3&gt;=100</f>
        <v/>
      </c>
      <c r="D575" t="inlineStr"/>
      <c r="E575" t="inlineStr"/>
      <c r="F575">
        <f>U579+Skills!O2</f>
        <v/>
      </c>
      <c r="G575">
        <f>Calc!G2</f>
        <v/>
      </c>
      <c r="H575">
        <f>Calc!H2</f>
        <v/>
      </c>
      <c r="I575">
        <f>IF(Skills!AA2&lt;&gt;"",1+(Skills!AA2/10)*(U576/1000)/100,1)</f>
        <v/>
      </c>
      <c r="J575">
        <f>((Inputs!$B$6*(1+Inputs!$B$7/100))+(((Inputs!$B$12*(1+Inputs!$B$13/100))-(Inputs!$B$12*(1+Inputs!$B$13/100)))+0.25*(Inputs!$B$14-Inputs!$B$14))*(1+Inputs!$B$7/100))*(F575/100)</f>
        <v/>
      </c>
      <c r="K575">
        <f>J575*(1+((Inputs!$B$12*(1+Inputs!$B$13/100))*0.01+Inputs!$B$14*0.0025)/100)*(1+Inputs!$B$15/100)*(1+Inputs!$B$16/100)*(5000/(6000+Inputs!$B$43*(1-Inputs!$B$19/100)))*(1+(Inputs!$B$24+((C603=TRUE)*(F603-Calc!F30)))/100)*(1+Skills!R2/100)*(1+(IF(Skills!A2="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575)</f>
        <v/>
      </c>
      <c r="L575">
        <f>K575*(MIN(Inputs!$B$22+((C597=TRUE)*(F597-Calc!F24)),Inputs!$B$23)/100+Inputs!$B$23/100)/2</f>
        <v/>
      </c>
      <c r="M575">
        <f>L575*(1+((Inputs!$B$10+1)+((C599=TRUE)*(F599-Calc!F26))+B616)/100)</f>
        <v/>
      </c>
      <c r="N575">
        <f>L575*(1-MIN((Inputs!$B$9+((C598=TRUE)*(F598-Calc!F25))+B613),100)/100)+M575*(MIN((Inputs!$B$9+((C598=TRUE)*(F598-Calc!F25))+B613),100)/100)</f>
        <v/>
      </c>
      <c r="O575">
        <f>(1-Summary!$B$55)*T575+Summary!$B$55*V575</f>
        <v/>
      </c>
      <c r="P575">
        <f>IF(B617=0,0,O575/B617)</f>
        <v/>
      </c>
      <c r="Q575" t="n">
        <v>0</v>
      </c>
      <c r="R575" t="n">
        <v>0</v>
      </c>
      <c r="S575">
        <f>IFERROR(O575/N575,0)</f>
        <v/>
      </c>
      <c r="T575">
        <f>IF(C575,(Skills!G2*N575*B611)*IF(Inputs!$B$39="pvp",1,1+(Inputs!$B$20+((C600=TRUE)*(F600-Calc!F27))+Skills!P2+B614)/100),0)</f>
        <v/>
      </c>
      <c r="U575">
        <f>MAX(0,(Inputs!$B$3-100)*3)+Inputs!$B$28+Inputs!$B$29</f>
        <v/>
      </c>
      <c r="V575">
        <f>IF(C575,(Skills!G2*N575*B611)*IF(Inputs!$B$39="pvp",1,(1+(Inputs!$B$21+Skills!Q2+B614)/100)*(MIN((6+Inputs!$B$33),Inputs!$B$37))),0)</f>
        <v/>
      </c>
    </row>
    <row r="576">
      <c r="A576">
        <f>Skills!A3</f>
        <v/>
      </c>
      <c r="B576">
        <f>Skills!B3</f>
        <v/>
      </c>
      <c r="C576">
        <f>Inputs!$B$3&gt;=35</f>
        <v/>
      </c>
      <c r="D576">
        <f>IF(Skills!C3=1,60+Inputs!$B$25+Inputs!$B$29,IF(Skills!C3=2,90+Inputs!$B$26+Inputs!$B$29,IF(Skills!C3=3,120+Inputs!$B$27+Inputs!$B$29,MAX(0,(Inputs!$B$3-100)*3)+Inputs!$B$28+Inputs!$B$29)))</f>
        <v/>
      </c>
      <c r="E576">
        <f>INDEX(FactorTable!$B$2:$Y$301, MATCH(ROUND(MIN(300,MAX(1,D576)),0), FactorTable!$A$2:$A$301,0), Skills!M3+1)</f>
        <v/>
      </c>
      <c r="F576">
        <f>IF(Skills!N3=TRUE,(Skills!L3/10)*(E576/1000),Skills!L3/10)+Skills!O3</f>
        <v/>
      </c>
      <c r="G576">
        <f>Calc!G3</f>
        <v/>
      </c>
      <c r="H576">
        <f>Calc!H3</f>
        <v/>
      </c>
      <c r="I576">
        <f>IF(Skills!AA3&lt;&gt;"",1+(Skills!AA3/10)*(U576/1000)/100,1)</f>
        <v/>
      </c>
      <c r="J576">
        <f>((Inputs!$B$6*(1+Inputs!$B$7/100))+(((Inputs!$B$12*(1+Inputs!$B$13/100))-(Inputs!$B$12*(1+Inputs!$B$13/100)))+0.25*(Inputs!$B$14-Inputs!$B$14))*(1+Inputs!$B$7/100))*(F576/100)</f>
        <v/>
      </c>
      <c r="K576">
        <f>J576*(1+((Inputs!$B$12*(1+Inputs!$B$13/100))*0.01+Inputs!$B$14*0.0025)/100)*(1+Inputs!$B$15/100)*(1+Inputs!$B$16/100)*(5000/(6000+Inputs!$B$43*(1-Inputs!$B$19/100)))*(1+(Inputs!$B$24+((C603=TRUE)*(F603-Calc!F30)))/100)*(1+Skills!R3/100)*(1+(IF(Skills!A3="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576)</f>
        <v/>
      </c>
      <c r="L576">
        <f>K576*(MIN(Inputs!$B$22+((C597=TRUE)*(F597-Calc!F24)),Inputs!$B$23)/100+Inputs!$B$23/100)/2</f>
        <v/>
      </c>
      <c r="M576">
        <f>L576*(1+((Inputs!$B$10+1)+((C599=TRUE)*(F599-Calc!F26))+B616)/100)</f>
        <v/>
      </c>
      <c r="N576">
        <f>L576*(1-MIN((Inputs!$B$9+((C598=TRUE)*(F598-Calc!F25))+B613),100)/100)+M576*(MIN((Inputs!$B$9+((C598=TRUE)*(F598-Calc!F25))+B613),100)/100)</f>
        <v/>
      </c>
      <c r="O576">
        <f>(1-Summary!$B$55)*T576+Summary!$B$55*V576</f>
        <v/>
      </c>
      <c r="P576">
        <f>IF(B617=0,0,O576/B617)</f>
        <v/>
      </c>
      <c r="Q576">
        <f>IFERROR(1/IF(Inputs!$B$39="pvp",15,MAX(0.1,Skills!D3-IF(Skills!E3=TRUE,Inputs!$B$32,0))),0)</f>
        <v/>
      </c>
      <c r="R576">
        <f>IF(AND(Inputs!$B$39&lt;&gt;"pvp",Inputs!$B$44&gt;0),IF(MAX(0,Inputs!$B$44-B618)&lt;=0,0,(INT(MAX(0,Inputs!$B$44-B618)/IF(Inputs!$B$39="pvp",15,MAX(0.1,Skills!D3-IF(Skills!E3=TRUE,Inputs!$B$32,0))))+1)),0)</f>
        <v/>
      </c>
      <c r="S576">
        <f>IFERROR(O576/N576,0)</f>
        <v/>
      </c>
      <c r="T576">
        <f>IF(C576,(H576*N576*IF(AND(Inputs!$B$39&lt;&gt;"pvp",Inputs!$B$44&gt;0),((Skills!G3*((R576-1)*IF(Skills!H3&gt;0,Skills!I3/Skills!H3,1)+IF(Skills!H3&gt;0,MIN(Skills!I3,MAX(0,MAX(0,Inputs!$B$44-B618)-((R576-1)*IF(Inputs!$B$39="pvp",15,MAX(0.1,Skills!D3-IF(Skills!E3=TRUE,Inputs!$B$32,0))))))/Skills!H3,1)))/Inputs!$B$44),G576*Q576))*IF(Inputs!$B$39="pvp",1,1+(Inputs!$B$20+((C600=TRUE)*(F600-Calc!F27))+Skills!P3+B614)/100),0)</f>
        <v/>
      </c>
      <c r="U576">
        <f>INDEX(FactorTable!$B$2:$Y$301, MATCH(ROUND(MIN(300,MAX(1,U575)),0), FactorTable!$A$2:$A$301,0), 24)</f>
        <v/>
      </c>
      <c r="V576">
        <f>IF(C576,(H576*N576*IF(AND(Inputs!$B$39&lt;&gt;"pvp",Inputs!$B$44&gt;0),((Skills!G3*((R576-1)*IF(Skills!H3&gt;0,Skills!I3/Skills!H3,1)+IF(Skills!H3&gt;0,MIN(Skills!I3,MAX(0,MAX(0,Inputs!$B$44-B618)-((R576-1)*IF(Inputs!$B$39="pvp",15,MAX(0.1,Skills!D3-IF(Skills!E3=TRUE,Inputs!$B$32,0))))))/Skills!H3,1)))/Inputs!$B$44),G576*Q576))*IF(Inputs!$B$39="pvp",1,(1+(Inputs!$B$21+Skills!Q3+B614)/100)*(MIN(Skills!W3,Inputs!$B$37))),0)</f>
        <v/>
      </c>
    </row>
    <row r="577">
      <c r="A577">
        <f>Skills!A4</f>
        <v/>
      </c>
      <c r="B577">
        <f>Skills!B4</f>
        <v/>
      </c>
      <c r="C577">
        <f>Inputs!$B$3&gt;=40</f>
        <v/>
      </c>
      <c r="D577">
        <f>IF(Skills!C4=1,60+Inputs!$B$25+Inputs!$B$29,IF(Skills!C4=2,90+Inputs!$B$26+Inputs!$B$29,IF(Skills!C4=3,120+Inputs!$B$27+Inputs!$B$29,MAX(0,(Inputs!$B$3-100)*3)+Inputs!$B$28+Inputs!$B$29)))</f>
        <v/>
      </c>
      <c r="E577">
        <f>INDEX(FactorTable!$B$2:$Y$301, MATCH(ROUND(MIN(300,MAX(1,D577)),0), FactorTable!$A$2:$A$301,0), Skills!M4+1)</f>
        <v/>
      </c>
      <c r="F577">
        <f>IF(Skills!N4=TRUE,(Skills!L4/10)*(E577/1000),Skills!L4/10)+Skills!O4</f>
        <v/>
      </c>
      <c r="G577">
        <f>Calc!G4</f>
        <v/>
      </c>
      <c r="H577">
        <f>Calc!H4</f>
        <v/>
      </c>
      <c r="I577">
        <f>IF(Skills!AA4&lt;&gt;"",1+(Skills!AA4/10)*(U576/1000)/100,1)</f>
        <v/>
      </c>
      <c r="J577">
        <f>((Inputs!$B$6*(1+Inputs!$B$7/100))+(((Inputs!$B$12*(1+Inputs!$B$13/100))-(Inputs!$B$12*(1+Inputs!$B$13/100)))+0.25*(Inputs!$B$14-Inputs!$B$14))*(1+Inputs!$B$7/100))*(F577/100)</f>
        <v/>
      </c>
      <c r="K577">
        <f>J577*(1+((Inputs!$B$12*(1+Inputs!$B$13/100))*0.01+Inputs!$B$14*0.0025)/100)*(1+Inputs!$B$15/100)*(1+Inputs!$B$16/100)*(5000/(6000+Inputs!$B$43*(1-Inputs!$B$19/100)))*(1+(Inputs!$B$24+((C603=TRUE)*(F603-Calc!F30)))/100)*(1+Skills!R4/100)*(1+(IF(Skills!A4="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577)</f>
        <v/>
      </c>
      <c r="L577">
        <f>K577*(MIN(Inputs!$B$22+((C597=TRUE)*(F597-Calc!F24)),Inputs!$B$23)/100+Inputs!$B$23/100)/2</f>
        <v/>
      </c>
      <c r="M577">
        <f>L577*(1+((Inputs!$B$10+1)+((C599=TRUE)*(F599-Calc!F26))+B616)/100)</f>
        <v/>
      </c>
      <c r="N577">
        <f>L577*(1-MIN((Inputs!$B$9+((C598=TRUE)*(F598-Calc!F25))+B613),100)/100)+M577*(MIN((Inputs!$B$9+((C598=TRUE)*(F598-Calc!F25))+B613),100)/100)</f>
        <v/>
      </c>
      <c r="O577">
        <f>(1-Summary!$B$55)*T577+Summary!$B$55*V577</f>
        <v/>
      </c>
      <c r="P577">
        <f>IF(B617=0,0,O577/B617)</f>
        <v/>
      </c>
      <c r="Q577">
        <f>IFERROR(1/IF(Inputs!$B$39="pvp",15,MAX(0.1,Skills!D4-IF(Skills!E4=TRUE,Inputs!$B$32,0))),0)</f>
        <v/>
      </c>
      <c r="R577">
        <f>IF(AND(Inputs!$B$39&lt;&gt;"pvp",Inputs!$B$44&gt;0),IF(MAX(0,Inputs!$B$44-B618)&lt;=0,0,(INT(MAX(0,Inputs!$B$44-B618)/IF(Inputs!$B$39="pvp",15,MAX(0.1,Skills!D4-IF(Skills!E4=TRUE,Inputs!$B$32,0))))+1)),0)</f>
        <v/>
      </c>
      <c r="S577">
        <f>IFERROR(O577/N577,0)</f>
        <v/>
      </c>
      <c r="T577">
        <f>IF(C577,(H577*N577*IF(AND(Inputs!$B$39&lt;&gt;"pvp",Inputs!$B$44&gt;0),((Skills!G4*((R577-1)*IF(Skills!H4&gt;0,Skills!I4/Skills!H4,1)+IF(Skills!H4&gt;0,MIN(Skills!I4,MAX(0,MAX(0,Inputs!$B$44-B618)-((R577-1)*IF(Inputs!$B$39="pvp",15,MAX(0.1,Skills!D4-IF(Skills!E4=TRUE,Inputs!$B$32,0))))))/Skills!H4,1)))/Inputs!$B$44),G577*Q577))*IF(Inputs!$B$39="pvp",1,1+(Inputs!$B$20+((C600=TRUE)*(F600-Calc!F27))+Skills!P4+B614)/100),0)</f>
        <v/>
      </c>
      <c r="U577">
        <f>MAX(0,(Inputs!$B$3-100)*3)+Inputs!$B$28+Inputs!$B$29</f>
        <v/>
      </c>
      <c r="V577">
        <f>IF(C577,(H577*N577*IF(AND(Inputs!$B$39&lt;&gt;"pvp",Inputs!$B$44&gt;0),((Skills!G4*((R577-1)*IF(Skills!H4&gt;0,Skills!I4/Skills!H4,1)+IF(Skills!H4&gt;0,MIN(Skills!I4,MAX(0,MAX(0,Inputs!$B$44-B618)-((R577-1)*IF(Inputs!$B$39="pvp",15,MAX(0.1,Skills!D4-IF(Skills!E4=TRUE,Inputs!$B$32,0))))))/Skills!H4,1)))/Inputs!$B$44),G577*Q577))*IF(Inputs!$B$39="pvp",1,(1+(Inputs!$B$21+Skills!Q4+B614)/100)*(MIN(Skills!W4,Inputs!$B$37))),0)</f>
        <v/>
      </c>
    </row>
    <row r="578">
      <c r="A578">
        <f>Skills!A5</f>
        <v/>
      </c>
      <c r="B578">
        <f>Skills!B5</f>
        <v/>
      </c>
      <c r="C578">
        <f>Inputs!$B$3&gt;=63</f>
        <v/>
      </c>
      <c r="D578">
        <f>IF(Skills!C5=1,60+Inputs!$B$25+Inputs!$B$29,IF(Skills!C5=2,90+Inputs!$B$26+Inputs!$B$29,IF(Skills!C5=3,120+Inputs!$B$27+Inputs!$B$29,MAX(0,(Inputs!$B$3-100)*3)+Inputs!$B$28+Inputs!$B$29)))</f>
        <v/>
      </c>
      <c r="E578">
        <f>INDEX(FactorTable!$B$2:$Y$301, MATCH(ROUND(MIN(300,MAX(1,D578)),0), FactorTable!$A$2:$A$301,0), Skills!M5+1)</f>
        <v/>
      </c>
      <c r="F578">
        <f>IF(Skills!N5=TRUE,(Skills!L5/10)*(E578/1000),Skills!L5/10)+Skills!O5</f>
        <v/>
      </c>
      <c r="G578">
        <f>Calc!G5</f>
        <v/>
      </c>
      <c r="H578">
        <f>Calc!H5</f>
        <v/>
      </c>
      <c r="I578">
        <f>IF(Skills!AA5&lt;&gt;"",1+(Skills!AA5/10)*(U576/1000)/100,1)</f>
        <v/>
      </c>
      <c r="J578">
        <f>((Inputs!$B$6*(1+Inputs!$B$7/100))+(((Inputs!$B$12*(1+Inputs!$B$13/100))-(Inputs!$B$12*(1+Inputs!$B$13/100)))+0.25*(Inputs!$B$14-Inputs!$B$14))*(1+Inputs!$B$7/100))*(F578/100)</f>
        <v/>
      </c>
      <c r="K578">
        <f>J578*(1+((Inputs!$B$12*(1+Inputs!$B$13/100))*0.01+Inputs!$B$14*0.0025)/100)*(1+Inputs!$B$15/100)*(1+Inputs!$B$16/100)*(5000/(6000+Inputs!$B$43*(1-Inputs!$B$19/100)))*(1+(Inputs!$B$24+((C603=TRUE)*(F603-Calc!F30)))/100)*(1+Skills!R5/100)*(1+(IF(Skills!A5="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578)</f>
        <v/>
      </c>
      <c r="L578">
        <f>K578*(MIN(Inputs!$B$22+((C597=TRUE)*(F597-Calc!F24)),Inputs!$B$23)/100+Inputs!$B$23/100)/2</f>
        <v/>
      </c>
      <c r="M578">
        <f>L578*(1+((Inputs!$B$10+1)+((C599=TRUE)*(F599-Calc!F26))+B616)/100)</f>
        <v/>
      </c>
      <c r="N578">
        <f>L578*(1-MIN((Inputs!$B$9+((C598=TRUE)*(F598-Calc!F25))+B613),100)/100)+M578*(MIN((Inputs!$B$9+((C598=TRUE)*(F598-Calc!F25))+B613),100)/100)</f>
        <v/>
      </c>
      <c r="O578">
        <f>(1-Summary!$B$55)*T578+Summary!$B$55*V578</f>
        <v/>
      </c>
      <c r="P578">
        <f>IF(B617=0,0,O578/B617)</f>
        <v/>
      </c>
      <c r="Q578">
        <f>IFERROR(1/IF(Inputs!$B$39="pvp",15,MAX(0.1,Skills!D5-IF(Skills!E5=TRUE,Inputs!$B$32,0))),0)</f>
        <v/>
      </c>
      <c r="R578">
        <f>IF(AND(Inputs!$B$39&lt;&gt;"pvp",Inputs!$B$44&gt;0),IF(MAX(0,Inputs!$B$44-B618)&lt;=0,0,(INT(MAX(0,Inputs!$B$44-B618)/IF(Inputs!$B$39="pvp",15,MAX(0.1,Skills!D5-IF(Skills!E5=TRUE,Inputs!$B$32,0))))+1)),0)</f>
        <v/>
      </c>
      <c r="S578">
        <f>IFERROR(O578/N578,0)</f>
        <v/>
      </c>
      <c r="T578">
        <f>IF(C578,(H578*N578*IF(AND(Inputs!$B$39&lt;&gt;"pvp",Inputs!$B$44&gt;0),((Skills!G5*((R578-1)*IF(Skills!H5&gt;0,Skills!I5/Skills!H5,1)+IF(Skills!H5&gt;0,MIN(Skills!I5,MAX(0,MAX(0,Inputs!$B$44-B618)-((R578-1)*IF(Inputs!$B$39="pvp",15,MAX(0.1,Skills!D5-IF(Skills!E5=TRUE,Inputs!$B$32,0))))))/Skills!H5,1)))/Inputs!$B$44),G578*Q578))*IF(Inputs!$B$39="pvp",1,1+(Inputs!$B$20+((C600=TRUE)*(F600-Calc!F27))+Skills!P5+B614)/100),0)</f>
        <v/>
      </c>
      <c r="U578">
        <f>INDEX(FactorTable!$B$2:$Y$301, MATCH(ROUND(MIN(300,MAX(1,U577)),0), FactorTable!$A$2:$A$301,0), 22)</f>
        <v/>
      </c>
      <c r="V578">
        <f>IF(C578,(H578*N578*IF(AND(Inputs!$B$39&lt;&gt;"pvp",Inputs!$B$44&gt;0),((Skills!G5*((R578-1)*IF(Skills!H5&gt;0,Skills!I5/Skills!H5,1)+IF(Skills!H5&gt;0,MIN(Skills!I5,MAX(0,MAX(0,Inputs!$B$44-B618)-((R578-1)*IF(Inputs!$B$39="pvp",15,MAX(0.1,Skills!D5-IF(Skills!E5=TRUE,Inputs!$B$32,0))))))/Skills!H5,1)))/Inputs!$B$44),G578*Q578))*IF(Inputs!$B$39="pvp",1,(1+(Inputs!$B$21+Skills!Q5+B614)/100)*(MIN(Skills!W5,Inputs!$B$37))),0)</f>
        <v/>
      </c>
    </row>
    <row r="579">
      <c r="A579">
        <f>Skills!A6</f>
        <v/>
      </c>
      <c r="B579">
        <f>Skills!B6</f>
        <v/>
      </c>
      <c r="C579">
        <f>Inputs!$B$3&gt;=66</f>
        <v/>
      </c>
      <c r="D579">
        <f>IF(Skills!C6=1,60+Inputs!$B$25+Inputs!$B$29,IF(Skills!C6=2,90+Inputs!$B$26+Inputs!$B$29,IF(Skills!C6=3,120+Inputs!$B$27+Inputs!$B$29,MAX(0,(Inputs!$B$3-100)*3)+Inputs!$B$28+Inputs!$B$29)))</f>
        <v/>
      </c>
      <c r="E579">
        <f>INDEX(FactorTable!$B$2:$Y$301, MATCH(ROUND(MIN(300,MAX(1,D579)),0), FactorTable!$A$2:$A$301,0), Skills!M6+1)</f>
        <v/>
      </c>
      <c r="F579">
        <f>IF(Skills!N6=TRUE,(Skills!L6/10)*(E579/1000),Skills!L6/10)+Skills!O6</f>
        <v/>
      </c>
      <c r="G579">
        <f>Calc!G6</f>
        <v/>
      </c>
      <c r="H579">
        <f>Calc!H6</f>
        <v/>
      </c>
      <c r="I579">
        <f>IF(Skills!AA6&lt;&gt;"",1+(Skills!AA6/10)*(U576/1000)/100,1)</f>
        <v/>
      </c>
      <c r="J579" t="inlineStr"/>
      <c r="K579" t="inlineStr"/>
      <c r="L579" t="inlineStr"/>
      <c r="M579" t="inlineStr"/>
      <c r="N579" t="inlineStr"/>
      <c r="O579">
        <f>(1-Summary!$B$55)*T579+Summary!$B$55*V579</f>
        <v/>
      </c>
      <c r="P579">
        <f>IF(B617=0,0,O579/B617)</f>
        <v/>
      </c>
      <c r="Q579" t="n">
        <v>0</v>
      </c>
      <c r="R579" t="n">
        <v>0</v>
      </c>
      <c r="S579">
        <f>IFERROR(O579/N579,0)</f>
        <v/>
      </c>
      <c r="T579" t="n">
        <v>0</v>
      </c>
      <c r="U579">
        <f>290*U578/1000</f>
        <v/>
      </c>
      <c r="V579" t="n">
        <v>0</v>
      </c>
    </row>
    <row r="580">
      <c r="A580">
        <f>Skills!A7</f>
        <v/>
      </c>
      <c r="B580">
        <f>Skills!B7</f>
        <v/>
      </c>
      <c r="C580">
        <f>Inputs!$B$3&gt;=66</f>
        <v/>
      </c>
      <c r="D580">
        <f>IF(Skills!C7=1,60+Inputs!$B$25+Inputs!$B$29,IF(Skills!C7=2,90+Inputs!$B$26+Inputs!$B$29,IF(Skills!C7=3,120+Inputs!$B$27+Inputs!$B$29,MAX(0,(Inputs!$B$3-100)*3)+Inputs!$B$28+Inputs!$B$29)))</f>
        <v/>
      </c>
      <c r="E580">
        <f>INDEX(FactorTable!$B$2:$Y$301, MATCH(ROUND(MIN(300,MAX(1,D580)),0), FactorTable!$A$2:$A$301,0), Skills!M7+1)</f>
        <v/>
      </c>
      <c r="F580">
        <f>IF(Skills!N7=TRUE,(Skills!L7/10)*(E580/1000),Skills!L7/10)+Skills!O7</f>
        <v/>
      </c>
      <c r="G580">
        <f>Calc!G7</f>
        <v/>
      </c>
      <c r="H580">
        <f>Calc!H7</f>
        <v/>
      </c>
      <c r="I580">
        <f>IF(Skills!AA7&lt;&gt;"",1+(Skills!AA7/10)*(U576/1000)/100,1)</f>
        <v/>
      </c>
      <c r="J580" t="inlineStr"/>
      <c r="K580" t="inlineStr"/>
      <c r="L580" t="inlineStr"/>
      <c r="M580" t="inlineStr"/>
      <c r="N580" t="inlineStr"/>
      <c r="O580">
        <f>(1-Summary!$B$55)*T580+Summary!$B$55*V580</f>
        <v/>
      </c>
      <c r="P580">
        <f>IF(B617=0,0,O580/B617)</f>
        <v/>
      </c>
      <c r="Q580" t="n">
        <v>0</v>
      </c>
      <c r="R580" t="n">
        <v>0</v>
      </c>
      <c r="S580">
        <f>IFERROR(O580/N580,0)</f>
        <v/>
      </c>
      <c r="T580" t="n">
        <v>0</v>
      </c>
      <c r="V580" t="n">
        <v>0</v>
      </c>
    </row>
    <row r="581">
      <c r="A581">
        <f>Skills!A8</f>
        <v/>
      </c>
      <c r="B581">
        <f>Skills!B8</f>
        <v/>
      </c>
      <c r="C581">
        <f>Inputs!$B$3&gt;=69</f>
        <v/>
      </c>
      <c r="D581">
        <f>IF(Skills!C8=1,60+Inputs!$B$25+Inputs!$B$29,IF(Skills!C8=2,90+Inputs!$B$26+Inputs!$B$29,IF(Skills!C8=3,120+Inputs!$B$27+Inputs!$B$29,MAX(0,(Inputs!$B$3-100)*3)+Inputs!$B$28+Inputs!$B$29)))</f>
        <v/>
      </c>
      <c r="E581">
        <f>INDEX(FactorTable!$B$2:$Y$301, MATCH(ROUND(MIN(300,MAX(1,D581)),0), FactorTable!$A$2:$A$301,0), Skills!M8+1)</f>
        <v/>
      </c>
      <c r="F581">
        <f>IF(Skills!N8=TRUE,(Skills!L8/10)*(E581/1000),Skills!L8/10)+Skills!O8</f>
        <v/>
      </c>
      <c r="G581">
        <f>Calc!G8</f>
        <v/>
      </c>
      <c r="H581">
        <f>Calc!H8</f>
        <v/>
      </c>
      <c r="I581">
        <f>IF(Skills!AA8&lt;&gt;"",1+(Skills!AA8/10)*(U576/1000)/100,1)</f>
        <v/>
      </c>
      <c r="J581">
        <f>((Inputs!$B$6*(1+Inputs!$B$7/100))+(((Inputs!$B$12*(1+Inputs!$B$13/100))-(Inputs!$B$12*(1+Inputs!$B$13/100)))+0.25*(Inputs!$B$14-Inputs!$B$14))*(1+Inputs!$B$7/100))*(F581/100)</f>
        <v/>
      </c>
      <c r="K581">
        <f>J581*(1+((Inputs!$B$12*(1+Inputs!$B$13/100))*0.01+Inputs!$B$14*0.0025)/100)*(1+Inputs!$B$15/100)*(1+Inputs!$B$16/100)*(5000/(6000+Inputs!$B$43*(1-Inputs!$B$19/100)))*(1+(Inputs!$B$24+((C603=TRUE)*(F603-Calc!F30)))/100)*(1+Skills!R8/100)*(1+(IF(Skills!A8="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581)</f>
        <v/>
      </c>
      <c r="L581">
        <f>K581*(MIN(Inputs!$B$22+((C597=TRUE)*(F597-Calc!F24)),Inputs!$B$23)/100+Inputs!$B$23/100)/2</f>
        <v/>
      </c>
      <c r="M581">
        <f>L581*(1+((Inputs!$B$10+1)+((C599=TRUE)*(F599-Calc!F26))+B616)/100)</f>
        <v/>
      </c>
      <c r="N581">
        <f>L581*(1-MIN((Inputs!$B$9+((C598=TRUE)*(F598-Calc!F25))+B613),100)/100)+M581*(MIN((Inputs!$B$9+((C598=TRUE)*(F598-Calc!F25))+B613),100)/100)</f>
        <v/>
      </c>
      <c r="O581">
        <f>(1-Summary!$B$55)*T581+Summary!$B$55*V581</f>
        <v/>
      </c>
      <c r="P581">
        <f>IF(B617=0,0,O581/B617)</f>
        <v/>
      </c>
      <c r="Q581">
        <f>IFERROR(1/IF(Inputs!$B$39="pvp",15,MAX(0.1,Skills!D8-IF(Skills!E8=TRUE,Inputs!$B$32,0))),0)</f>
        <v/>
      </c>
      <c r="R581">
        <f>IF(AND(Inputs!$B$39&lt;&gt;"pvp",Inputs!$B$44&gt;0),IF(MAX(0,Inputs!$B$44-B618)&lt;=0,0,(INT(MAX(0,Inputs!$B$44-B618)/IF(Inputs!$B$39="pvp",15,MAX(0.1,Skills!D8-IF(Skills!E8=TRUE,Inputs!$B$32,0))))+1)),0)</f>
        <v/>
      </c>
      <c r="S581">
        <f>IFERROR(O581/N581,0)</f>
        <v/>
      </c>
      <c r="T581">
        <f>IF(C581,(H581*N581*IF(AND(Inputs!$B$39&lt;&gt;"pvp",Inputs!$B$44&gt;0),((Skills!G8*((R581-1)*IF(Skills!H8&gt;0,Skills!I8/Skills!H8,1)+IF(Skills!H8&gt;0,MIN(Skills!I8,MAX(0,MAX(0,Inputs!$B$44-B618)-((R581-1)*IF(Inputs!$B$39="pvp",15,MAX(0.1,Skills!D8-IF(Skills!E8=TRUE,Inputs!$B$32,0))))))/Skills!H8,1)))/Inputs!$B$44),G581*Q581))*IF(Inputs!$B$39="pvp",1,1+(Inputs!$B$20+((C600=TRUE)*(F600-Calc!F27))+Skills!P8+B614)/100),0)</f>
        <v/>
      </c>
      <c r="V581">
        <f>IF(C581,(H581*N581*IF(AND(Inputs!$B$39&lt;&gt;"pvp",Inputs!$B$44&gt;0),((Skills!G8*((R581-1)*IF(Skills!H8&gt;0,Skills!I8/Skills!H8,1)+IF(Skills!H8&gt;0,MIN(Skills!I8,MAX(0,MAX(0,Inputs!$B$44-B618)-((R581-1)*IF(Inputs!$B$39="pvp",15,MAX(0.1,Skills!D8-IF(Skills!E8=TRUE,Inputs!$B$32,0))))))/Skills!H8,1)))/Inputs!$B$44),G581*Q581))*IF(Inputs!$B$39="pvp",1,(1+(Inputs!$B$21+Skills!Q8+B614)/100)*(MIN(Skills!W8,Inputs!$B$37))),0)</f>
        <v/>
      </c>
    </row>
    <row r="582">
      <c r="A582">
        <f>Skills!A9</f>
        <v/>
      </c>
      <c r="B582">
        <f>Skills!B9</f>
        <v/>
      </c>
      <c r="C582">
        <f>Inputs!$B$3&gt;=72</f>
        <v/>
      </c>
      <c r="D582">
        <f>IF(Skills!C9=1,60+Inputs!$B$25+Inputs!$B$29,IF(Skills!C9=2,90+Inputs!$B$26+Inputs!$B$29,IF(Skills!C9=3,120+Inputs!$B$27+Inputs!$B$29,MAX(0,(Inputs!$B$3-100)*3)+Inputs!$B$28+Inputs!$B$29)))</f>
        <v/>
      </c>
      <c r="E582">
        <f>INDEX(FactorTable!$B$2:$Y$301, MATCH(ROUND(MIN(300,MAX(1,D582)),0), FactorTable!$A$2:$A$301,0), Skills!M9+1)</f>
        <v/>
      </c>
      <c r="F582">
        <f>IF(Skills!N9=TRUE,(Skills!L9/10)*(E582/1000),Skills!L9/10)+Skills!O9</f>
        <v/>
      </c>
      <c r="G582">
        <f>Calc!G9</f>
        <v/>
      </c>
      <c r="H582">
        <f>Calc!H9</f>
        <v/>
      </c>
      <c r="I582">
        <f>IF(Skills!AA9&lt;&gt;"",1+(Skills!AA9/10)*(U576/1000)/100,1)</f>
        <v/>
      </c>
      <c r="J582">
        <f>((Inputs!$B$6*(1+Inputs!$B$7/100))+(((Inputs!$B$12*(1+Inputs!$B$13/100))-(Inputs!$B$12*(1+Inputs!$B$13/100)))+0.25*(Inputs!$B$14-Inputs!$B$14))*(1+Inputs!$B$7/100))*(F582/100)</f>
        <v/>
      </c>
      <c r="K582">
        <f>J582*(1+((Inputs!$B$12*(1+Inputs!$B$13/100))*0.01+Inputs!$B$14*0.0025)/100)*(1+Inputs!$B$15/100)*(1+Inputs!$B$16/100)*(5000/(6000+Inputs!$B$43*(1-Inputs!$B$19/100)))*(1+(Inputs!$B$24+((C603=TRUE)*(F603-Calc!F30)))/100)*(1+Skills!R9/100)*(1+(IF(Skills!A9="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582)</f>
        <v/>
      </c>
      <c r="L582">
        <f>K582*(MIN(Inputs!$B$22+((C597=TRUE)*(F597-Calc!F24)),Inputs!$B$23)/100+Inputs!$B$23/100)/2</f>
        <v/>
      </c>
      <c r="M582">
        <f>L582*(1+((Inputs!$B$10+1)+((C599=TRUE)*(F599-Calc!F26))+B616)/100)</f>
        <v/>
      </c>
      <c r="N582">
        <f>L582*(1-MIN((Inputs!$B$9+((C598=TRUE)*(F598-Calc!F25))+B613),100)/100)+M582*(MIN((Inputs!$B$9+((C598=TRUE)*(F598-Calc!F25))+B613),100)/100)</f>
        <v/>
      </c>
      <c r="O582">
        <f>(1-Summary!$B$55)*T582+Summary!$B$55*V582</f>
        <v/>
      </c>
      <c r="P582">
        <f>IF(B617=0,0,O582/B617)</f>
        <v/>
      </c>
      <c r="Q582">
        <f>IFERROR(1/IF(Inputs!$B$39="pvp",15,MAX(0.1,Skills!D9-IF(Skills!E9=TRUE,Inputs!$B$32,0))),0)</f>
        <v/>
      </c>
      <c r="R582">
        <f>IF(AND(Inputs!$B$39&lt;&gt;"pvp",Inputs!$B$44&gt;0),IF(MAX(0,Inputs!$B$44-B618)&lt;=0,0,(INT(MAX(0,Inputs!$B$44-B618)/IF(Inputs!$B$39="pvp",15,MAX(0.1,Skills!D9-IF(Skills!E9=TRUE,Inputs!$B$32,0))))+1)),0)</f>
        <v/>
      </c>
      <c r="S582">
        <f>IFERROR(O582/N582,0)</f>
        <v/>
      </c>
      <c r="T582">
        <f>IF(C582,(H582*N582*IF(AND(Inputs!$B$39&lt;&gt;"pvp",Inputs!$B$44&gt;0),((Skills!G9*((R582-1)*IF(Skills!H9&gt;0,Skills!I9/Skills!H9,1)+IF(Skills!H9&gt;0,MIN(Skills!I9,MAX(0,MAX(0,Inputs!$B$44-B618)-((R582-1)*IF(Inputs!$B$39="pvp",15,MAX(0.1,Skills!D9-IF(Skills!E9=TRUE,Inputs!$B$32,0))))))/Skills!H9,1)))/Inputs!$B$44),G582*Q582))*IF(Inputs!$B$39="pvp",1,1+(Inputs!$B$20+((C600=TRUE)*(F600-Calc!F27))+Skills!P9+B614)/100),0)</f>
        <v/>
      </c>
      <c r="V582">
        <f>IF(C582,(H582*N582*IF(AND(Inputs!$B$39&lt;&gt;"pvp",Inputs!$B$44&gt;0),((Skills!G9*((R582-1)*IF(Skills!H9&gt;0,Skills!I9/Skills!H9,1)+IF(Skills!H9&gt;0,MIN(Skills!I9,MAX(0,MAX(0,Inputs!$B$44-B618)-((R582-1)*IF(Inputs!$B$39="pvp",15,MAX(0.1,Skills!D9-IF(Skills!E9=TRUE,Inputs!$B$32,0))))))/Skills!H9,1)))/Inputs!$B$44),G582*Q582))*IF(Inputs!$B$39="pvp",1,(1+(Inputs!$B$21+Skills!Q9+B614)/100)*(MIN(Skills!W9,Inputs!$B$37))),0)</f>
        <v/>
      </c>
    </row>
    <row r="583">
      <c r="A583">
        <f>Skills!A10</f>
        <v/>
      </c>
      <c r="B583">
        <f>Skills!B10</f>
        <v/>
      </c>
      <c r="C583">
        <f>Inputs!$B$3&gt;=117</f>
        <v/>
      </c>
      <c r="D583">
        <f>IF(Skills!C10=1,60+Inputs!$B$25+Inputs!$B$29,IF(Skills!C10=2,90+Inputs!$B$26+Inputs!$B$29,IF(Skills!C10=3,120+Inputs!$B$27+Inputs!$B$29,MAX(0,(Inputs!$B$3-100)*3)+Inputs!$B$28+Inputs!$B$29)))</f>
        <v/>
      </c>
      <c r="E583">
        <f>INDEX(FactorTable!$B$2:$Y$301, MATCH(ROUND(MIN(300,MAX(1,D583)),0), FactorTable!$A$2:$A$301,0), Skills!M10+1)</f>
        <v/>
      </c>
      <c r="F583">
        <f>IF(Skills!N10=TRUE,(Skills!L10/10)*(E583/1000),Skills!L10/10)+Skills!O10</f>
        <v/>
      </c>
      <c r="G583">
        <f>Calc!G10</f>
        <v/>
      </c>
      <c r="H583">
        <f>Calc!H10</f>
        <v/>
      </c>
      <c r="I583">
        <f>IF(Skills!AA10&lt;&gt;"",1+(Skills!AA10/10)*(U576/1000)/100,1)</f>
        <v/>
      </c>
      <c r="J583">
        <f>((Inputs!$B$6*(1+Inputs!$B$7/100))+(((Inputs!$B$12*(1+Inputs!$B$13/100))-(Inputs!$B$12*(1+Inputs!$B$13/100)))+0.25*(Inputs!$B$14-Inputs!$B$14))*(1+Inputs!$B$7/100))*(F583/100)</f>
        <v/>
      </c>
      <c r="K583">
        <f>J583*(1+((Inputs!$B$12*(1+Inputs!$B$13/100))*0.01+Inputs!$B$14*0.0025)/100)*(1+Inputs!$B$15/100)*(1+Inputs!$B$16/100)*(5000/(6000+Inputs!$B$43*(1-Inputs!$B$19/100)))*(1+(Inputs!$B$24+((C603=TRUE)*(F603-Calc!F30)))/100)*(1+Skills!R10/100)*(1+(IF(Skills!A10="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583)</f>
        <v/>
      </c>
      <c r="L583">
        <f>K583*(MIN(Inputs!$B$22+((C597=TRUE)*(F597-Calc!F24)),Inputs!$B$23)/100+Inputs!$B$23/100)/2</f>
        <v/>
      </c>
      <c r="M583">
        <f>L583*(1+((Inputs!$B$10+1)+((C599=TRUE)*(F599-Calc!F26))+B616)/100)</f>
        <v/>
      </c>
      <c r="N583">
        <f>L583*(1-MIN((Inputs!$B$9+((C598=TRUE)*(F598-Calc!F25))+B613),100)/100)+M583*(MIN((Inputs!$B$9+((C598=TRUE)*(F598-Calc!F25))+B613),100)/100)</f>
        <v/>
      </c>
      <c r="O583">
        <f>(1-Summary!$B$55)*T583+Summary!$B$55*V583</f>
        <v/>
      </c>
      <c r="P583">
        <f>IF(B617=0,0,O583/B617)</f>
        <v/>
      </c>
      <c r="Q583" t="n">
        <v>0</v>
      </c>
      <c r="R583" t="n">
        <v>0</v>
      </c>
      <c r="S583" t="n">
        <v>0</v>
      </c>
      <c r="T583">
        <f>IF(C583,(0.2*SUMPRODUCT((Skills!Z2:Z31=TRUE)*(C575:C604=TRUE)*S575:S604)*N583)*IF(Inputs!$B$39="pvp",1,1+(Inputs!$B$20+((C600=TRUE)*(F600-Calc!F27))+Skills!P10+B614)/100),0)</f>
        <v/>
      </c>
      <c r="V583">
        <f>IF(C583,(0.2*SUMPRODUCT((Skills!Z2:Z31=TRUE)*(C575:C604=TRUE)*S575:S604)*N583)*IF(Inputs!$B$39="pvp",1,(1+(Inputs!$B$21+Skills!Q10+B614)/100)*(MIN(Skills!W10,Inputs!$B$37))),0)</f>
        <v/>
      </c>
    </row>
    <row r="584">
      <c r="A584">
        <f>Skills!A11</f>
        <v/>
      </c>
      <c r="B584">
        <f>Skills!B11</f>
        <v/>
      </c>
      <c r="C584">
        <f>Inputs!$B$3&gt;=60</f>
        <v/>
      </c>
      <c r="D584">
        <f>IF(Skills!C11=1,60+Inputs!$B$25+Inputs!$B$29,IF(Skills!C11=2,90+Inputs!$B$26+Inputs!$B$29,IF(Skills!C11=3,120+Inputs!$B$27+Inputs!$B$29,MAX(0,(Inputs!$B$3-100)*3)+Inputs!$B$28+Inputs!$B$29)))</f>
        <v/>
      </c>
      <c r="E584">
        <f>INDEX(FactorTable!$B$2:$Y$301, MATCH(ROUND(MIN(300,MAX(1,D584)),0), FactorTable!$A$2:$A$301,0), Skills!M11+1)</f>
        <v/>
      </c>
      <c r="F584">
        <f>IF(Skills!N11=TRUE,(Skills!L11/10)*(E584/1000),Skills!L11/10)+Skills!O11</f>
        <v/>
      </c>
      <c r="G584">
        <f>Calc!G11</f>
        <v/>
      </c>
      <c r="H584">
        <f>Calc!H11</f>
        <v/>
      </c>
      <c r="I584">
        <f>IF(Skills!AA11&lt;&gt;"",1+(Skills!AA11/10)*(U576/1000)/100,1)</f>
        <v/>
      </c>
      <c r="J584" t="inlineStr"/>
      <c r="K584" t="inlineStr"/>
      <c r="L584" t="inlineStr"/>
      <c r="M584" t="inlineStr"/>
      <c r="N584" t="inlineStr"/>
      <c r="O584">
        <f>(1-Summary!$B$55)*T584+Summary!$B$55*V584</f>
        <v/>
      </c>
      <c r="P584">
        <f>IF(B617=0,0,O584/B617)</f>
        <v/>
      </c>
      <c r="Q584" t="n">
        <v>0</v>
      </c>
      <c r="R584" t="n">
        <v>0</v>
      </c>
      <c r="S584">
        <f>IFERROR(O584/N584,0)</f>
        <v/>
      </c>
      <c r="T584" t="n">
        <v>0</v>
      </c>
      <c r="V584" t="n">
        <v>0</v>
      </c>
    </row>
    <row r="585">
      <c r="A585">
        <f>Skills!A12</f>
        <v/>
      </c>
      <c r="B585">
        <f>Skills!B12</f>
        <v/>
      </c>
      <c r="C585">
        <f>Inputs!$B$3&gt;=103</f>
        <v/>
      </c>
      <c r="D585">
        <f>IF(Skills!C12=1,60+Inputs!$B$25+Inputs!$B$29,IF(Skills!C12=2,90+Inputs!$B$26+Inputs!$B$29,IF(Skills!C12=3,120+Inputs!$B$27+Inputs!$B$29,MAX(0,(Inputs!$B$3-100)*3)+Inputs!$B$28+Inputs!$B$29)))</f>
        <v/>
      </c>
      <c r="E585">
        <f>INDEX(FactorTable!$B$2:$Y$301, MATCH(ROUND(MIN(300,MAX(1,D585)),0), FactorTable!$A$2:$A$301,0), Skills!M12+1)</f>
        <v/>
      </c>
      <c r="F585">
        <f>IF(Skills!N12=TRUE,(Skills!L12/10)*(E585/1000),Skills!L12/10)+Skills!O12</f>
        <v/>
      </c>
      <c r="G585">
        <f>Calc!G12</f>
        <v/>
      </c>
      <c r="H585">
        <f>Calc!H12</f>
        <v/>
      </c>
      <c r="I585">
        <f>IF(Skills!AA12&lt;&gt;"",1+(Skills!AA12/10)*(U576/1000)/100,1)</f>
        <v/>
      </c>
      <c r="J585">
        <f>((Inputs!$B$6*(1+Inputs!$B$7/100))+(((Inputs!$B$12*(1+Inputs!$B$13/100))-(Inputs!$B$12*(1+Inputs!$B$13/100)))+0.25*(Inputs!$B$14-Inputs!$B$14))*(1+Inputs!$B$7/100))*(F585/100)</f>
        <v/>
      </c>
      <c r="K585">
        <f>J585*(1+((Inputs!$B$12*(1+Inputs!$B$13/100))*0.01+Inputs!$B$14*0.0025)/100)*(1+Inputs!$B$15/100)*(1+Inputs!$B$16/100)*(5000/(6000+Inputs!$B$43*(1-Inputs!$B$19/100)))*(1+(Inputs!$B$24+((C603=TRUE)*(F603-Calc!F30)))/100)*(1+Skills!R12/100)*(1+(IF(Skills!A12="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585)</f>
        <v/>
      </c>
      <c r="L585">
        <f>K585*(MIN(Inputs!$B$22+((C597=TRUE)*(F597-Calc!F24)),Inputs!$B$23)/100+Inputs!$B$23/100)/2</f>
        <v/>
      </c>
      <c r="M585">
        <f>L585*(1+((Inputs!$B$10+1)+((C599=TRUE)*(F599-Calc!F26))+B616)/100)</f>
        <v/>
      </c>
      <c r="N585">
        <f>L585*(1-MIN((Inputs!$B$9+((C598=TRUE)*(F598-Calc!F25))+B613),100)/100)+M585*(MIN((Inputs!$B$9+((C598=TRUE)*(F598-Calc!F25))+B613),100)/100)</f>
        <v/>
      </c>
      <c r="O585">
        <f>(1-Summary!$B$55)*T585+Summary!$B$55*V585</f>
        <v/>
      </c>
      <c r="P585">
        <f>IF(B617=0,0,O585/B617)</f>
        <v/>
      </c>
      <c r="Q585">
        <f>IFERROR(1/IF(Inputs!$B$39="pvp",15,MAX(0.1,Skills!D12-IF(Skills!E12=TRUE,Inputs!$B$32,0))),0)</f>
        <v/>
      </c>
      <c r="R585">
        <f>IF(AND(Inputs!$B$39&lt;&gt;"pvp",Inputs!$B$44&gt;0),IF(MAX(0,Inputs!$B$44-B618)&lt;=0,0,(INT(MAX(0,Inputs!$B$44-B618)/IF(Inputs!$B$39="pvp",15,MAX(0.1,Skills!D12-IF(Skills!E12=TRUE,Inputs!$B$32,0))))+1)),0)</f>
        <v/>
      </c>
      <c r="S585">
        <f>IFERROR(O585/N585,0)</f>
        <v/>
      </c>
      <c r="T585">
        <f>IF(C585,(H585*N585*IF(AND(Inputs!$B$39&lt;&gt;"pvp",Inputs!$B$44&gt;0),((Skills!G12*((R585-1)*IF(Skills!H12&gt;0,Skills!I12/Skills!H12,1)+IF(Skills!H12&gt;0,MIN(Skills!I12,MAX(0,MAX(0,Inputs!$B$44-B618)-((R585-1)*IF(Inputs!$B$39="pvp",15,MAX(0.1,Skills!D12-IF(Skills!E12=TRUE,Inputs!$B$32,0))))))/Skills!H12,1)))/Inputs!$B$44),G585*Q585))*IF(Inputs!$B$39="pvp",1,1+(Inputs!$B$20+((C600=TRUE)*(F600-Calc!F27))+Skills!P12+B614)/100),0)</f>
        <v/>
      </c>
      <c r="V585">
        <f>IF(C585,(H585*N585*IF(AND(Inputs!$B$39&lt;&gt;"pvp",Inputs!$B$44&gt;0),((Skills!G12*((R585-1)*IF(Skills!H12&gt;0,Skills!I12/Skills!H12,1)+IF(Skills!H12&gt;0,MIN(Skills!I12,MAX(0,MAX(0,Inputs!$B$44-B618)-((R585-1)*IF(Inputs!$B$39="pvp",15,MAX(0.1,Skills!D12-IF(Skills!E12=TRUE,Inputs!$B$32,0))))))/Skills!H12,1)))/Inputs!$B$44),G585*Q585))*IF(Inputs!$B$39="pvp",1,(1+(Inputs!$B$21+Skills!Q12+B614)/100)*(MIN(Skills!W12,Inputs!$B$37))),0)</f>
        <v/>
      </c>
    </row>
    <row r="586">
      <c r="A586">
        <f>Skills!A13</f>
        <v/>
      </c>
      <c r="B586">
        <f>Skills!B13</f>
        <v/>
      </c>
      <c r="C586">
        <f>Inputs!$B$3&gt;=105</f>
        <v/>
      </c>
      <c r="D586">
        <f>IF(Skills!C13=1,60+Inputs!$B$25+Inputs!$B$29,IF(Skills!C13=2,90+Inputs!$B$26+Inputs!$B$29,IF(Skills!C13=3,120+Inputs!$B$27+Inputs!$B$29,MAX(0,(Inputs!$B$3-100)*3)+Inputs!$B$28+Inputs!$B$29)))</f>
        <v/>
      </c>
      <c r="E586">
        <f>INDEX(FactorTable!$B$2:$Y$301, MATCH(ROUND(MIN(300,MAX(1,D586)),0), FactorTable!$A$2:$A$301,0), Skills!M13+1)</f>
        <v/>
      </c>
      <c r="F586">
        <f>IF(Skills!N13=TRUE,(Skills!L13/10)*(E586/1000),Skills!L13/10)+Skills!O13</f>
        <v/>
      </c>
      <c r="G586">
        <f>Calc!G13</f>
        <v/>
      </c>
      <c r="H586">
        <f>Calc!H13</f>
        <v/>
      </c>
      <c r="I586">
        <f>IF(Skills!AA13&lt;&gt;"",1+(Skills!AA13/10)*(U576/1000)/100,1)</f>
        <v/>
      </c>
      <c r="J586">
        <f>((Inputs!$B$6*(1+Inputs!$B$7/100))+(((Inputs!$B$12*(1+Inputs!$B$13/100))-(Inputs!$B$12*(1+Inputs!$B$13/100)))+0.25*(Inputs!$B$14-Inputs!$B$14))*(1+Inputs!$B$7/100))*(F586/100)</f>
        <v/>
      </c>
      <c r="K586">
        <f>J586*(1+((Inputs!$B$12*(1+Inputs!$B$13/100))*0.01+Inputs!$B$14*0.0025)/100)*(1+Inputs!$B$15/100)*(1+Inputs!$B$16/100)*(5000/(6000+Inputs!$B$43*(1-Inputs!$B$19/100)))*(1+(Inputs!$B$24+((C603=TRUE)*(F603-Calc!F30)))/100)*(1+Skills!R13/100)*(1+(IF(Skills!A13="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586)</f>
        <v/>
      </c>
      <c r="L586">
        <f>K586*(MIN(Inputs!$B$22+((C597=TRUE)*(F597-Calc!F24)),Inputs!$B$23)/100+Inputs!$B$23/100)/2</f>
        <v/>
      </c>
      <c r="M586">
        <f>L586*(1+((Inputs!$B$10+1)+((C599=TRUE)*(F599-Calc!F26))+B616)/100)</f>
        <v/>
      </c>
      <c r="N586">
        <f>L586*(1-MIN((Inputs!$B$9+((C598=TRUE)*(F598-Calc!F25))+B613),100)/100)+M586*(MIN((Inputs!$B$9+((C598=TRUE)*(F598-Calc!F25))+B613),100)/100)</f>
        <v/>
      </c>
      <c r="O586">
        <f>(1-Summary!$B$55)*T586+Summary!$B$55*V586</f>
        <v/>
      </c>
      <c r="P586">
        <f>IF(B617=0,0,O586/B617)</f>
        <v/>
      </c>
      <c r="Q586">
        <f>IFERROR(1/IF(Inputs!$B$39="pvp",15,MAX(0.1,Skills!D13-IF(Skills!E13=TRUE,Inputs!$B$32,0))),0)</f>
        <v/>
      </c>
      <c r="R586">
        <f>IF(AND(Inputs!$B$39&lt;&gt;"pvp",Inputs!$B$44&gt;0),IF(MAX(0,Inputs!$B$44-B618)&lt;=0,0,(INT(MAX(0,Inputs!$B$44-B618)/IF(Inputs!$B$39="pvp",15,MAX(0.1,Skills!D13-IF(Skills!E13=TRUE,Inputs!$B$32,0))))+1)),0)</f>
        <v/>
      </c>
      <c r="S586">
        <f>IFERROR(O586/N586,0)</f>
        <v/>
      </c>
      <c r="T586">
        <f>IF(C586,(H586*N586*IF(AND(Inputs!$B$39&lt;&gt;"pvp",Inputs!$B$44&gt;0),((Skills!G13*((R586-1)*IF(Skills!H13&gt;0,Skills!I13/Skills!H13,1)+IF(Skills!H13&gt;0,MIN(Skills!I13,MAX(0,MAX(0,Inputs!$B$44-B618)-((R586-1)*IF(Inputs!$B$39="pvp",15,MAX(0.1,Skills!D13-IF(Skills!E13=TRUE,Inputs!$B$32,0))))))/Skills!H13,1)))/Inputs!$B$44),G586*Q586))*IF(Inputs!$B$39="pvp",1,1+(Inputs!$B$20+((C600=TRUE)*(F600-Calc!F27))+Skills!P13+B614)/100),0)</f>
        <v/>
      </c>
      <c r="V586">
        <f>IF(C586,(H586*N586*IF(AND(Inputs!$B$39&lt;&gt;"pvp",Inputs!$B$44&gt;0),((Skills!G13*((R586-1)*IF(Skills!H13&gt;0,Skills!I13/Skills!H13,1)+IF(Skills!H13&gt;0,MIN(Skills!I13,MAX(0,MAX(0,Inputs!$B$44-B618)-((R586-1)*IF(Inputs!$B$39="pvp",15,MAX(0.1,Skills!D13-IF(Skills!E13=TRUE,Inputs!$B$32,0))))))/Skills!H13,1)))/Inputs!$B$44),G586*Q586))*IF(Inputs!$B$39="pvp",1,(1+(Inputs!$B$21+Skills!Q13+B614)/100)*(MIN(Skills!W13,Inputs!$B$37))),0)</f>
        <v/>
      </c>
    </row>
    <row r="587">
      <c r="A587">
        <f>Skills!A14</f>
        <v/>
      </c>
      <c r="B587">
        <f>Skills!B14</f>
        <v/>
      </c>
      <c r="C587">
        <f>Inputs!$B$3&gt;=105</f>
        <v/>
      </c>
      <c r="D587">
        <f>IF(Skills!C14=1,60+Inputs!$B$25+Inputs!$B$29,IF(Skills!C14=2,90+Inputs!$B$26+Inputs!$B$29,IF(Skills!C14=3,120+Inputs!$B$27+Inputs!$B$29,MAX(0,(Inputs!$B$3-100)*3)+Inputs!$B$28+Inputs!$B$29)))</f>
        <v/>
      </c>
      <c r="E587">
        <f>INDEX(FactorTable!$B$2:$Y$301, MATCH(ROUND(MIN(300,MAX(1,D587)),0), FactorTable!$A$2:$A$301,0), Skills!M14+1)</f>
        <v/>
      </c>
      <c r="F587">
        <f>IF(Skills!N14=TRUE,(Skills!L14/10)*(E587/1000),Skills!L14/10)+Skills!O14</f>
        <v/>
      </c>
      <c r="G587">
        <f>Calc!G14</f>
        <v/>
      </c>
      <c r="H587">
        <f>Calc!H14</f>
        <v/>
      </c>
      <c r="I587">
        <f>IF(Skills!AA14&lt;&gt;"",1+(Skills!AA14/10)*(U576/1000)/100,1)</f>
        <v/>
      </c>
      <c r="J587">
        <f>((Inputs!$B$6*(1+Inputs!$B$7/100))+(((Inputs!$B$12*(1+Inputs!$B$13/100))-(Inputs!$B$12*(1+Inputs!$B$13/100)))+0.25*(Inputs!$B$14-Inputs!$B$14))*(1+Inputs!$B$7/100))*(F587/100)</f>
        <v/>
      </c>
      <c r="K587">
        <f>J587*(1+((Inputs!$B$12*(1+Inputs!$B$13/100))*0.01+Inputs!$B$14*0.0025)/100)*(1+Inputs!$B$15/100)*(1+Inputs!$B$16/100)*(5000/(6000+Inputs!$B$43*(1-Inputs!$B$19/100)))*(1+(Inputs!$B$24+((C603=TRUE)*(F603-Calc!F30)))/100)*(1+Skills!R14/100)*(1+(IF(Skills!A14="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587)</f>
        <v/>
      </c>
      <c r="L587">
        <f>K587*(MIN(Inputs!$B$22+((C597=TRUE)*(F597-Calc!F24)),Inputs!$B$23)/100+Inputs!$B$23/100)/2</f>
        <v/>
      </c>
      <c r="M587">
        <f>L587*(1+((Inputs!$B$10+1)+((C599=TRUE)*(F599-Calc!F26))+B616)/100)</f>
        <v/>
      </c>
      <c r="N587">
        <f>L587*(1-MIN((Inputs!$B$9+((C598=TRUE)*(F598-Calc!F25))+B613),100)/100)+M587*(MIN((Inputs!$B$9+((C598=TRUE)*(F598-Calc!F25))+B613),100)/100)</f>
        <v/>
      </c>
      <c r="O587">
        <f>(1-Summary!$B$55)*T587+Summary!$B$55*V587</f>
        <v/>
      </c>
      <c r="P587">
        <f>IF(B617=0,0,O587/B617)</f>
        <v/>
      </c>
      <c r="Q587">
        <f>IFERROR(1/IF(Inputs!$B$39="pvp",15,MAX(0.1,Skills!D14-IF(Skills!E14=TRUE,Inputs!$B$32,0))),0)</f>
        <v/>
      </c>
      <c r="R587">
        <f>IF(AND(Inputs!$B$39&lt;&gt;"pvp",Inputs!$B$44&gt;0),IF(MAX(0,Inputs!$B$44-B618)&lt;=0,0,(INT(MAX(0,Inputs!$B$44-B618)/IF(Inputs!$B$39="pvp",15,MAX(0.1,Skills!D14-IF(Skills!E14=TRUE,Inputs!$B$32,0))))+1)),0)</f>
        <v/>
      </c>
      <c r="S587">
        <f>IFERROR(O587/N587,0)</f>
        <v/>
      </c>
      <c r="T587">
        <f>IF(C587,(H587*N587*IF(AND(Inputs!$B$39&lt;&gt;"pvp",Inputs!$B$44&gt;0),((Skills!G14*((R587-1)*IF(Skills!H14&gt;0,Skills!I14/Skills!H14,1)+IF(Skills!H14&gt;0,MIN(Skills!I14,MAX(0,MAX(0,Inputs!$B$44-B618)-((R587-1)*IF(Inputs!$B$39="pvp",15,MAX(0.1,Skills!D14-IF(Skills!E14=TRUE,Inputs!$B$32,0))))))/Skills!H14,1)))/Inputs!$B$44),G587*Q587))*IF(Inputs!$B$39="pvp",1,1+(Inputs!$B$20+((C600=TRUE)*(F600-Calc!F27))+Skills!P14+B614)/100),0)</f>
        <v/>
      </c>
      <c r="V587">
        <f>IF(C587,(H587*N587*IF(AND(Inputs!$B$39&lt;&gt;"pvp",Inputs!$B$44&gt;0),((Skills!G14*((R587-1)*IF(Skills!H14&gt;0,Skills!I14/Skills!H14,1)+IF(Skills!H14&gt;0,MIN(Skills!I14,MAX(0,MAX(0,Inputs!$B$44-B618)-((R587-1)*IF(Inputs!$B$39="pvp",15,MAX(0.1,Skills!D14-IF(Skills!E14=TRUE,Inputs!$B$32,0))))))/Skills!H14,1)))/Inputs!$B$44),G587*Q587))*IF(Inputs!$B$39="pvp",1,(1+(Inputs!$B$21+Skills!Q14+B614)/100)*(MIN(Skills!W14,Inputs!$B$37))),0)</f>
        <v/>
      </c>
    </row>
    <row r="588">
      <c r="A588">
        <f>Skills!A15</f>
        <v/>
      </c>
      <c r="B588">
        <f>Skills!B15</f>
        <v/>
      </c>
      <c r="C588">
        <f>Inputs!$B$3&gt;=110</f>
        <v/>
      </c>
      <c r="D588">
        <f>IF(Skills!C15=1,60+Inputs!$B$25+Inputs!$B$29,IF(Skills!C15=2,90+Inputs!$B$26+Inputs!$B$29,IF(Skills!C15=3,120+Inputs!$B$27+Inputs!$B$29,MAX(0,(Inputs!$B$3-100)*3)+Inputs!$B$28+Inputs!$B$29)))</f>
        <v/>
      </c>
      <c r="E588">
        <f>INDEX(FactorTable!$B$2:$Y$301, MATCH(ROUND(MIN(300,MAX(1,D588)),0), FactorTable!$A$2:$A$301,0), Skills!M15+1)</f>
        <v/>
      </c>
      <c r="F588">
        <f>IF(Skills!N15=TRUE,(Skills!L15/10)*(E588/1000),Skills!L15/10)+Skills!O15</f>
        <v/>
      </c>
      <c r="G588">
        <f>Calc!G15</f>
        <v/>
      </c>
      <c r="H588">
        <f>Calc!H15</f>
        <v/>
      </c>
      <c r="I588">
        <f>IF(Skills!AA15&lt;&gt;"",1+(Skills!AA15/10)*(U576/1000)/100,1)</f>
        <v/>
      </c>
      <c r="J588" t="inlineStr"/>
      <c r="K588" t="inlineStr"/>
      <c r="L588" t="inlineStr"/>
      <c r="M588" t="inlineStr"/>
      <c r="N588" t="inlineStr"/>
      <c r="O588">
        <f>(1-Summary!$B$55)*T588+Summary!$B$55*V588</f>
        <v/>
      </c>
      <c r="P588">
        <f>IF(B617=0,0,O588/B617)</f>
        <v/>
      </c>
      <c r="Q588">
        <f>IFERROR(1/IF(Inputs!$B$39="pvp",15,MAX(0.1,Skills!D15-IF(Skills!E15=TRUE,Inputs!$B$32,0))),0)</f>
        <v/>
      </c>
      <c r="R588">
        <f>IF(AND(Inputs!$B$39&lt;&gt;"pvp",Inputs!$B$44&gt;0),IF(Inputs!$B$44&lt;=0,0,(INT(Inputs!$B$44/IF(Inputs!$B$39="pvp",15,MAX(0.1,Skills!D15-IF(Skills!E15=TRUE,Inputs!$B$32,0))))+1)),0)</f>
        <v/>
      </c>
      <c r="S588">
        <f>IFERROR(O588/N588,0)</f>
        <v/>
      </c>
      <c r="T588" t="n">
        <v>0</v>
      </c>
      <c r="V588" t="n">
        <v>0</v>
      </c>
    </row>
    <row r="589">
      <c r="A589">
        <f>Skills!A16</f>
        <v/>
      </c>
      <c r="B589">
        <f>Skills!B16</f>
        <v/>
      </c>
      <c r="C589">
        <f>Inputs!$B$3&gt;=110</f>
        <v/>
      </c>
      <c r="D589">
        <f>IF(Skills!C16=1,60+Inputs!$B$25+Inputs!$B$29,IF(Skills!C16=2,90+Inputs!$B$26+Inputs!$B$29,IF(Skills!C16=3,120+Inputs!$B$27+Inputs!$B$29,MAX(0,(Inputs!$B$3-100)*3)+Inputs!$B$28+Inputs!$B$29)))</f>
        <v/>
      </c>
      <c r="E589">
        <f>INDEX(FactorTable!$B$2:$Y$301, MATCH(ROUND(MIN(300,MAX(1,D589)),0), FactorTable!$A$2:$A$301,0), Skills!M16+1)</f>
        <v/>
      </c>
      <c r="F589">
        <f>IF(Skills!N16=TRUE,(Skills!L16/10)*(E589/1000),Skills!L16/10)+Skills!O16</f>
        <v/>
      </c>
      <c r="G589">
        <f>Calc!G16</f>
        <v/>
      </c>
      <c r="H589">
        <f>Calc!H16</f>
        <v/>
      </c>
      <c r="I589">
        <f>IF(Skills!AA16&lt;&gt;"",1+(Skills!AA16/10)*(U576/1000)/100,1)</f>
        <v/>
      </c>
      <c r="J589" t="inlineStr"/>
      <c r="K589" t="inlineStr"/>
      <c r="L589" t="inlineStr"/>
      <c r="M589" t="inlineStr"/>
      <c r="N589" t="inlineStr"/>
      <c r="O589">
        <f>(1-Summary!$B$55)*T589+Summary!$B$55*V589</f>
        <v/>
      </c>
      <c r="P589">
        <f>IF(B617=0,0,O589/B617)</f>
        <v/>
      </c>
      <c r="Q589">
        <f>IFERROR(1/IF(Inputs!$B$39="pvp",15,MAX(0.1,Skills!D16-IF(Skills!E16=TRUE,Inputs!$B$32,0))),0)</f>
        <v/>
      </c>
      <c r="R589">
        <f>IF(AND(Inputs!$B$39&lt;&gt;"pvp",Inputs!$B$44&gt;0),IF(Inputs!$B$44&lt;=0,0,(INT(Inputs!$B$44/IF(Inputs!$B$39="pvp",15,MAX(0.1,Skills!D16-IF(Skills!E16=TRUE,Inputs!$B$32,0))))+1)),0)</f>
        <v/>
      </c>
      <c r="S589">
        <f>IFERROR(O589/N589,0)</f>
        <v/>
      </c>
      <c r="T589" t="n">
        <v>0</v>
      </c>
      <c r="V589" t="n">
        <v>0</v>
      </c>
    </row>
    <row r="590">
      <c r="A590">
        <f>Skills!A17</f>
        <v/>
      </c>
      <c r="B590">
        <f>Skills!B17</f>
        <v/>
      </c>
      <c r="C590">
        <f>Inputs!$B$3&gt;=115</f>
        <v/>
      </c>
      <c r="D590">
        <f>IF(Skills!C17=1,60+Inputs!$B$25+Inputs!$B$29,IF(Skills!C17=2,90+Inputs!$B$26+Inputs!$B$29,IF(Skills!C17=3,120+Inputs!$B$27+Inputs!$B$29,MAX(0,(Inputs!$B$3-100)*3)+Inputs!$B$28+Inputs!$B$29)))</f>
        <v/>
      </c>
      <c r="E590">
        <f>INDEX(FactorTable!$B$2:$Y$301, MATCH(ROUND(MIN(300,MAX(1,D590)),0), FactorTable!$A$2:$A$301,0), Skills!M17+1)</f>
        <v/>
      </c>
      <c r="F590">
        <f>IF(Skills!N17=TRUE,(Skills!L17/10)*(E590/1000),Skills!L17/10)+Skills!O17</f>
        <v/>
      </c>
      <c r="G590">
        <f>Calc!G17</f>
        <v/>
      </c>
      <c r="H590">
        <f>Calc!H17</f>
        <v/>
      </c>
      <c r="I590">
        <f>IF(Skills!AA17&lt;&gt;"",1+(Skills!AA17/10)*(U576/1000)/100,1)</f>
        <v/>
      </c>
      <c r="J590">
        <f>((Inputs!$B$6*(1+Inputs!$B$7/100))+(((Inputs!$B$12*(1+Inputs!$B$13/100))-(Inputs!$B$12*(1+Inputs!$B$13/100)))+0.25*(Inputs!$B$14-Inputs!$B$14))*(1+Inputs!$B$7/100))*(F590/100)</f>
        <v/>
      </c>
      <c r="K590">
        <f>J590*(1+((Inputs!$B$12*(1+Inputs!$B$13/100))*0.01+Inputs!$B$14*0.0025)/100)*(1+Inputs!$B$15/100)*(1+Inputs!$B$16/100)*(5000/(6000+Inputs!$B$43*(1-Inputs!$B$19/100)))*(1+(Inputs!$B$24+((C603=TRUE)*(F603-Calc!F30)))/100)*(1+Skills!R17/100)*(1+(IF(Skills!A17="SHOWDOWN",Inputs!$B$17+((C596=TRUE)*(F596-Calc!F23)),Inputs!$B$18+((C602=TRUE)*(F602-Calc!F29))))/100)*(((1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B615*I590)</f>
        <v/>
      </c>
      <c r="L590">
        <f>K590*(MIN(Inputs!$B$22+((C597=TRUE)*(F597-Calc!F24)),Inputs!$B$23)/100+Inputs!$B$23/100)/2</f>
        <v/>
      </c>
      <c r="M590">
        <f>L590*(1+((Inputs!$B$10+1)+((C599=TRUE)*(F599-Calc!F26))+B616)/100)</f>
        <v/>
      </c>
      <c r="N590">
        <f>L590*(1-MIN((Inputs!$B$9+((C598=TRUE)*(F598-Calc!F25))+B613),100)/100)+M590*(MIN((Inputs!$B$9+((C598=TRUE)*(F598-Calc!F25))+B613),100)/100)</f>
        <v/>
      </c>
      <c r="O590">
        <f>(1-Summary!$B$55)*T590+Summary!$B$55*V590</f>
        <v/>
      </c>
      <c r="P590">
        <f>IF(B617=0,0,O590/B617)</f>
        <v/>
      </c>
      <c r="Q590" t="n">
        <v>0</v>
      </c>
      <c r="R590" t="n">
        <v>0</v>
      </c>
      <c r="S590">
        <f>IFERROR(O590/N590,0)</f>
        <v/>
      </c>
      <c r="T590">
        <f>IF(C590,(Inputs!$B$38*0.2*N590)*IF(Inputs!$B$39="pvp",1,1+(Inputs!$B$20+((C600=TRUE)*(F600-Calc!F27))+Skills!P17+B614)/100),0)</f>
        <v/>
      </c>
      <c r="V590">
        <f>IF(C590,(Inputs!$B$38*0.2*N590)*IF(Inputs!$B$39="pvp",1,(1+(Inputs!$B$21+Skills!Q17+B614)/100)*(MIN(Skills!W17,Inputs!$B$37))),0)</f>
        <v/>
      </c>
    </row>
    <row r="591">
      <c r="A591">
        <f>Skills!A18</f>
        <v/>
      </c>
      <c r="B591">
        <f>Skills!B18</f>
        <v/>
      </c>
      <c r="C591">
        <f>Inputs!$B$3&gt;=115</f>
        <v/>
      </c>
      <c r="D591">
        <f>IF(Skills!C18=1,60+Inputs!$B$25+Inputs!$B$29,IF(Skills!C18=2,90+Inputs!$B$26+Inputs!$B$29,IF(Skills!C18=3,120+Inputs!$B$27+Inputs!$B$29,MAX(0,(Inputs!$B$3-100)*3)+Inputs!$B$28+Inputs!$B$29)))</f>
        <v/>
      </c>
      <c r="E591">
        <f>INDEX(FactorTable!$B$2:$Y$301, MATCH(ROUND(MIN(300,MAX(1,D591)),0), FactorTable!$A$2:$A$301,0), Skills!M18+1)</f>
        <v/>
      </c>
      <c r="F591">
        <f>IF(Skills!N18=TRUE,(Skills!L18/10)*(E591/1000),Skills!L18/10)+Skills!O18</f>
        <v/>
      </c>
      <c r="G591">
        <f>Calc!G18</f>
        <v/>
      </c>
      <c r="H591">
        <f>Calc!H18</f>
        <v/>
      </c>
      <c r="I591">
        <f>IF(Skills!AA18&lt;&gt;"",1+(Skills!AA18/10)*(U576/1000)/100,1)</f>
        <v/>
      </c>
      <c r="J591" t="inlineStr"/>
      <c r="K591" t="inlineStr"/>
      <c r="L591" t="inlineStr"/>
      <c r="M591" t="inlineStr"/>
      <c r="N591" t="inlineStr"/>
      <c r="O591">
        <f>(1-Summary!$B$55)*T591+Summary!$B$55*V591</f>
        <v/>
      </c>
      <c r="P591">
        <f>IF(B617=0,0,O591/B617)</f>
        <v/>
      </c>
      <c r="Q591" t="n">
        <v>0</v>
      </c>
      <c r="R591" t="n">
        <v>0</v>
      </c>
      <c r="S591">
        <f>IFERROR(O591/N591,0)</f>
        <v/>
      </c>
      <c r="T591" t="n">
        <v>0</v>
      </c>
      <c r="V591" t="n">
        <v>0</v>
      </c>
    </row>
    <row r="592">
      <c r="A592">
        <f>Skills!A19</f>
        <v/>
      </c>
      <c r="B592">
        <f>Skills!B19</f>
        <v/>
      </c>
      <c r="C592">
        <f>TRUE</f>
        <v/>
      </c>
      <c r="D592">
        <f>IF(Skills!C19=1,60+Inputs!$B$25+Inputs!$B$29,IF(Skills!C19=2,90+Inputs!$B$26+Inputs!$B$29,IF(Skills!C19=3,120+Inputs!$B$27+Inputs!$B$29,MAX(0,(Inputs!$B$3-100)*3)+Inputs!$B$28+Inputs!$B$29)))</f>
        <v/>
      </c>
      <c r="E592">
        <f>INDEX(FactorTable!$B$2:$Y$301, MATCH(ROUND(MIN(300,MAX(1,D592)),0), FactorTable!$A$2:$A$301,0), Skills!M19+1)</f>
        <v/>
      </c>
      <c r="F592">
        <f>IF(Skills!N19=TRUE,(Skills!L19/10)*(E592/1000),Skills!L19/10)+Skills!O19</f>
        <v/>
      </c>
      <c r="G592">
        <f>Calc!G19</f>
        <v/>
      </c>
      <c r="H592">
        <f>Calc!H19</f>
        <v/>
      </c>
      <c r="I592">
        <f>IF(Skills!AA19&lt;&gt;"",1+(Skills!AA19/10)*(U576/1000)/100,1)</f>
        <v/>
      </c>
      <c r="J592" t="inlineStr"/>
      <c r="K592" t="inlineStr"/>
      <c r="L592" t="inlineStr"/>
      <c r="M592" t="inlineStr"/>
      <c r="N592" t="inlineStr"/>
      <c r="O592">
        <f>(1-Summary!$B$55)*T592+Summary!$B$55*V592</f>
        <v/>
      </c>
      <c r="P592">
        <f>IF(B617=0,0,O592/B617)</f>
        <v/>
      </c>
      <c r="Q592">
        <f>IFERROR(1/IF(Inputs!$B$39="pvp",15,MAX(0.1,Skills!D19-IF(Skills!E19=TRUE,Inputs!$B$32,0))),0)</f>
        <v/>
      </c>
      <c r="R592">
        <f>IF(AND(Inputs!$B$39&lt;&gt;"pvp",Inputs!$B$44&gt;0),IF(Inputs!$B$44&lt;=0,0,(INT(Inputs!$B$44/IF(Inputs!$B$39="pvp",15,MAX(0.1,Skills!D19-IF(Skills!E19=TRUE,Inputs!$B$32,0))))+1)),0)</f>
        <v/>
      </c>
      <c r="S592">
        <f>IFERROR(O592/N592,0)</f>
        <v/>
      </c>
      <c r="T592" t="n">
        <v>0</v>
      </c>
      <c r="V592" t="n">
        <v>0</v>
      </c>
    </row>
    <row r="593">
      <c r="A593">
        <f>Skills!A20</f>
        <v/>
      </c>
      <c r="B593">
        <f>Skills!B20</f>
        <v/>
      </c>
      <c r="C593">
        <f>Inputs!$B$3&gt;=15</f>
        <v/>
      </c>
      <c r="D593">
        <f>IF(Skills!C20=1,60+Inputs!$B$25+Inputs!$B$29,IF(Skills!C20=2,90+Inputs!$B$26+Inputs!$B$29,IF(Skills!C20=3,120+Inputs!$B$27+Inputs!$B$29,MAX(0,(Inputs!$B$3-100)*3)+Inputs!$B$28+Inputs!$B$29)))</f>
        <v/>
      </c>
      <c r="E593">
        <f>INDEX(FactorTable!$B$2:$Y$301, MATCH(ROUND(MIN(300,MAX(1,D593)),0), FactorTable!$A$2:$A$301,0), Skills!M20+1)</f>
        <v/>
      </c>
      <c r="F593">
        <f>IF(Skills!N20=TRUE,(Skills!L20/10)*(E593/1000),Skills!L20/10)+Skills!O20</f>
        <v/>
      </c>
      <c r="G593">
        <f>Calc!G20</f>
        <v/>
      </c>
      <c r="H593">
        <f>Calc!H20</f>
        <v/>
      </c>
      <c r="I593">
        <f>IF(Skills!AA20&lt;&gt;"",1+(Skills!AA20/10)*(U576/1000)/100,1)</f>
        <v/>
      </c>
      <c r="J593" t="inlineStr"/>
      <c r="K593" t="inlineStr"/>
      <c r="L593" t="inlineStr"/>
      <c r="M593" t="inlineStr"/>
      <c r="N593" t="inlineStr"/>
      <c r="O593">
        <f>(1-Summary!$B$55)*T593+Summary!$B$55*V593</f>
        <v/>
      </c>
      <c r="P593">
        <f>IF(B617=0,0,O593/B617)</f>
        <v/>
      </c>
      <c r="Q593">
        <f>IFERROR(1/IF(Inputs!$B$39="pvp",15,MAX(0.1,Skills!D20-IF(Skills!E20=TRUE,Inputs!$B$32,0))),0)</f>
        <v/>
      </c>
      <c r="R593">
        <f>IF(AND(Inputs!$B$39&lt;&gt;"pvp",Inputs!$B$44&gt;0),IF(Inputs!$B$44&lt;=0,0,(INT(Inputs!$B$44/IF(Inputs!$B$39="pvp",15,MAX(0.1,Skills!D20-IF(Skills!E20=TRUE,Inputs!$B$32,0))))+1)),0)</f>
        <v/>
      </c>
      <c r="S593">
        <f>IFERROR(O593/N593,0)</f>
        <v/>
      </c>
      <c r="T593" t="n">
        <v>0</v>
      </c>
      <c r="V593" t="n">
        <v>0</v>
      </c>
    </row>
    <row r="594">
      <c r="A594">
        <f>Skills!A21</f>
        <v/>
      </c>
      <c r="B594">
        <f>Skills!B21</f>
        <v/>
      </c>
      <c r="C594">
        <f>Inputs!$B$3&gt;=15</f>
        <v/>
      </c>
      <c r="D594">
        <f>IF(Skills!C21=1,60+Inputs!$B$25+Inputs!$B$29,IF(Skills!C21=2,90+Inputs!$B$26+Inputs!$B$29,IF(Skills!C21=3,120+Inputs!$B$27+Inputs!$B$29,MAX(0,(Inputs!$B$3-100)*3)+Inputs!$B$28+Inputs!$B$29)))</f>
        <v/>
      </c>
      <c r="E594">
        <f>INDEX(FactorTable!$B$2:$Y$301, MATCH(ROUND(MIN(300,MAX(1,D594)),0), FactorTable!$A$2:$A$301,0), Skills!M21+1)</f>
        <v/>
      </c>
      <c r="F594">
        <f>IF(Skills!N21=TRUE,(Skills!L21/10)*(E594/1000),Skills!L21/10)+Skills!O21</f>
        <v/>
      </c>
      <c r="G594">
        <f>Calc!G21</f>
        <v/>
      </c>
      <c r="H594">
        <f>Calc!H21</f>
        <v/>
      </c>
      <c r="I594">
        <f>IF(Skills!AA21&lt;&gt;"",1+(Skills!AA21/10)*(U576/1000)/100,1)</f>
        <v/>
      </c>
      <c r="J594" t="inlineStr"/>
      <c r="K594" t="inlineStr"/>
      <c r="L594" t="inlineStr"/>
      <c r="M594" t="inlineStr"/>
      <c r="N594" t="inlineStr"/>
      <c r="O594">
        <f>(1-Summary!$B$55)*T594+Summary!$B$55*V594</f>
        <v/>
      </c>
      <c r="P594">
        <f>IF(B617=0,0,O594/B617)</f>
        <v/>
      </c>
      <c r="Q594">
        <f>IFERROR(1/IF(Inputs!$B$39="pvp",15,MAX(0.1,Skills!D21-IF(Skills!E21=TRUE,Inputs!$B$32,0))),0)</f>
        <v/>
      </c>
      <c r="R594">
        <f>IF(AND(Inputs!$B$39&lt;&gt;"pvp",Inputs!$B$44&gt;0),IF(Inputs!$B$44&lt;=0,0,(INT(Inputs!$B$44/IF(Inputs!$B$39="pvp",15,MAX(0.1,Skills!D21-IF(Skills!E21=TRUE,Inputs!$B$32,0))))+1)),0)</f>
        <v/>
      </c>
      <c r="S594">
        <f>IFERROR(O594/N594,0)</f>
        <v/>
      </c>
      <c r="T594" t="n">
        <v>0</v>
      </c>
      <c r="V594" t="n">
        <v>0</v>
      </c>
    </row>
    <row r="595">
      <c r="A595">
        <f>Skills!A22</f>
        <v/>
      </c>
      <c r="B595">
        <f>Skills!B22</f>
        <v/>
      </c>
      <c r="C595">
        <f>Inputs!$B$3&gt;=33</f>
        <v/>
      </c>
      <c r="D595">
        <f>IF(Skills!C22=1,60+Inputs!$B$25+Inputs!$B$29,IF(Skills!C22=2,90+Inputs!$B$26+Inputs!$B$29,IF(Skills!C22=3,120+Inputs!$B$27+Inputs!$B$29,MAX(0,(Inputs!$B$3-100)*3)+Inputs!$B$28+Inputs!$B$29)))</f>
        <v/>
      </c>
      <c r="E595">
        <f>INDEX(FactorTable!$B$2:$Y$301, MATCH(ROUND(MIN(300,MAX(1,D595)),0), FactorTable!$A$2:$A$301,0), Skills!M22+1)</f>
        <v/>
      </c>
      <c r="F595">
        <f>IF(Skills!N22=TRUE,(Skills!L22/10)*(E595/1000),Skills!L22/10)+Skills!O22</f>
        <v/>
      </c>
      <c r="G595">
        <f>Calc!G22</f>
        <v/>
      </c>
      <c r="H595">
        <f>Calc!H22</f>
        <v/>
      </c>
      <c r="I595">
        <f>IF(Skills!AA22&lt;&gt;"",1+(Skills!AA22/10)*(U576/1000)/100,1)</f>
        <v/>
      </c>
      <c r="J595" t="inlineStr"/>
      <c r="K595" t="inlineStr"/>
      <c r="L595" t="inlineStr"/>
      <c r="M595" t="inlineStr"/>
      <c r="N595" t="inlineStr"/>
      <c r="O595">
        <f>(1-Summary!$B$55)*T595+Summary!$B$55*V595</f>
        <v/>
      </c>
      <c r="P595">
        <f>IF(B617=0,0,O595/B617)</f>
        <v/>
      </c>
      <c r="Q595" t="n">
        <v>0</v>
      </c>
      <c r="R595" t="n">
        <v>0</v>
      </c>
      <c r="S595">
        <f>IFERROR(O595/N595,0)</f>
        <v/>
      </c>
      <c r="T595" t="n">
        <v>0</v>
      </c>
      <c r="V595" t="n">
        <v>0</v>
      </c>
    </row>
    <row r="596">
      <c r="A596">
        <f>Skills!A23</f>
        <v/>
      </c>
      <c r="B596">
        <f>Skills!B23</f>
        <v/>
      </c>
      <c r="C596">
        <f>Inputs!$B$3&gt;=38</f>
        <v/>
      </c>
      <c r="D596">
        <f>IF(Skills!C23=1,60+Inputs!$B$25+Inputs!$B$29,IF(Skills!C23=2,90+Inputs!$B$26+Inputs!$B$29,IF(Skills!C23=3,120+Inputs!$B$27+Inputs!$B$29,MAX(0,(Inputs!$B$3-100)*3)+Inputs!$B$28+Inputs!$B$29)))</f>
        <v/>
      </c>
      <c r="E596">
        <f>INDEX(FactorTable!$B$2:$Y$301, MATCH(ROUND(MIN(300,MAX(1,D596)),0), FactorTable!$A$2:$A$301,0), Skills!M23+1)</f>
        <v/>
      </c>
      <c r="F596">
        <f>IF(Skills!N23=TRUE,(Skills!L23/10)*(E596/1000),Skills!L23/10)+Skills!O23</f>
        <v/>
      </c>
      <c r="G596">
        <f>Calc!G23</f>
        <v/>
      </c>
      <c r="H596">
        <f>Calc!H23</f>
        <v/>
      </c>
      <c r="I596">
        <f>IF(Skills!AA23&lt;&gt;"",1+(Skills!AA23/10)*(U576/1000)/100,1)</f>
        <v/>
      </c>
      <c r="J596" t="inlineStr"/>
      <c r="K596" t="inlineStr"/>
      <c r="L596" t="inlineStr"/>
      <c r="M596" t="inlineStr"/>
      <c r="N596" t="inlineStr"/>
      <c r="O596">
        <f>(1-Summary!$B$55)*T596+Summary!$B$55*V596</f>
        <v/>
      </c>
      <c r="P596">
        <f>IF(B617=0,0,O596/B617)</f>
        <v/>
      </c>
      <c r="Q596" t="n">
        <v>0</v>
      </c>
      <c r="R596" t="n">
        <v>0</v>
      </c>
      <c r="S596">
        <f>IFERROR(O596/N596,0)</f>
        <v/>
      </c>
      <c r="T596" t="n">
        <v>0</v>
      </c>
      <c r="V596" t="n">
        <v>0</v>
      </c>
    </row>
    <row r="597">
      <c r="A597">
        <f>Skills!A24</f>
        <v/>
      </c>
      <c r="B597">
        <f>Skills!B24</f>
        <v/>
      </c>
      <c r="C597">
        <f>Inputs!$B$3&gt;=40</f>
        <v/>
      </c>
      <c r="D597">
        <f>IF(Skills!C24=1,60+Inputs!$B$25+Inputs!$B$29,IF(Skills!C24=2,90+Inputs!$B$26+Inputs!$B$29,IF(Skills!C24=3,120+Inputs!$B$27+Inputs!$B$29,MAX(0,(Inputs!$B$3-100)*3)+Inputs!$B$28+Inputs!$B$29)))</f>
        <v/>
      </c>
      <c r="E597">
        <f>INDEX(FactorTable!$B$2:$Y$301, MATCH(ROUND(MIN(300,MAX(1,D597)),0), FactorTable!$A$2:$A$301,0), Skills!M24+1)</f>
        <v/>
      </c>
      <c r="F597">
        <f>IF(Skills!N24=TRUE,(Skills!L24/10)*(E597/1000),Skills!L24/10)+Skills!O24</f>
        <v/>
      </c>
      <c r="G597">
        <f>Calc!G24</f>
        <v/>
      </c>
      <c r="H597">
        <f>Calc!H24</f>
        <v/>
      </c>
      <c r="I597">
        <f>IF(Skills!AA24&lt;&gt;"",1+(Skills!AA24/10)*(U576/1000)/100,1)</f>
        <v/>
      </c>
      <c r="J597" t="inlineStr"/>
      <c r="K597" t="inlineStr"/>
      <c r="L597" t="inlineStr"/>
      <c r="M597" t="inlineStr"/>
      <c r="N597" t="inlineStr"/>
      <c r="O597">
        <f>(1-Summary!$B$55)*T597+Summary!$B$55*V597</f>
        <v/>
      </c>
      <c r="P597">
        <f>IF(B617=0,0,O597/B617)</f>
        <v/>
      </c>
      <c r="Q597" t="n">
        <v>0</v>
      </c>
      <c r="R597" t="n">
        <v>0</v>
      </c>
      <c r="S597">
        <f>IFERROR(O597/N597,0)</f>
        <v/>
      </c>
      <c r="T597" t="n">
        <v>0</v>
      </c>
      <c r="V597" t="n">
        <v>0</v>
      </c>
    </row>
    <row r="598">
      <c r="A598">
        <f>Skills!A25</f>
        <v/>
      </c>
      <c r="B598">
        <f>Skills!B25</f>
        <v/>
      </c>
      <c r="C598">
        <f>Inputs!$B$3&gt;=45</f>
        <v/>
      </c>
      <c r="D598">
        <f>IF(Skills!C25=1,60+Inputs!$B$25+Inputs!$B$29,IF(Skills!C25=2,90+Inputs!$B$26+Inputs!$B$29,IF(Skills!C25=3,120+Inputs!$B$27+Inputs!$B$29,MAX(0,(Inputs!$B$3-100)*3)+Inputs!$B$28+Inputs!$B$29)))</f>
        <v/>
      </c>
      <c r="E598">
        <f>INDEX(FactorTable!$B$2:$Y$301, MATCH(ROUND(MIN(300,MAX(1,D598)),0), FactorTable!$A$2:$A$301,0), Skills!M25+1)</f>
        <v/>
      </c>
      <c r="F598">
        <f>IF(Skills!N25=TRUE,(Skills!L25/10)*(E598/1000),Skills!L25/10)+Skills!O25</f>
        <v/>
      </c>
      <c r="G598">
        <f>Calc!G25</f>
        <v/>
      </c>
      <c r="H598">
        <f>Calc!H25</f>
        <v/>
      </c>
      <c r="I598">
        <f>IF(Skills!AA25&lt;&gt;"",1+(Skills!AA25/10)*(U576/1000)/100,1)</f>
        <v/>
      </c>
      <c r="J598" t="inlineStr"/>
      <c r="K598" t="inlineStr"/>
      <c r="L598" t="inlineStr"/>
      <c r="M598" t="inlineStr"/>
      <c r="N598" t="inlineStr"/>
      <c r="O598">
        <f>(1-Summary!$B$55)*T598+Summary!$B$55*V598</f>
        <v/>
      </c>
      <c r="P598">
        <f>IF(B617=0,0,O598/B617)</f>
        <v/>
      </c>
      <c r="Q598" t="n">
        <v>0</v>
      </c>
      <c r="R598" t="n">
        <v>0</v>
      </c>
      <c r="S598">
        <f>IFERROR(O598/N598,0)</f>
        <v/>
      </c>
      <c r="T598" t="n">
        <v>0</v>
      </c>
      <c r="V598" t="n">
        <v>0</v>
      </c>
    </row>
    <row r="599">
      <c r="A599">
        <f>Skills!A26</f>
        <v/>
      </c>
      <c r="B599">
        <f>Skills!B26</f>
        <v/>
      </c>
      <c r="C599">
        <f>Inputs!$B$3&gt;=45</f>
        <v/>
      </c>
      <c r="D599">
        <f>IF(Skills!C26=1,60+Inputs!$B$25+Inputs!$B$29,IF(Skills!C26=2,90+Inputs!$B$26+Inputs!$B$29,IF(Skills!C26=3,120+Inputs!$B$27+Inputs!$B$29,MAX(0,(Inputs!$B$3-100)*3)+Inputs!$B$28+Inputs!$B$29)))</f>
        <v/>
      </c>
      <c r="E599">
        <f>INDEX(FactorTable!$B$2:$Y$301, MATCH(ROUND(MIN(300,MAX(1,D599)),0), FactorTable!$A$2:$A$301,0), Skills!M26+1)</f>
        <v/>
      </c>
      <c r="F599">
        <f>IF(Skills!N26=TRUE,(Skills!L26/10)*(E599/1000),Skills!L26/10)+Skills!O26</f>
        <v/>
      </c>
      <c r="G599">
        <f>Calc!G26</f>
        <v/>
      </c>
      <c r="H599">
        <f>Calc!H26</f>
        <v/>
      </c>
      <c r="I599">
        <f>IF(Skills!AA26&lt;&gt;"",1+(Skills!AA26/10)*(U576/1000)/100,1)</f>
        <v/>
      </c>
      <c r="J599" t="inlineStr"/>
      <c r="K599" t="inlineStr"/>
      <c r="L599" t="inlineStr"/>
      <c r="M599" t="inlineStr"/>
      <c r="N599" t="inlineStr"/>
      <c r="O599">
        <f>(1-Summary!$B$55)*T599+Summary!$B$55*V599</f>
        <v/>
      </c>
      <c r="P599">
        <f>IF(B617=0,0,O599/B617)</f>
        <v/>
      </c>
      <c r="Q599" t="n">
        <v>0</v>
      </c>
      <c r="R599" t="n">
        <v>0</v>
      </c>
      <c r="S599">
        <f>IFERROR(O599/N599,0)</f>
        <v/>
      </c>
      <c r="T599" t="n">
        <v>0</v>
      </c>
      <c r="V599" t="n">
        <v>0</v>
      </c>
    </row>
    <row r="600">
      <c r="A600">
        <f>Skills!A27</f>
        <v/>
      </c>
      <c r="B600">
        <f>Skills!B27</f>
        <v/>
      </c>
      <c r="C600">
        <f>Inputs!$B$3&gt;=72</f>
        <v/>
      </c>
      <c r="D600">
        <f>IF(Skills!C27=1,60+Inputs!$B$25+Inputs!$B$29,IF(Skills!C27=2,90+Inputs!$B$26+Inputs!$B$29,IF(Skills!C27=3,120+Inputs!$B$27+Inputs!$B$29,MAX(0,(Inputs!$B$3-100)*3)+Inputs!$B$28+Inputs!$B$29)))</f>
        <v/>
      </c>
      <c r="E600">
        <f>INDEX(FactorTable!$B$2:$Y$301, MATCH(ROUND(MIN(300,MAX(1,D600)),0), FactorTable!$A$2:$A$301,0), Skills!M27+1)</f>
        <v/>
      </c>
      <c r="F600">
        <f>IF(Skills!N27=TRUE,(Skills!L27/10)*(E600/1000),Skills!L27/10)+Skills!O27</f>
        <v/>
      </c>
      <c r="G600">
        <f>Calc!G27</f>
        <v/>
      </c>
      <c r="H600">
        <f>Calc!H27</f>
        <v/>
      </c>
      <c r="I600">
        <f>IF(Skills!AA27&lt;&gt;"",1+(Skills!AA27/10)*(U576/1000)/100,1)</f>
        <v/>
      </c>
      <c r="J600" t="inlineStr"/>
      <c r="K600" t="inlineStr"/>
      <c r="L600" t="inlineStr"/>
      <c r="M600" t="inlineStr"/>
      <c r="N600" t="inlineStr"/>
      <c r="O600">
        <f>(1-Summary!$B$55)*T600+Summary!$B$55*V600</f>
        <v/>
      </c>
      <c r="P600">
        <f>IF(B617=0,0,O600/B617)</f>
        <v/>
      </c>
      <c r="Q600" t="n">
        <v>0</v>
      </c>
      <c r="R600" t="n">
        <v>0</v>
      </c>
      <c r="S600">
        <f>IFERROR(O600/N600,0)</f>
        <v/>
      </c>
      <c r="T600" t="n">
        <v>0</v>
      </c>
      <c r="V600" t="n">
        <v>0</v>
      </c>
    </row>
    <row r="601">
      <c r="A601">
        <f>Skills!A28</f>
        <v/>
      </c>
      <c r="B601">
        <f>Skills!B28</f>
        <v/>
      </c>
      <c r="C601">
        <f>Inputs!$B$3&gt;=75</f>
        <v/>
      </c>
      <c r="D601">
        <f>IF(Skills!C28=1,60+Inputs!$B$25+Inputs!$B$29,IF(Skills!C28=2,90+Inputs!$B$26+Inputs!$B$29,IF(Skills!C28=3,120+Inputs!$B$27+Inputs!$B$29,MAX(0,(Inputs!$B$3-100)*3)+Inputs!$B$28+Inputs!$B$29)))</f>
        <v/>
      </c>
      <c r="E601">
        <f>INDEX(FactorTable!$B$2:$Y$301, MATCH(ROUND(MIN(300,MAX(1,D601)),0), FactorTable!$A$2:$A$301,0), Skills!M28+1)</f>
        <v/>
      </c>
      <c r="F601">
        <f>IF(Skills!N28=TRUE,(Skills!L28/10)*(E601/1000),Skills!L28/10)+Skills!O28</f>
        <v/>
      </c>
      <c r="G601">
        <f>Calc!G28</f>
        <v/>
      </c>
      <c r="H601">
        <f>Calc!H28</f>
        <v/>
      </c>
      <c r="I601">
        <f>IF(Skills!AA28&lt;&gt;"",1+(Skills!AA28/10)*(U576/1000)/100,1)</f>
        <v/>
      </c>
      <c r="J601" t="inlineStr"/>
      <c r="K601" t="inlineStr"/>
      <c r="L601" t="inlineStr"/>
      <c r="M601" t="inlineStr"/>
      <c r="N601" t="inlineStr"/>
      <c r="O601">
        <f>(1-Summary!$B$55)*T601+Summary!$B$55*V601</f>
        <v/>
      </c>
      <c r="P601">
        <f>IF(B617=0,0,O601/B617)</f>
        <v/>
      </c>
      <c r="Q601" t="n">
        <v>0</v>
      </c>
      <c r="R601" t="n">
        <v>0</v>
      </c>
      <c r="S601">
        <f>IFERROR(O601/N601,0)</f>
        <v/>
      </c>
      <c r="T601" t="n">
        <v>0</v>
      </c>
      <c r="V601" t="n">
        <v>0</v>
      </c>
    </row>
    <row r="602">
      <c r="A602">
        <f>Skills!A29</f>
        <v/>
      </c>
      <c r="B602">
        <f>Skills!B29</f>
        <v/>
      </c>
      <c r="C602">
        <f>Inputs!$B$3&gt;=120</f>
        <v/>
      </c>
      <c r="D602">
        <f>IF(Skills!C29=1,60+Inputs!$B$25+Inputs!$B$29,IF(Skills!C29=2,90+Inputs!$B$26+Inputs!$B$29,IF(Skills!C29=3,120+Inputs!$B$27+Inputs!$B$29,MAX(0,(Inputs!$B$3-100)*3)+Inputs!$B$28+Inputs!$B$29)))</f>
        <v/>
      </c>
      <c r="E602">
        <f>INDEX(FactorTable!$B$2:$Y$301, MATCH(ROUND(MIN(300,MAX(1,D602)),0), FactorTable!$A$2:$A$301,0), Skills!M29+1)</f>
        <v/>
      </c>
      <c r="F602">
        <f>IF(Skills!N29=TRUE,(Skills!L29/10)*(E602/1000),Skills!L29/10)+Skills!O29</f>
        <v/>
      </c>
      <c r="G602">
        <f>Calc!G29</f>
        <v/>
      </c>
      <c r="H602">
        <f>Calc!H29</f>
        <v/>
      </c>
      <c r="I602">
        <f>IF(Skills!AA29&lt;&gt;"",1+(Skills!AA29/10)*(U576/1000)/100,1)</f>
        <v/>
      </c>
      <c r="J602" t="inlineStr"/>
      <c r="K602" t="inlineStr"/>
      <c r="L602" t="inlineStr"/>
      <c r="M602" t="inlineStr"/>
      <c r="N602" t="inlineStr"/>
      <c r="O602">
        <f>(1-Summary!$B$55)*T602+Summary!$B$55*V602</f>
        <v/>
      </c>
      <c r="P602">
        <f>IF(B617=0,0,O602/B617)</f>
        <v/>
      </c>
      <c r="Q602" t="n">
        <v>0</v>
      </c>
      <c r="R602" t="n">
        <v>0</v>
      </c>
      <c r="S602">
        <f>IFERROR(O602/N602,0)</f>
        <v/>
      </c>
      <c r="T602" t="n">
        <v>0</v>
      </c>
      <c r="V602" t="n">
        <v>0</v>
      </c>
    </row>
    <row r="603">
      <c r="A603">
        <f>Skills!A30</f>
        <v/>
      </c>
      <c r="B603">
        <f>Skills!B30</f>
        <v/>
      </c>
      <c r="C603">
        <f>Inputs!$B$3&gt;=125</f>
        <v/>
      </c>
      <c r="D603">
        <f>IF(Skills!C30=1,60+Inputs!$B$25+Inputs!$B$29,IF(Skills!C30=2,90+Inputs!$B$26+Inputs!$B$29,IF(Skills!C30=3,120+Inputs!$B$27+Inputs!$B$29,MAX(0,(Inputs!$B$3-100)*3)+Inputs!$B$28+Inputs!$B$29)))</f>
        <v/>
      </c>
      <c r="E603">
        <f>INDEX(FactorTable!$B$2:$Y$301, MATCH(ROUND(MIN(300,MAX(1,D603)),0), FactorTable!$A$2:$A$301,0), Skills!M30+1)</f>
        <v/>
      </c>
      <c r="F603">
        <f>IF(Skills!N30=TRUE,(Skills!L30/10)*(E603/1000),Skills!L30/10)+Skills!O30</f>
        <v/>
      </c>
      <c r="G603">
        <f>Calc!G30</f>
        <v/>
      </c>
      <c r="H603">
        <f>Calc!H30</f>
        <v/>
      </c>
      <c r="I603">
        <f>IF(Skills!AA30&lt;&gt;"",1+(Skills!AA30/10)*(U576/1000)/100,1)</f>
        <v/>
      </c>
      <c r="J603" t="inlineStr"/>
      <c r="K603" t="inlineStr"/>
      <c r="L603" t="inlineStr"/>
      <c r="M603" t="inlineStr"/>
      <c r="N603" t="inlineStr"/>
      <c r="O603">
        <f>(1-Summary!$B$55)*T603+Summary!$B$55*V603</f>
        <v/>
      </c>
      <c r="P603">
        <f>IF(B617=0,0,O603/B617)</f>
        <v/>
      </c>
      <c r="Q603" t="n">
        <v>0</v>
      </c>
      <c r="R603" t="n">
        <v>0</v>
      </c>
      <c r="S603">
        <f>IFERROR(O603/N603,0)</f>
        <v/>
      </c>
      <c r="T603" t="n">
        <v>0</v>
      </c>
      <c r="V603" t="n">
        <v>0</v>
      </c>
    </row>
    <row r="604">
      <c r="A604">
        <f>Skills!A31</f>
        <v/>
      </c>
      <c r="B604">
        <f>Skills!B31</f>
        <v/>
      </c>
      <c r="C604">
        <f>Inputs!$B$3&gt;=107</f>
        <v/>
      </c>
      <c r="D604">
        <f>IF(Skills!C31=1,60+Inputs!$B$25+Inputs!$B$29,IF(Skills!C31=2,90+Inputs!$B$26+Inputs!$B$29,IF(Skills!C31=3,120+Inputs!$B$27+Inputs!$B$29,MAX(0,(Inputs!$B$3-100)*3)+Inputs!$B$28+Inputs!$B$29)))</f>
        <v/>
      </c>
      <c r="E604">
        <f>INDEX(FactorTable!$B$2:$Y$301, MATCH(ROUND(MIN(300,MAX(1,D604)),0), FactorTable!$A$2:$A$301,0), Skills!M31+1)</f>
        <v/>
      </c>
      <c r="F604">
        <f>IF(Skills!N31=TRUE,(Skills!L31/10)*(E604/1000),Skills!L31/10)+Skills!O31</f>
        <v/>
      </c>
      <c r="G604">
        <f>Calc!G31</f>
        <v/>
      </c>
      <c r="H604">
        <f>Calc!H31</f>
        <v/>
      </c>
      <c r="I604">
        <f>IF(Skills!AA31&lt;&gt;"",1+(Skills!AA31/10)*(U576/1000)/100,1)</f>
        <v/>
      </c>
      <c r="J604" t="inlineStr"/>
      <c r="K604" t="inlineStr"/>
      <c r="L604" t="inlineStr"/>
      <c r="M604" t="inlineStr"/>
      <c r="N604" t="inlineStr"/>
      <c r="O604">
        <f>(1-Summary!$B$55)*T604+Summary!$B$55*V604</f>
        <v/>
      </c>
      <c r="P604">
        <f>IF(B617=0,0,O604/B617)</f>
        <v/>
      </c>
      <c r="Q604" t="n">
        <v>0</v>
      </c>
      <c r="R604" t="n">
        <v>0</v>
      </c>
      <c r="S604">
        <f>IFERROR(O604/N604,0)</f>
        <v/>
      </c>
      <c r="T604" t="n">
        <v>0</v>
      </c>
      <c r="V604" t="n">
        <v>0</v>
      </c>
    </row>
    <row r="606">
      <c r="A606" t="inlineStr">
        <is>
          <t>Actions Per Second (pre-Adrenalin)</t>
        </is>
      </c>
      <c r="B606">
        <f>1+MIN(150,150*(1-(1-(Inputs!$B$11+((C595=TRUE)*(F595-Calc!F22)))/150)*(1-((C592=TRUE)*F592*IF(AND(Inputs!$B$39&lt;&gt;"pvp",Inputs!$B$44&gt;0),(((R592-1)*(Skills!Y19*(1+Inputs!$B$34/100))+MIN((Skills!Y19*(1+Inputs!$B$34/100)),MAX(0,Inputs!$B$44-((R592-1)*Skills!D19))))/Inputs!$B$44),IF(Inputs!$B$39="pvp",MIN((Skills!Y19*(1+Inputs!$B$34/100)),15)/15,(Skills!Y19*(1+Inputs!$B$34/100))/Skills!D19)))/150)))/100</f>
        <v/>
      </c>
    </row>
    <row r="607">
      <c r="A607" t="inlineStr">
        <is>
          <t>Alchemic Adrenaline Uptime</t>
        </is>
      </c>
      <c r="B607">
        <f>(Skills!Y6*(1+Inputs!$B$34/100))/((Skills!Y6*(1+Inputs!$B$34/100))+(5/B606))</f>
        <v/>
      </c>
    </row>
    <row r="608">
      <c r="A608" t="inlineStr">
        <is>
          <t>Attack Speed Buff Bonus %</t>
        </is>
      </c>
      <c r="B608">
        <f>((C592=TRUE)*F592*IF(AND(Inputs!$B$39&lt;&gt;"pvp",Inputs!$B$44&gt;0),(((R592-1)*(Skills!Y19*(1+Inputs!$B$34/100))+MIN((Skills!Y19*(1+Inputs!$B$34/100)),MAX(0,Inputs!$B$44-((R592-1)*Skills!D19))))/Inputs!$B$44),IF(Inputs!$B$39="pvp",MIN((Skills!Y19*(1+Inputs!$B$34/100)),15)/15,(Skills!Y19*(1+Inputs!$B$34/100))/Skills!D19)))+((C580=TRUE)*F580*B607)</f>
        <v/>
      </c>
    </row>
    <row r="609">
      <c r="A609" t="inlineStr">
        <is>
          <t>Actions Per Second (final)</t>
        </is>
      </c>
      <c r="B609">
        <f>1+MIN(150,150*(1-(1-(Inputs!$B$11+((C595=TRUE)*(F595-Calc!F22)))/150)*(1-B608/150)))/100</f>
        <v/>
      </c>
    </row>
    <row r="610">
      <c r="A610" t="inlineStr">
        <is>
          <t>Skill + Buff Cast Rate</t>
        </is>
      </c>
      <c r="B610">
        <f>IF(AND(Inputs!$B$39&lt;&gt;"pvp",Inputs!$B$44&gt;0),SUMPRODUCT((Skills!E2:E31=TRUE)*(C575:C604=TRUE)*R575:R604*Skills!F2:F31)/Inputs!$B$44,SUMPRODUCT((Skills!E2:E31=TRUE)*(C575:C604=TRUE)*Q575:Q604*Skills!F2:F31))</f>
        <v/>
      </c>
    </row>
    <row r="611">
      <c r="A611" t="inlineStr">
        <is>
          <t>Showdown Casts Per Second</t>
        </is>
      </c>
      <c r="B611">
        <f>MAX(0,B609-B610)</f>
        <v/>
      </c>
    </row>
    <row r="612">
      <c r="A612" t="inlineStr">
        <is>
          <t>Average Buff Multiplier</t>
        </is>
      </c>
      <c r="B612">
        <f>(1+(((C594=TRUE)*F594*IF(AND(Inputs!$B$39&lt;&gt;"pvp",Inputs!$B$44&gt;0),(((R594-1)*(Skills!Y21*(1+Inputs!$B$34/100))+MIN((Skills!Y21*(1+Inputs!$B$34/100)),MAX(0,Inputs!$B$44-((R594-1)*Skills!D21))))/Inputs!$B$44),IF(Inputs!$B$39="pvp",MIN((Skills!Y21*(1+Inputs!$B$34/100)),15)/15,(Skills!Y21*(1+Inputs!$B$34/100))/Skills!D21)))+((C601=TRUE)*(F601-Calc!F28))+((C591=TRUE)*(F591-Calc!F18)))/100)*(1+((C588=TRUE)*F588*IF(AND(Inputs!$B$39&lt;&gt;"pvp",Inputs!$B$44&gt;0),(((R588-1)*(Skills!Y15*(1+Inputs!$B$34/100))+MIN((Skills!Y15*(1+Inputs!$B$34/100)),MAX(0,Inputs!$B$44-((R588-1)*Skills!D15))))/Inputs!$B$44),IF(Inputs!$B$39="pvp",MIN((Skills!Y15*(1+Inputs!$B$34/100)),15)/15,(Skills!Y15*(1+Inputs!$B$34/100))/Skills!D15)))/100)*(1+((C579=TRUE)*F579*B607)/100)</f>
        <v/>
      </c>
    </row>
    <row r="613">
      <c r="A613" t="inlineStr">
        <is>
          <t>Global Crit Rate Bonus %</t>
        </is>
      </c>
      <c r="B613">
        <f>IF(Inputs!$B$3&gt;=47,8,0)+((C593=TRUE)*F593*IF(AND(Inputs!$B$39&lt;&gt;"pvp",Inputs!$B$44&gt;0),(((R593-1)*(Skills!Y20*(1+Inputs!$B$34/100))+MIN((Skills!Y20*(1+Inputs!$B$34/100)),MAX(0,Inputs!$B$44-((R593-1)*Skills!D20))))/Inputs!$B$44),IF(Inputs!$B$39="pvp",MIN((Skills!Y20*(1+Inputs!$B$34/100)),15)/15,(Skills!Y20*(1+Inputs!$B$34/100))/Skills!D20)))</f>
        <v/>
      </c>
    </row>
    <row r="614">
      <c r="A614" t="inlineStr">
        <is>
          <t>Global Monster Damage-Taken Bonus %</t>
        </is>
      </c>
      <c r="B614">
        <f>IF(Inputs!$B$3&gt;=82,15,0)+((C589=TRUE)*F589*IF(AND(Inputs!$B$39&lt;&gt;"pvp",Inputs!$B$44&gt;0),(((R589-1)*(Skills!Y16*(1+Inputs!$B$34/100))+MIN((Skills!Y16*(1+Inputs!$B$34/100)),MAX(0,Inputs!$B$44-((R589-1)*Skills!D16))))/Inputs!$B$44),IF(Inputs!$B$39="pvp",MIN((Skills!Y16*(1+Inputs!$B$34/100)),15)/15,(Skills!Y16*(1+Inputs!$B$34/100))/Skills!D16)))</f>
        <v/>
      </c>
    </row>
    <row r="615">
      <c r="A615" t="inlineStr">
        <is>
          <t>Shadow Partner Average Multiplier</t>
        </is>
      </c>
      <c r="B615">
        <f>1+((C584=TRUE)*F584*I584*Skills!J11/100)/100</f>
        <v/>
      </c>
    </row>
    <row r="616">
      <c r="A616" t="inlineStr">
        <is>
          <t>Global Critical Damage Bonus % (Frailty Curse Mastery Lv.111)</t>
        </is>
      </c>
      <c r="B616">
        <f>IF(Inputs!$B$3&gt;=111,30,0)*IF(AND(Inputs!$B$39&lt;&gt;"pvp",Inputs!$B$44&gt;0),(((R589-1)*(Skills!Y16*(1+Inputs!$B$34/100))+MIN((Skills!Y16*(1+Inputs!$B$34/100)),MAX(0,Inputs!$B$44-((R589-1)*Skills!D16))))/Inputs!$B$44),IF(Inputs!$B$39="pvp",MIN((Skills!Y16*(1+Inputs!$B$34/100)),15)/15,(Skills!Y16*(1+Inputs!$B$34/100))/Skills!D16))</f>
        <v/>
      </c>
    </row>
    <row r="617">
      <c r="A617" s="5" t="inlineStr">
        <is>
          <t>TOTAL DPS</t>
        </is>
      </c>
      <c r="B617" s="5">
        <f>SUM(O575:O604)</f>
        <v/>
      </c>
    </row>
    <row r="618">
      <c r="A618" t="inlineStr">
        <is>
          <t>Buff-Casting Startup Delay (s, fixed-duration only)</t>
        </is>
      </c>
      <c r="B618">
        <f>IF(AND(Inputs!$B$39&lt;&gt;"pvp",Inputs!$B$44&gt;0),SUMPRODUCT((Skills!Y2:Y31&gt;0)*(Skills!E2:E31=TRUE)*(C575:C604=TRUE))/B609,0)</f>
        <v/>
      </c>
    </row>
    <row r="619">
      <c r="A619" t="inlineStr">
        <is>
          <t>Boss-Only Total DPS (this block's swept value)</t>
        </is>
      </c>
      <c r="B619">
        <f>SUM(T575:T604)</f>
        <v/>
      </c>
    </row>
    <row r="620">
      <c r="A620" t="inlineStr">
        <is>
          <t>Normal-Only Total DPS (this block's swept value)</t>
        </is>
      </c>
      <c r="B620">
        <f>SUM(V575:V604)</f>
        <v/>
      </c>
    </row>
    <row r="622">
      <c r="A622" s="5" t="inlineStr">
        <is>
          <t>Stat: ATTACK_SPEED % (diminishing returns, factor 150)</t>
        </is>
      </c>
    </row>
    <row r="623">
      <c r="A623" s="9" t="inlineStr">
        <is>
          <t>Key</t>
        </is>
      </c>
      <c r="B623" s="9" t="inlineStr">
        <is>
          <t>Name</t>
        </is>
      </c>
      <c r="C623" s="9" t="inlineStr">
        <is>
          <t>Unlocked</t>
        </is>
      </c>
      <c r="D623" s="9" t="inlineStr">
        <is>
          <t>InputLevel</t>
        </is>
      </c>
      <c r="E623" s="9" t="inlineStr">
        <is>
          <t>Factor</t>
        </is>
      </c>
      <c r="F623" s="9" t="inlineStr">
        <is>
          <t>CoefficientPercent</t>
        </is>
      </c>
      <c r="G623" s="9" t="inlineStr">
        <is>
          <t>EffectiveHits</t>
        </is>
      </c>
      <c r="H623" s="9" t="inlineStr">
        <is>
          <t>ProcProbability</t>
        </is>
      </c>
      <c r="I623" s="9" t="inlineStr">
        <is>
          <t>MapleHeroMultiplier</t>
        </is>
      </c>
      <c r="J623" s="9" t="inlineStr">
        <is>
          <t>BaseDamage</t>
        </is>
      </c>
      <c r="K623" s="9" t="inlineStr">
        <is>
          <t>BaseHitDamage</t>
        </is>
      </c>
      <c r="L623" s="9" t="inlineStr">
        <is>
          <t>NonCritAvg</t>
        </is>
      </c>
      <c r="M623" s="9" t="inlineStr">
        <is>
          <t>CritAvg</t>
        </is>
      </c>
      <c r="N623" s="9" t="inlineStr">
        <is>
          <t>ExpectedDamage(perHit)</t>
        </is>
      </c>
      <c r="O623" s="9" t="inlineStr">
        <is>
          <t>DPS</t>
        </is>
      </c>
      <c r="P623" s="9" t="inlineStr">
        <is>
          <t>% of Total</t>
        </is>
      </c>
      <c r="Q623" s="9" t="inlineStr">
        <is>
          <t>InvCooldown</t>
        </is>
      </c>
      <c r="R623" s="9" t="inlineStr">
        <is>
          <t>CastsInFight</t>
        </is>
      </c>
      <c r="S623" s="9" t="inlineStr">
        <is>
          <t>HitRate(perSec)</t>
        </is>
      </c>
      <c r="U623" t="inlineStr">
        <is>
          <t>helpers</t>
        </is>
      </c>
    </row>
    <row r="624">
      <c r="A624">
        <f>Skills!A2</f>
        <v/>
      </c>
      <c r="B624">
        <f>Skills!B2</f>
        <v/>
      </c>
      <c r="C624">
        <f>Inputs!$B$3&gt;=100</f>
        <v/>
      </c>
      <c r="D624" t="inlineStr"/>
      <c r="E624" t="inlineStr"/>
      <c r="F624">
        <f>U628+Skills!O2</f>
        <v/>
      </c>
      <c r="G624">
        <f>Calc!G2</f>
        <v/>
      </c>
      <c r="H624">
        <f>Calc!H2</f>
        <v/>
      </c>
      <c r="I624">
        <f>IF(Skills!AA2&lt;&gt;"",1+(Skills!AA2/10)*(U625/1000)/100,1)</f>
        <v/>
      </c>
      <c r="J624">
        <f>((Inputs!$B$6*(1+Inputs!$B$7/100))+(((Inputs!$B$12*(1+Inputs!$B$13/100))-(Inputs!$B$12*(1+Inputs!$B$13/100)))+0.25*(Inputs!$B$14-Inputs!$B$14))*(1+Inputs!$B$7/100))*(F624/100)</f>
        <v/>
      </c>
      <c r="K624">
        <f>J624*(1+((Inputs!$B$12*(1+Inputs!$B$13/100))*0.01+Inputs!$B$14*0.0025)/100)*(1+Inputs!$B$15/100)*(1+Inputs!$B$16/100)*(5000/(6000+Inputs!$B$43*(1-Inputs!$B$19/100)))*(1+(Inputs!$B$24+((C652=TRUE)*(F652-Calc!F30)))/100)*(1+Skills!R2/100)*(1+(IF(Skills!A2="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624)</f>
        <v/>
      </c>
      <c r="L624">
        <f>K624*(MIN(Inputs!$B$22+((C646=TRUE)*(F646-Calc!F24)),Inputs!$B$23)/100+Inputs!$B$23/100)/2</f>
        <v/>
      </c>
      <c r="M624">
        <f>L624*(1+(Inputs!$B$10+((C648=TRUE)*(F648-Calc!F26))+B665)/100)</f>
        <v/>
      </c>
      <c r="N624">
        <f>L624*(1-MIN((Inputs!$B$9+((C647=TRUE)*(F647-Calc!F25))+B662),100)/100)+M624*(MIN((Inputs!$B$9+((C647=TRUE)*(F647-Calc!F25))+B662),100)/100)</f>
        <v/>
      </c>
      <c r="O624">
        <f>(1-Summary!$B$55)*T624+Summary!$B$55*V624</f>
        <v/>
      </c>
      <c r="P624">
        <f>IF(B666=0,0,O624/B666)</f>
        <v/>
      </c>
      <c r="Q624" t="n">
        <v>0</v>
      </c>
      <c r="R624" t="n">
        <v>0</v>
      </c>
      <c r="S624">
        <f>IFERROR(O624/N624,0)</f>
        <v/>
      </c>
      <c r="T624">
        <f>IF(C624,(Skills!G2*N624*B660)*IF(Inputs!$B$39="pvp",1,1+(Inputs!$B$20+((C649=TRUE)*(F649-Calc!F27))+Skills!P2+B663)/100),0)</f>
        <v/>
      </c>
      <c r="U624">
        <f>MAX(0,(Inputs!$B$3-100)*3)+Inputs!$B$28+Inputs!$B$29</f>
        <v/>
      </c>
      <c r="V624">
        <f>IF(C624,(Skills!G2*N624*B660)*IF(Inputs!$B$39="pvp",1,(1+(Inputs!$B$21+Skills!Q2+B663)/100)*(MIN((6+Inputs!$B$33),Inputs!$B$37))),0)</f>
        <v/>
      </c>
    </row>
    <row r="625">
      <c r="A625">
        <f>Skills!A3</f>
        <v/>
      </c>
      <c r="B625">
        <f>Skills!B3</f>
        <v/>
      </c>
      <c r="C625">
        <f>Inputs!$B$3&gt;=35</f>
        <v/>
      </c>
      <c r="D625">
        <f>IF(Skills!C3=1,60+Inputs!$B$25+Inputs!$B$29,IF(Skills!C3=2,90+Inputs!$B$26+Inputs!$B$29,IF(Skills!C3=3,120+Inputs!$B$27+Inputs!$B$29,MAX(0,(Inputs!$B$3-100)*3)+Inputs!$B$28+Inputs!$B$29)))</f>
        <v/>
      </c>
      <c r="E625">
        <f>INDEX(FactorTable!$B$2:$Y$301, MATCH(ROUND(MIN(300,MAX(1,D625)),0), FactorTable!$A$2:$A$301,0), Skills!M3+1)</f>
        <v/>
      </c>
      <c r="F625">
        <f>IF(Skills!N3=TRUE,(Skills!L3/10)*(E625/1000),Skills!L3/10)+Skills!O3</f>
        <v/>
      </c>
      <c r="G625">
        <f>Calc!G3</f>
        <v/>
      </c>
      <c r="H625">
        <f>Calc!H3</f>
        <v/>
      </c>
      <c r="I625">
        <f>IF(Skills!AA3&lt;&gt;"",1+(Skills!AA3/10)*(U625/1000)/100,1)</f>
        <v/>
      </c>
      <c r="J625">
        <f>((Inputs!$B$6*(1+Inputs!$B$7/100))+(((Inputs!$B$12*(1+Inputs!$B$13/100))-(Inputs!$B$12*(1+Inputs!$B$13/100)))+0.25*(Inputs!$B$14-Inputs!$B$14))*(1+Inputs!$B$7/100))*(F625/100)</f>
        <v/>
      </c>
      <c r="K625">
        <f>J625*(1+((Inputs!$B$12*(1+Inputs!$B$13/100))*0.01+Inputs!$B$14*0.0025)/100)*(1+Inputs!$B$15/100)*(1+Inputs!$B$16/100)*(5000/(6000+Inputs!$B$43*(1-Inputs!$B$19/100)))*(1+(Inputs!$B$24+((C652=TRUE)*(F652-Calc!F30)))/100)*(1+Skills!R3/100)*(1+(IF(Skills!A3="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625)</f>
        <v/>
      </c>
      <c r="L625">
        <f>K625*(MIN(Inputs!$B$22+((C646=TRUE)*(F646-Calc!F24)),Inputs!$B$23)/100+Inputs!$B$23/100)/2</f>
        <v/>
      </c>
      <c r="M625">
        <f>L625*(1+(Inputs!$B$10+((C648=TRUE)*(F648-Calc!F26))+B665)/100)</f>
        <v/>
      </c>
      <c r="N625">
        <f>L625*(1-MIN((Inputs!$B$9+((C647=TRUE)*(F647-Calc!F25))+B662),100)/100)+M625*(MIN((Inputs!$B$9+((C647=TRUE)*(F647-Calc!F25))+B662),100)/100)</f>
        <v/>
      </c>
      <c r="O625">
        <f>(1-Summary!$B$55)*T625+Summary!$B$55*V625</f>
        <v/>
      </c>
      <c r="P625">
        <f>IF(B666=0,0,O625/B666)</f>
        <v/>
      </c>
      <c r="Q625">
        <f>IFERROR(1/IF(Inputs!$B$39="pvp",15,MAX(0.1,Skills!D3-IF(Skills!E3=TRUE,Inputs!$B$32,0))),0)</f>
        <v/>
      </c>
      <c r="R625">
        <f>IF(AND(Inputs!$B$39&lt;&gt;"pvp",Inputs!$B$44&gt;0),IF(MAX(0,Inputs!$B$44-B667)&lt;=0,0,(INT(MAX(0,Inputs!$B$44-B667)/IF(Inputs!$B$39="pvp",15,MAX(0.1,Skills!D3-IF(Skills!E3=TRUE,Inputs!$B$32,0))))+1)),0)</f>
        <v/>
      </c>
      <c r="S625">
        <f>IFERROR(O625/N625,0)</f>
        <v/>
      </c>
      <c r="T625">
        <f>IF(C625,(H625*N625*IF(AND(Inputs!$B$39&lt;&gt;"pvp",Inputs!$B$44&gt;0),((Skills!G3*((R625-1)*IF(Skills!H3&gt;0,Skills!I3/Skills!H3,1)+IF(Skills!H3&gt;0,MIN(Skills!I3,MAX(0,MAX(0,Inputs!$B$44-B667)-((R625-1)*IF(Inputs!$B$39="pvp",15,MAX(0.1,Skills!D3-IF(Skills!E3=TRUE,Inputs!$B$32,0))))))/Skills!H3,1)))/Inputs!$B$44),G625*Q625))*IF(Inputs!$B$39="pvp",1,1+(Inputs!$B$20+((C649=TRUE)*(F649-Calc!F27))+Skills!P3+B663)/100),0)</f>
        <v/>
      </c>
      <c r="U625">
        <f>INDEX(FactorTable!$B$2:$Y$301, MATCH(ROUND(MIN(300,MAX(1,U624)),0), FactorTable!$A$2:$A$301,0), 24)</f>
        <v/>
      </c>
      <c r="V625">
        <f>IF(C625,(H625*N625*IF(AND(Inputs!$B$39&lt;&gt;"pvp",Inputs!$B$44&gt;0),((Skills!G3*((R625-1)*IF(Skills!H3&gt;0,Skills!I3/Skills!H3,1)+IF(Skills!H3&gt;0,MIN(Skills!I3,MAX(0,MAX(0,Inputs!$B$44-B667)-((R625-1)*IF(Inputs!$B$39="pvp",15,MAX(0.1,Skills!D3-IF(Skills!E3=TRUE,Inputs!$B$32,0))))))/Skills!H3,1)))/Inputs!$B$44),G625*Q625))*IF(Inputs!$B$39="pvp",1,(1+(Inputs!$B$21+Skills!Q3+B663)/100)*(MIN(Skills!W3,Inputs!$B$37))),0)</f>
        <v/>
      </c>
    </row>
    <row r="626">
      <c r="A626">
        <f>Skills!A4</f>
        <v/>
      </c>
      <c r="B626">
        <f>Skills!B4</f>
        <v/>
      </c>
      <c r="C626">
        <f>Inputs!$B$3&gt;=40</f>
        <v/>
      </c>
      <c r="D626">
        <f>IF(Skills!C4=1,60+Inputs!$B$25+Inputs!$B$29,IF(Skills!C4=2,90+Inputs!$B$26+Inputs!$B$29,IF(Skills!C4=3,120+Inputs!$B$27+Inputs!$B$29,MAX(0,(Inputs!$B$3-100)*3)+Inputs!$B$28+Inputs!$B$29)))</f>
        <v/>
      </c>
      <c r="E626">
        <f>INDEX(FactorTable!$B$2:$Y$301, MATCH(ROUND(MIN(300,MAX(1,D626)),0), FactorTable!$A$2:$A$301,0), Skills!M4+1)</f>
        <v/>
      </c>
      <c r="F626">
        <f>IF(Skills!N4=TRUE,(Skills!L4/10)*(E626/1000),Skills!L4/10)+Skills!O4</f>
        <v/>
      </c>
      <c r="G626">
        <f>Calc!G4</f>
        <v/>
      </c>
      <c r="H626">
        <f>Calc!H4</f>
        <v/>
      </c>
      <c r="I626">
        <f>IF(Skills!AA4&lt;&gt;"",1+(Skills!AA4/10)*(U625/1000)/100,1)</f>
        <v/>
      </c>
      <c r="J626">
        <f>((Inputs!$B$6*(1+Inputs!$B$7/100))+(((Inputs!$B$12*(1+Inputs!$B$13/100))-(Inputs!$B$12*(1+Inputs!$B$13/100)))+0.25*(Inputs!$B$14-Inputs!$B$14))*(1+Inputs!$B$7/100))*(F626/100)</f>
        <v/>
      </c>
      <c r="K626">
        <f>J626*(1+((Inputs!$B$12*(1+Inputs!$B$13/100))*0.01+Inputs!$B$14*0.0025)/100)*(1+Inputs!$B$15/100)*(1+Inputs!$B$16/100)*(5000/(6000+Inputs!$B$43*(1-Inputs!$B$19/100)))*(1+(Inputs!$B$24+((C652=TRUE)*(F652-Calc!F30)))/100)*(1+Skills!R4/100)*(1+(IF(Skills!A4="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626)</f>
        <v/>
      </c>
      <c r="L626">
        <f>K626*(MIN(Inputs!$B$22+((C646=TRUE)*(F646-Calc!F24)),Inputs!$B$23)/100+Inputs!$B$23/100)/2</f>
        <v/>
      </c>
      <c r="M626">
        <f>L626*(1+(Inputs!$B$10+((C648=TRUE)*(F648-Calc!F26))+B665)/100)</f>
        <v/>
      </c>
      <c r="N626">
        <f>L626*(1-MIN((Inputs!$B$9+((C647=TRUE)*(F647-Calc!F25))+B662),100)/100)+M626*(MIN((Inputs!$B$9+((C647=TRUE)*(F647-Calc!F25))+B662),100)/100)</f>
        <v/>
      </c>
      <c r="O626">
        <f>(1-Summary!$B$55)*T626+Summary!$B$55*V626</f>
        <v/>
      </c>
      <c r="P626">
        <f>IF(B666=0,0,O626/B666)</f>
        <v/>
      </c>
      <c r="Q626">
        <f>IFERROR(1/IF(Inputs!$B$39="pvp",15,MAX(0.1,Skills!D4-IF(Skills!E4=TRUE,Inputs!$B$32,0))),0)</f>
        <v/>
      </c>
      <c r="R626">
        <f>IF(AND(Inputs!$B$39&lt;&gt;"pvp",Inputs!$B$44&gt;0),IF(MAX(0,Inputs!$B$44-B667)&lt;=0,0,(INT(MAX(0,Inputs!$B$44-B667)/IF(Inputs!$B$39="pvp",15,MAX(0.1,Skills!D4-IF(Skills!E4=TRUE,Inputs!$B$32,0))))+1)),0)</f>
        <v/>
      </c>
      <c r="S626">
        <f>IFERROR(O626/N626,0)</f>
        <v/>
      </c>
      <c r="T626">
        <f>IF(C626,(H626*N626*IF(AND(Inputs!$B$39&lt;&gt;"pvp",Inputs!$B$44&gt;0),((Skills!G4*((R626-1)*IF(Skills!H4&gt;0,Skills!I4/Skills!H4,1)+IF(Skills!H4&gt;0,MIN(Skills!I4,MAX(0,MAX(0,Inputs!$B$44-B667)-((R626-1)*IF(Inputs!$B$39="pvp",15,MAX(0.1,Skills!D4-IF(Skills!E4=TRUE,Inputs!$B$32,0))))))/Skills!H4,1)))/Inputs!$B$44),G626*Q626))*IF(Inputs!$B$39="pvp",1,1+(Inputs!$B$20+((C649=TRUE)*(F649-Calc!F27))+Skills!P4+B663)/100),0)</f>
        <v/>
      </c>
      <c r="U626">
        <f>MAX(0,(Inputs!$B$3-100)*3)+Inputs!$B$28+Inputs!$B$29</f>
        <v/>
      </c>
      <c r="V626">
        <f>IF(C626,(H626*N626*IF(AND(Inputs!$B$39&lt;&gt;"pvp",Inputs!$B$44&gt;0),((Skills!G4*((R626-1)*IF(Skills!H4&gt;0,Skills!I4/Skills!H4,1)+IF(Skills!H4&gt;0,MIN(Skills!I4,MAX(0,MAX(0,Inputs!$B$44-B667)-((R626-1)*IF(Inputs!$B$39="pvp",15,MAX(0.1,Skills!D4-IF(Skills!E4=TRUE,Inputs!$B$32,0))))))/Skills!H4,1)))/Inputs!$B$44),G626*Q626))*IF(Inputs!$B$39="pvp",1,(1+(Inputs!$B$21+Skills!Q4+B663)/100)*(MIN(Skills!W4,Inputs!$B$37))),0)</f>
        <v/>
      </c>
    </row>
    <row r="627">
      <c r="A627">
        <f>Skills!A5</f>
        <v/>
      </c>
      <c r="B627">
        <f>Skills!B5</f>
        <v/>
      </c>
      <c r="C627">
        <f>Inputs!$B$3&gt;=63</f>
        <v/>
      </c>
      <c r="D627">
        <f>IF(Skills!C5=1,60+Inputs!$B$25+Inputs!$B$29,IF(Skills!C5=2,90+Inputs!$B$26+Inputs!$B$29,IF(Skills!C5=3,120+Inputs!$B$27+Inputs!$B$29,MAX(0,(Inputs!$B$3-100)*3)+Inputs!$B$28+Inputs!$B$29)))</f>
        <v/>
      </c>
      <c r="E627">
        <f>INDEX(FactorTable!$B$2:$Y$301, MATCH(ROUND(MIN(300,MAX(1,D627)),0), FactorTable!$A$2:$A$301,0), Skills!M5+1)</f>
        <v/>
      </c>
      <c r="F627">
        <f>IF(Skills!N5=TRUE,(Skills!L5/10)*(E627/1000),Skills!L5/10)+Skills!O5</f>
        <v/>
      </c>
      <c r="G627">
        <f>Calc!G5</f>
        <v/>
      </c>
      <c r="H627">
        <f>Calc!H5</f>
        <v/>
      </c>
      <c r="I627">
        <f>IF(Skills!AA5&lt;&gt;"",1+(Skills!AA5/10)*(U625/1000)/100,1)</f>
        <v/>
      </c>
      <c r="J627">
        <f>((Inputs!$B$6*(1+Inputs!$B$7/100))+(((Inputs!$B$12*(1+Inputs!$B$13/100))-(Inputs!$B$12*(1+Inputs!$B$13/100)))+0.25*(Inputs!$B$14-Inputs!$B$14))*(1+Inputs!$B$7/100))*(F627/100)</f>
        <v/>
      </c>
      <c r="K627">
        <f>J627*(1+((Inputs!$B$12*(1+Inputs!$B$13/100))*0.01+Inputs!$B$14*0.0025)/100)*(1+Inputs!$B$15/100)*(1+Inputs!$B$16/100)*(5000/(6000+Inputs!$B$43*(1-Inputs!$B$19/100)))*(1+(Inputs!$B$24+((C652=TRUE)*(F652-Calc!F30)))/100)*(1+Skills!R5/100)*(1+(IF(Skills!A5="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627)</f>
        <v/>
      </c>
      <c r="L627">
        <f>K627*(MIN(Inputs!$B$22+((C646=TRUE)*(F646-Calc!F24)),Inputs!$B$23)/100+Inputs!$B$23/100)/2</f>
        <v/>
      </c>
      <c r="M627">
        <f>L627*(1+(Inputs!$B$10+((C648=TRUE)*(F648-Calc!F26))+B665)/100)</f>
        <v/>
      </c>
      <c r="N627">
        <f>L627*(1-MIN((Inputs!$B$9+((C647=TRUE)*(F647-Calc!F25))+B662),100)/100)+M627*(MIN((Inputs!$B$9+((C647=TRUE)*(F647-Calc!F25))+B662),100)/100)</f>
        <v/>
      </c>
      <c r="O627">
        <f>(1-Summary!$B$55)*T627+Summary!$B$55*V627</f>
        <v/>
      </c>
      <c r="P627">
        <f>IF(B666=0,0,O627/B666)</f>
        <v/>
      </c>
      <c r="Q627">
        <f>IFERROR(1/IF(Inputs!$B$39="pvp",15,MAX(0.1,Skills!D5-IF(Skills!E5=TRUE,Inputs!$B$32,0))),0)</f>
        <v/>
      </c>
      <c r="R627">
        <f>IF(AND(Inputs!$B$39&lt;&gt;"pvp",Inputs!$B$44&gt;0),IF(MAX(0,Inputs!$B$44-B667)&lt;=0,0,(INT(MAX(0,Inputs!$B$44-B667)/IF(Inputs!$B$39="pvp",15,MAX(0.1,Skills!D5-IF(Skills!E5=TRUE,Inputs!$B$32,0))))+1)),0)</f>
        <v/>
      </c>
      <c r="S627">
        <f>IFERROR(O627/N627,0)</f>
        <v/>
      </c>
      <c r="T627">
        <f>IF(C627,(H627*N627*IF(AND(Inputs!$B$39&lt;&gt;"pvp",Inputs!$B$44&gt;0),((Skills!G5*((R627-1)*IF(Skills!H5&gt;0,Skills!I5/Skills!H5,1)+IF(Skills!H5&gt;0,MIN(Skills!I5,MAX(0,MAX(0,Inputs!$B$44-B667)-((R627-1)*IF(Inputs!$B$39="pvp",15,MAX(0.1,Skills!D5-IF(Skills!E5=TRUE,Inputs!$B$32,0))))))/Skills!H5,1)))/Inputs!$B$44),G627*Q627))*IF(Inputs!$B$39="pvp",1,1+(Inputs!$B$20+((C649=TRUE)*(F649-Calc!F27))+Skills!P5+B663)/100),0)</f>
        <v/>
      </c>
      <c r="U627">
        <f>INDEX(FactorTable!$B$2:$Y$301, MATCH(ROUND(MIN(300,MAX(1,U626)),0), FactorTable!$A$2:$A$301,0), 22)</f>
        <v/>
      </c>
      <c r="V627">
        <f>IF(C627,(H627*N627*IF(AND(Inputs!$B$39&lt;&gt;"pvp",Inputs!$B$44&gt;0),((Skills!G5*((R627-1)*IF(Skills!H5&gt;0,Skills!I5/Skills!H5,1)+IF(Skills!H5&gt;0,MIN(Skills!I5,MAX(0,MAX(0,Inputs!$B$44-B667)-((R627-1)*IF(Inputs!$B$39="pvp",15,MAX(0.1,Skills!D5-IF(Skills!E5=TRUE,Inputs!$B$32,0))))))/Skills!H5,1)))/Inputs!$B$44),G627*Q627))*IF(Inputs!$B$39="pvp",1,(1+(Inputs!$B$21+Skills!Q5+B663)/100)*(MIN(Skills!W5,Inputs!$B$37))),0)</f>
        <v/>
      </c>
    </row>
    <row r="628">
      <c r="A628">
        <f>Skills!A6</f>
        <v/>
      </c>
      <c r="B628">
        <f>Skills!B6</f>
        <v/>
      </c>
      <c r="C628">
        <f>Inputs!$B$3&gt;=66</f>
        <v/>
      </c>
      <c r="D628">
        <f>IF(Skills!C6=1,60+Inputs!$B$25+Inputs!$B$29,IF(Skills!C6=2,90+Inputs!$B$26+Inputs!$B$29,IF(Skills!C6=3,120+Inputs!$B$27+Inputs!$B$29,MAX(0,(Inputs!$B$3-100)*3)+Inputs!$B$28+Inputs!$B$29)))</f>
        <v/>
      </c>
      <c r="E628">
        <f>INDEX(FactorTable!$B$2:$Y$301, MATCH(ROUND(MIN(300,MAX(1,D628)),0), FactorTable!$A$2:$A$301,0), Skills!M6+1)</f>
        <v/>
      </c>
      <c r="F628">
        <f>IF(Skills!N6=TRUE,(Skills!L6/10)*(E628/1000),Skills!L6/10)+Skills!O6</f>
        <v/>
      </c>
      <c r="G628">
        <f>Calc!G6</f>
        <v/>
      </c>
      <c r="H628">
        <f>Calc!H6</f>
        <v/>
      </c>
      <c r="I628">
        <f>IF(Skills!AA6&lt;&gt;"",1+(Skills!AA6/10)*(U625/1000)/100,1)</f>
        <v/>
      </c>
      <c r="J628" t="inlineStr"/>
      <c r="K628" t="inlineStr"/>
      <c r="L628" t="inlineStr"/>
      <c r="M628" t="inlineStr"/>
      <c r="N628" t="inlineStr"/>
      <c r="O628">
        <f>(1-Summary!$B$55)*T628+Summary!$B$55*V628</f>
        <v/>
      </c>
      <c r="P628">
        <f>IF(B666=0,0,O628/B666)</f>
        <v/>
      </c>
      <c r="Q628" t="n">
        <v>0</v>
      </c>
      <c r="R628" t="n">
        <v>0</v>
      </c>
      <c r="S628">
        <f>IFERROR(O628/N628,0)</f>
        <v/>
      </c>
      <c r="T628" t="n">
        <v>0</v>
      </c>
      <c r="U628">
        <f>290*U627/1000</f>
        <v/>
      </c>
      <c r="V628" t="n">
        <v>0</v>
      </c>
    </row>
    <row r="629">
      <c r="A629">
        <f>Skills!A7</f>
        <v/>
      </c>
      <c r="B629">
        <f>Skills!B7</f>
        <v/>
      </c>
      <c r="C629">
        <f>Inputs!$B$3&gt;=66</f>
        <v/>
      </c>
      <c r="D629">
        <f>IF(Skills!C7=1,60+Inputs!$B$25+Inputs!$B$29,IF(Skills!C7=2,90+Inputs!$B$26+Inputs!$B$29,IF(Skills!C7=3,120+Inputs!$B$27+Inputs!$B$29,MAX(0,(Inputs!$B$3-100)*3)+Inputs!$B$28+Inputs!$B$29)))</f>
        <v/>
      </c>
      <c r="E629">
        <f>INDEX(FactorTable!$B$2:$Y$301, MATCH(ROUND(MIN(300,MAX(1,D629)),0), FactorTable!$A$2:$A$301,0), Skills!M7+1)</f>
        <v/>
      </c>
      <c r="F629">
        <f>IF(Skills!N7=TRUE,(Skills!L7/10)*(E629/1000),Skills!L7/10)+Skills!O7</f>
        <v/>
      </c>
      <c r="G629">
        <f>Calc!G7</f>
        <v/>
      </c>
      <c r="H629">
        <f>Calc!H7</f>
        <v/>
      </c>
      <c r="I629">
        <f>IF(Skills!AA7&lt;&gt;"",1+(Skills!AA7/10)*(U625/1000)/100,1)</f>
        <v/>
      </c>
      <c r="J629" t="inlineStr"/>
      <c r="K629" t="inlineStr"/>
      <c r="L629" t="inlineStr"/>
      <c r="M629" t="inlineStr"/>
      <c r="N629" t="inlineStr"/>
      <c r="O629">
        <f>(1-Summary!$B$55)*T629+Summary!$B$55*V629</f>
        <v/>
      </c>
      <c r="P629">
        <f>IF(B666=0,0,O629/B666)</f>
        <v/>
      </c>
      <c r="Q629" t="n">
        <v>0</v>
      </c>
      <c r="R629" t="n">
        <v>0</v>
      </c>
      <c r="S629">
        <f>IFERROR(O629/N629,0)</f>
        <v/>
      </c>
      <c r="T629" t="n">
        <v>0</v>
      </c>
      <c r="V629" t="n">
        <v>0</v>
      </c>
    </row>
    <row r="630">
      <c r="A630">
        <f>Skills!A8</f>
        <v/>
      </c>
      <c r="B630">
        <f>Skills!B8</f>
        <v/>
      </c>
      <c r="C630">
        <f>Inputs!$B$3&gt;=69</f>
        <v/>
      </c>
      <c r="D630">
        <f>IF(Skills!C8=1,60+Inputs!$B$25+Inputs!$B$29,IF(Skills!C8=2,90+Inputs!$B$26+Inputs!$B$29,IF(Skills!C8=3,120+Inputs!$B$27+Inputs!$B$29,MAX(0,(Inputs!$B$3-100)*3)+Inputs!$B$28+Inputs!$B$29)))</f>
        <v/>
      </c>
      <c r="E630">
        <f>INDEX(FactorTable!$B$2:$Y$301, MATCH(ROUND(MIN(300,MAX(1,D630)),0), FactorTable!$A$2:$A$301,0), Skills!M8+1)</f>
        <v/>
      </c>
      <c r="F630">
        <f>IF(Skills!N8=TRUE,(Skills!L8/10)*(E630/1000),Skills!L8/10)+Skills!O8</f>
        <v/>
      </c>
      <c r="G630">
        <f>Calc!G8</f>
        <v/>
      </c>
      <c r="H630">
        <f>Calc!H8</f>
        <v/>
      </c>
      <c r="I630">
        <f>IF(Skills!AA8&lt;&gt;"",1+(Skills!AA8/10)*(U625/1000)/100,1)</f>
        <v/>
      </c>
      <c r="J630">
        <f>((Inputs!$B$6*(1+Inputs!$B$7/100))+(((Inputs!$B$12*(1+Inputs!$B$13/100))-(Inputs!$B$12*(1+Inputs!$B$13/100)))+0.25*(Inputs!$B$14-Inputs!$B$14))*(1+Inputs!$B$7/100))*(F630/100)</f>
        <v/>
      </c>
      <c r="K630">
        <f>J630*(1+((Inputs!$B$12*(1+Inputs!$B$13/100))*0.01+Inputs!$B$14*0.0025)/100)*(1+Inputs!$B$15/100)*(1+Inputs!$B$16/100)*(5000/(6000+Inputs!$B$43*(1-Inputs!$B$19/100)))*(1+(Inputs!$B$24+((C652=TRUE)*(F652-Calc!F30)))/100)*(1+Skills!R8/100)*(1+(IF(Skills!A8="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630)</f>
        <v/>
      </c>
      <c r="L630">
        <f>K630*(MIN(Inputs!$B$22+((C646=TRUE)*(F646-Calc!F24)),Inputs!$B$23)/100+Inputs!$B$23/100)/2</f>
        <v/>
      </c>
      <c r="M630">
        <f>L630*(1+(Inputs!$B$10+((C648=TRUE)*(F648-Calc!F26))+B665)/100)</f>
        <v/>
      </c>
      <c r="N630">
        <f>L630*(1-MIN((Inputs!$B$9+((C647=TRUE)*(F647-Calc!F25))+B662),100)/100)+M630*(MIN((Inputs!$B$9+((C647=TRUE)*(F647-Calc!F25))+B662),100)/100)</f>
        <v/>
      </c>
      <c r="O630">
        <f>(1-Summary!$B$55)*T630+Summary!$B$55*V630</f>
        <v/>
      </c>
      <c r="P630">
        <f>IF(B666=0,0,O630/B666)</f>
        <v/>
      </c>
      <c r="Q630">
        <f>IFERROR(1/IF(Inputs!$B$39="pvp",15,MAX(0.1,Skills!D8-IF(Skills!E8=TRUE,Inputs!$B$32,0))),0)</f>
        <v/>
      </c>
      <c r="R630">
        <f>IF(AND(Inputs!$B$39&lt;&gt;"pvp",Inputs!$B$44&gt;0),IF(MAX(0,Inputs!$B$44-B667)&lt;=0,0,(INT(MAX(0,Inputs!$B$44-B667)/IF(Inputs!$B$39="pvp",15,MAX(0.1,Skills!D8-IF(Skills!E8=TRUE,Inputs!$B$32,0))))+1)),0)</f>
        <v/>
      </c>
      <c r="S630">
        <f>IFERROR(O630/N630,0)</f>
        <v/>
      </c>
      <c r="T630">
        <f>IF(C630,(H630*N630*IF(AND(Inputs!$B$39&lt;&gt;"pvp",Inputs!$B$44&gt;0),((Skills!G8*((R630-1)*IF(Skills!H8&gt;0,Skills!I8/Skills!H8,1)+IF(Skills!H8&gt;0,MIN(Skills!I8,MAX(0,MAX(0,Inputs!$B$44-B667)-((R630-1)*IF(Inputs!$B$39="pvp",15,MAX(0.1,Skills!D8-IF(Skills!E8=TRUE,Inputs!$B$32,0))))))/Skills!H8,1)))/Inputs!$B$44),G630*Q630))*IF(Inputs!$B$39="pvp",1,1+(Inputs!$B$20+((C649=TRUE)*(F649-Calc!F27))+Skills!P8+B663)/100),0)</f>
        <v/>
      </c>
      <c r="V630">
        <f>IF(C630,(H630*N630*IF(AND(Inputs!$B$39&lt;&gt;"pvp",Inputs!$B$44&gt;0),((Skills!G8*((R630-1)*IF(Skills!H8&gt;0,Skills!I8/Skills!H8,1)+IF(Skills!H8&gt;0,MIN(Skills!I8,MAX(0,MAX(0,Inputs!$B$44-B667)-((R630-1)*IF(Inputs!$B$39="pvp",15,MAX(0.1,Skills!D8-IF(Skills!E8=TRUE,Inputs!$B$32,0))))))/Skills!H8,1)))/Inputs!$B$44),G630*Q630))*IF(Inputs!$B$39="pvp",1,(1+(Inputs!$B$21+Skills!Q8+B663)/100)*(MIN(Skills!W8,Inputs!$B$37))),0)</f>
        <v/>
      </c>
    </row>
    <row r="631">
      <c r="A631">
        <f>Skills!A9</f>
        <v/>
      </c>
      <c r="B631">
        <f>Skills!B9</f>
        <v/>
      </c>
      <c r="C631">
        <f>Inputs!$B$3&gt;=72</f>
        <v/>
      </c>
      <c r="D631">
        <f>IF(Skills!C9=1,60+Inputs!$B$25+Inputs!$B$29,IF(Skills!C9=2,90+Inputs!$B$26+Inputs!$B$29,IF(Skills!C9=3,120+Inputs!$B$27+Inputs!$B$29,MAX(0,(Inputs!$B$3-100)*3)+Inputs!$B$28+Inputs!$B$29)))</f>
        <v/>
      </c>
      <c r="E631">
        <f>INDEX(FactorTable!$B$2:$Y$301, MATCH(ROUND(MIN(300,MAX(1,D631)),0), FactorTable!$A$2:$A$301,0), Skills!M9+1)</f>
        <v/>
      </c>
      <c r="F631">
        <f>IF(Skills!N9=TRUE,(Skills!L9/10)*(E631/1000),Skills!L9/10)+Skills!O9</f>
        <v/>
      </c>
      <c r="G631">
        <f>Calc!G9</f>
        <v/>
      </c>
      <c r="H631">
        <f>Calc!H9</f>
        <v/>
      </c>
      <c r="I631">
        <f>IF(Skills!AA9&lt;&gt;"",1+(Skills!AA9/10)*(U625/1000)/100,1)</f>
        <v/>
      </c>
      <c r="J631">
        <f>((Inputs!$B$6*(1+Inputs!$B$7/100))+(((Inputs!$B$12*(1+Inputs!$B$13/100))-(Inputs!$B$12*(1+Inputs!$B$13/100)))+0.25*(Inputs!$B$14-Inputs!$B$14))*(1+Inputs!$B$7/100))*(F631/100)</f>
        <v/>
      </c>
      <c r="K631">
        <f>J631*(1+((Inputs!$B$12*(1+Inputs!$B$13/100))*0.01+Inputs!$B$14*0.0025)/100)*(1+Inputs!$B$15/100)*(1+Inputs!$B$16/100)*(5000/(6000+Inputs!$B$43*(1-Inputs!$B$19/100)))*(1+(Inputs!$B$24+((C652=TRUE)*(F652-Calc!F30)))/100)*(1+Skills!R9/100)*(1+(IF(Skills!A9="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631)</f>
        <v/>
      </c>
      <c r="L631">
        <f>K631*(MIN(Inputs!$B$22+((C646=TRUE)*(F646-Calc!F24)),Inputs!$B$23)/100+Inputs!$B$23/100)/2</f>
        <v/>
      </c>
      <c r="M631">
        <f>L631*(1+(Inputs!$B$10+((C648=TRUE)*(F648-Calc!F26))+B665)/100)</f>
        <v/>
      </c>
      <c r="N631">
        <f>L631*(1-MIN((Inputs!$B$9+((C647=TRUE)*(F647-Calc!F25))+B662),100)/100)+M631*(MIN((Inputs!$B$9+((C647=TRUE)*(F647-Calc!F25))+B662),100)/100)</f>
        <v/>
      </c>
      <c r="O631">
        <f>(1-Summary!$B$55)*T631+Summary!$B$55*V631</f>
        <v/>
      </c>
      <c r="P631">
        <f>IF(B666=0,0,O631/B666)</f>
        <v/>
      </c>
      <c r="Q631">
        <f>IFERROR(1/IF(Inputs!$B$39="pvp",15,MAX(0.1,Skills!D9-IF(Skills!E9=TRUE,Inputs!$B$32,0))),0)</f>
        <v/>
      </c>
      <c r="R631">
        <f>IF(AND(Inputs!$B$39&lt;&gt;"pvp",Inputs!$B$44&gt;0),IF(MAX(0,Inputs!$B$44-B667)&lt;=0,0,(INT(MAX(0,Inputs!$B$44-B667)/IF(Inputs!$B$39="pvp",15,MAX(0.1,Skills!D9-IF(Skills!E9=TRUE,Inputs!$B$32,0))))+1)),0)</f>
        <v/>
      </c>
      <c r="S631">
        <f>IFERROR(O631/N631,0)</f>
        <v/>
      </c>
      <c r="T631">
        <f>IF(C631,(H631*N631*IF(AND(Inputs!$B$39&lt;&gt;"pvp",Inputs!$B$44&gt;0),((Skills!G9*((R631-1)*IF(Skills!H9&gt;0,Skills!I9/Skills!H9,1)+IF(Skills!H9&gt;0,MIN(Skills!I9,MAX(0,MAX(0,Inputs!$B$44-B667)-((R631-1)*IF(Inputs!$B$39="pvp",15,MAX(0.1,Skills!D9-IF(Skills!E9=TRUE,Inputs!$B$32,0))))))/Skills!H9,1)))/Inputs!$B$44),G631*Q631))*IF(Inputs!$B$39="pvp",1,1+(Inputs!$B$20+((C649=TRUE)*(F649-Calc!F27))+Skills!P9+B663)/100),0)</f>
        <v/>
      </c>
      <c r="V631">
        <f>IF(C631,(H631*N631*IF(AND(Inputs!$B$39&lt;&gt;"pvp",Inputs!$B$44&gt;0),((Skills!G9*((R631-1)*IF(Skills!H9&gt;0,Skills!I9/Skills!H9,1)+IF(Skills!H9&gt;0,MIN(Skills!I9,MAX(0,MAX(0,Inputs!$B$44-B667)-((R631-1)*IF(Inputs!$B$39="pvp",15,MAX(0.1,Skills!D9-IF(Skills!E9=TRUE,Inputs!$B$32,0))))))/Skills!H9,1)))/Inputs!$B$44),G631*Q631))*IF(Inputs!$B$39="pvp",1,(1+(Inputs!$B$21+Skills!Q9+B663)/100)*(MIN(Skills!W9,Inputs!$B$37))),0)</f>
        <v/>
      </c>
    </row>
    <row r="632">
      <c r="A632">
        <f>Skills!A10</f>
        <v/>
      </c>
      <c r="B632">
        <f>Skills!B10</f>
        <v/>
      </c>
      <c r="C632">
        <f>Inputs!$B$3&gt;=117</f>
        <v/>
      </c>
      <c r="D632">
        <f>IF(Skills!C10=1,60+Inputs!$B$25+Inputs!$B$29,IF(Skills!C10=2,90+Inputs!$B$26+Inputs!$B$29,IF(Skills!C10=3,120+Inputs!$B$27+Inputs!$B$29,MAX(0,(Inputs!$B$3-100)*3)+Inputs!$B$28+Inputs!$B$29)))</f>
        <v/>
      </c>
      <c r="E632">
        <f>INDEX(FactorTable!$B$2:$Y$301, MATCH(ROUND(MIN(300,MAX(1,D632)),0), FactorTable!$A$2:$A$301,0), Skills!M10+1)</f>
        <v/>
      </c>
      <c r="F632">
        <f>IF(Skills!N10=TRUE,(Skills!L10/10)*(E632/1000),Skills!L10/10)+Skills!O10</f>
        <v/>
      </c>
      <c r="G632">
        <f>Calc!G10</f>
        <v/>
      </c>
      <c r="H632">
        <f>Calc!H10</f>
        <v/>
      </c>
      <c r="I632">
        <f>IF(Skills!AA10&lt;&gt;"",1+(Skills!AA10/10)*(U625/1000)/100,1)</f>
        <v/>
      </c>
      <c r="J632">
        <f>((Inputs!$B$6*(1+Inputs!$B$7/100))+(((Inputs!$B$12*(1+Inputs!$B$13/100))-(Inputs!$B$12*(1+Inputs!$B$13/100)))+0.25*(Inputs!$B$14-Inputs!$B$14))*(1+Inputs!$B$7/100))*(F632/100)</f>
        <v/>
      </c>
      <c r="K632">
        <f>J632*(1+((Inputs!$B$12*(1+Inputs!$B$13/100))*0.01+Inputs!$B$14*0.0025)/100)*(1+Inputs!$B$15/100)*(1+Inputs!$B$16/100)*(5000/(6000+Inputs!$B$43*(1-Inputs!$B$19/100)))*(1+(Inputs!$B$24+((C652=TRUE)*(F652-Calc!F30)))/100)*(1+Skills!R10/100)*(1+(IF(Skills!A10="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632)</f>
        <v/>
      </c>
      <c r="L632">
        <f>K632*(MIN(Inputs!$B$22+((C646=TRUE)*(F646-Calc!F24)),Inputs!$B$23)/100+Inputs!$B$23/100)/2</f>
        <v/>
      </c>
      <c r="M632">
        <f>L632*(1+(Inputs!$B$10+((C648=TRUE)*(F648-Calc!F26))+B665)/100)</f>
        <v/>
      </c>
      <c r="N632">
        <f>L632*(1-MIN((Inputs!$B$9+((C647=TRUE)*(F647-Calc!F25))+B662),100)/100)+M632*(MIN((Inputs!$B$9+((C647=TRUE)*(F647-Calc!F25))+B662),100)/100)</f>
        <v/>
      </c>
      <c r="O632">
        <f>(1-Summary!$B$55)*T632+Summary!$B$55*V632</f>
        <v/>
      </c>
      <c r="P632">
        <f>IF(B666=0,0,O632/B666)</f>
        <v/>
      </c>
      <c r="Q632" t="n">
        <v>0</v>
      </c>
      <c r="R632" t="n">
        <v>0</v>
      </c>
      <c r="S632" t="n">
        <v>0</v>
      </c>
      <c r="T632">
        <f>IF(C632,(0.2*SUMPRODUCT((Skills!Z2:Z31=TRUE)*(C624:C653=TRUE)*S624:S653)*N632)*IF(Inputs!$B$39="pvp",1,1+(Inputs!$B$20+((C649=TRUE)*(F649-Calc!F27))+Skills!P10+B663)/100),0)</f>
        <v/>
      </c>
      <c r="V632">
        <f>IF(C632,(0.2*SUMPRODUCT((Skills!Z2:Z31=TRUE)*(C624:C653=TRUE)*S624:S653)*N632)*IF(Inputs!$B$39="pvp",1,(1+(Inputs!$B$21+Skills!Q10+B663)/100)*(MIN(Skills!W10,Inputs!$B$37))),0)</f>
        <v/>
      </c>
    </row>
    <row r="633">
      <c r="A633">
        <f>Skills!A11</f>
        <v/>
      </c>
      <c r="B633">
        <f>Skills!B11</f>
        <v/>
      </c>
      <c r="C633">
        <f>Inputs!$B$3&gt;=60</f>
        <v/>
      </c>
      <c r="D633">
        <f>IF(Skills!C11=1,60+Inputs!$B$25+Inputs!$B$29,IF(Skills!C11=2,90+Inputs!$B$26+Inputs!$B$29,IF(Skills!C11=3,120+Inputs!$B$27+Inputs!$B$29,MAX(0,(Inputs!$B$3-100)*3)+Inputs!$B$28+Inputs!$B$29)))</f>
        <v/>
      </c>
      <c r="E633">
        <f>INDEX(FactorTable!$B$2:$Y$301, MATCH(ROUND(MIN(300,MAX(1,D633)),0), FactorTable!$A$2:$A$301,0), Skills!M11+1)</f>
        <v/>
      </c>
      <c r="F633">
        <f>IF(Skills!N11=TRUE,(Skills!L11/10)*(E633/1000),Skills!L11/10)+Skills!O11</f>
        <v/>
      </c>
      <c r="G633">
        <f>Calc!G11</f>
        <v/>
      </c>
      <c r="H633">
        <f>Calc!H11</f>
        <v/>
      </c>
      <c r="I633">
        <f>IF(Skills!AA11&lt;&gt;"",1+(Skills!AA11/10)*(U625/1000)/100,1)</f>
        <v/>
      </c>
      <c r="J633" t="inlineStr"/>
      <c r="K633" t="inlineStr"/>
      <c r="L633" t="inlineStr"/>
      <c r="M633" t="inlineStr"/>
      <c r="N633" t="inlineStr"/>
      <c r="O633">
        <f>(1-Summary!$B$55)*T633+Summary!$B$55*V633</f>
        <v/>
      </c>
      <c r="P633">
        <f>IF(B666=0,0,O633/B666)</f>
        <v/>
      </c>
      <c r="Q633" t="n">
        <v>0</v>
      </c>
      <c r="R633" t="n">
        <v>0</v>
      </c>
      <c r="S633">
        <f>IFERROR(O633/N633,0)</f>
        <v/>
      </c>
      <c r="T633" t="n">
        <v>0</v>
      </c>
      <c r="V633" t="n">
        <v>0</v>
      </c>
    </row>
    <row r="634">
      <c r="A634">
        <f>Skills!A12</f>
        <v/>
      </c>
      <c r="B634">
        <f>Skills!B12</f>
        <v/>
      </c>
      <c r="C634">
        <f>Inputs!$B$3&gt;=103</f>
        <v/>
      </c>
      <c r="D634">
        <f>IF(Skills!C12=1,60+Inputs!$B$25+Inputs!$B$29,IF(Skills!C12=2,90+Inputs!$B$26+Inputs!$B$29,IF(Skills!C12=3,120+Inputs!$B$27+Inputs!$B$29,MAX(0,(Inputs!$B$3-100)*3)+Inputs!$B$28+Inputs!$B$29)))</f>
        <v/>
      </c>
      <c r="E634">
        <f>INDEX(FactorTable!$B$2:$Y$301, MATCH(ROUND(MIN(300,MAX(1,D634)),0), FactorTable!$A$2:$A$301,0), Skills!M12+1)</f>
        <v/>
      </c>
      <c r="F634">
        <f>IF(Skills!N12=TRUE,(Skills!L12/10)*(E634/1000),Skills!L12/10)+Skills!O12</f>
        <v/>
      </c>
      <c r="G634">
        <f>Calc!G12</f>
        <v/>
      </c>
      <c r="H634">
        <f>Calc!H12</f>
        <v/>
      </c>
      <c r="I634">
        <f>IF(Skills!AA12&lt;&gt;"",1+(Skills!AA12/10)*(U625/1000)/100,1)</f>
        <v/>
      </c>
      <c r="J634">
        <f>((Inputs!$B$6*(1+Inputs!$B$7/100))+(((Inputs!$B$12*(1+Inputs!$B$13/100))-(Inputs!$B$12*(1+Inputs!$B$13/100)))+0.25*(Inputs!$B$14-Inputs!$B$14))*(1+Inputs!$B$7/100))*(F634/100)</f>
        <v/>
      </c>
      <c r="K634">
        <f>J634*(1+((Inputs!$B$12*(1+Inputs!$B$13/100))*0.01+Inputs!$B$14*0.0025)/100)*(1+Inputs!$B$15/100)*(1+Inputs!$B$16/100)*(5000/(6000+Inputs!$B$43*(1-Inputs!$B$19/100)))*(1+(Inputs!$B$24+((C652=TRUE)*(F652-Calc!F30)))/100)*(1+Skills!R12/100)*(1+(IF(Skills!A12="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634)</f>
        <v/>
      </c>
      <c r="L634">
        <f>K634*(MIN(Inputs!$B$22+((C646=TRUE)*(F646-Calc!F24)),Inputs!$B$23)/100+Inputs!$B$23/100)/2</f>
        <v/>
      </c>
      <c r="M634">
        <f>L634*(1+(Inputs!$B$10+((C648=TRUE)*(F648-Calc!F26))+B665)/100)</f>
        <v/>
      </c>
      <c r="N634">
        <f>L634*(1-MIN((Inputs!$B$9+((C647=TRUE)*(F647-Calc!F25))+B662),100)/100)+M634*(MIN((Inputs!$B$9+((C647=TRUE)*(F647-Calc!F25))+B662),100)/100)</f>
        <v/>
      </c>
      <c r="O634">
        <f>(1-Summary!$B$55)*T634+Summary!$B$55*V634</f>
        <v/>
      </c>
      <c r="P634">
        <f>IF(B666=0,0,O634/B666)</f>
        <v/>
      </c>
      <c r="Q634">
        <f>IFERROR(1/IF(Inputs!$B$39="pvp",15,MAX(0.1,Skills!D12-IF(Skills!E12=TRUE,Inputs!$B$32,0))),0)</f>
        <v/>
      </c>
      <c r="R634">
        <f>IF(AND(Inputs!$B$39&lt;&gt;"pvp",Inputs!$B$44&gt;0),IF(MAX(0,Inputs!$B$44-B667)&lt;=0,0,(INT(MAX(0,Inputs!$B$44-B667)/IF(Inputs!$B$39="pvp",15,MAX(0.1,Skills!D12-IF(Skills!E12=TRUE,Inputs!$B$32,0))))+1)),0)</f>
        <v/>
      </c>
      <c r="S634">
        <f>IFERROR(O634/N634,0)</f>
        <v/>
      </c>
      <c r="T634">
        <f>IF(C634,(H634*N634*IF(AND(Inputs!$B$39&lt;&gt;"pvp",Inputs!$B$44&gt;0),((Skills!G12*((R634-1)*IF(Skills!H12&gt;0,Skills!I12/Skills!H12,1)+IF(Skills!H12&gt;0,MIN(Skills!I12,MAX(0,MAX(0,Inputs!$B$44-B667)-((R634-1)*IF(Inputs!$B$39="pvp",15,MAX(0.1,Skills!D12-IF(Skills!E12=TRUE,Inputs!$B$32,0))))))/Skills!H12,1)))/Inputs!$B$44),G634*Q634))*IF(Inputs!$B$39="pvp",1,1+(Inputs!$B$20+((C649=TRUE)*(F649-Calc!F27))+Skills!P12+B663)/100),0)</f>
        <v/>
      </c>
      <c r="V634">
        <f>IF(C634,(H634*N634*IF(AND(Inputs!$B$39&lt;&gt;"pvp",Inputs!$B$44&gt;0),((Skills!G12*((R634-1)*IF(Skills!H12&gt;0,Skills!I12/Skills!H12,1)+IF(Skills!H12&gt;0,MIN(Skills!I12,MAX(0,MAX(0,Inputs!$B$44-B667)-((R634-1)*IF(Inputs!$B$39="pvp",15,MAX(0.1,Skills!D12-IF(Skills!E12=TRUE,Inputs!$B$32,0))))))/Skills!H12,1)))/Inputs!$B$44),G634*Q634))*IF(Inputs!$B$39="pvp",1,(1+(Inputs!$B$21+Skills!Q12+B663)/100)*(MIN(Skills!W12,Inputs!$B$37))),0)</f>
        <v/>
      </c>
    </row>
    <row r="635">
      <c r="A635">
        <f>Skills!A13</f>
        <v/>
      </c>
      <c r="B635">
        <f>Skills!B13</f>
        <v/>
      </c>
      <c r="C635">
        <f>Inputs!$B$3&gt;=105</f>
        <v/>
      </c>
      <c r="D635">
        <f>IF(Skills!C13=1,60+Inputs!$B$25+Inputs!$B$29,IF(Skills!C13=2,90+Inputs!$B$26+Inputs!$B$29,IF(Skills!C13=3,120+Inputs!$B$27+Inputs!$B$29,MAX(0,(Inputs!$B$3-100)*3)+Inputs!$B$28+Inputs!$B$29)))</f>
        <v/>
      </c>
      <c r="E635">
        <f>INDEX(FactorTable!$B$2:$Y$301, MATCH(ROUND(MIN(300,MAX(1,D635)),0), FactorTable!$A$2:$A$301,0), Skills!M13+1)</f>
        <v/>
      </c>
      <c r="F635">
        <f>IF(Skills!N13=TRUE,(Skills!L13/10)*(E635/1000),Skills!L13/10)+Skills!O13</f>
        <v/>
      </c>
      <c r="G635">
        <f>Calc!G13</f>
        <v/>
      </c>
      <c r="H635">
        <f>Calc!H13</f>
        <v/>
      </c>
      <c r="I635">
        <f>IF(Skills!AA13&lt;&gt;"",1+(Skills!AA13/10)*(U625/1000)/100,1)</f>
        <v/>
      </c>
      <c r="J635">
        <f>((Inputs!$B$6*(1+Inputs!$B$7/100))+(((Inputs!$B$12*(1+Inputs!$B$13/100))-(Inputs!$B$12*(1+Inputs!$B$13/100)))+0.25*(Inputs!$B$14-Inputs!$B$14))*(1+Inputs!$B$7/100))*(F635/100)</f>
        <v/>
      </c>
      <c r="K635">
        <f>J635*(1+((Inputs!$B$12*(1+Inputs!$B$13/100))*0.01+Inputs!$B$14*0.0025)/100)*(1+Inputs!$B$15/100)*(1+Inputs!$B$16/100)*(5000/(6000+Inputs!$B$43*(1-Inputs!$B$19/100)))*(1+(Inputs!$B$24+((C652=TRUE)*(F652-Calc!F30)))/100)*(1+Skills!R13/100)*(1+(IF(Skills!A13="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635)</f>
        <v/>
      </c>
      <c r="L635">
        <f>K635*(MIN(Inputs!$B$22+((C646=TRUE)*(F646-Calc!F24)),Inputs!$B$23)/100+Inputs!$B$23/100)/2</f>
        <v/>
      </c>
      <c r="M635">
        <f>L635*(1+(Inputs!$B$10+((C648=TRUE)*(F648-Calc!F26))+B665)/100)</f>
        <v/>
      </c>
      <c r="N635">
        <f>L635*(1-MIN((Inputs!$B$9+((C647=TRUE)*(F647-Calc!F25))+B662),100)/100)+M635*(MIN((Inputs!$B$9+((C647=TRUE)*(F647-Calc!F25))+B662),100)/100)</f>
        <v/>
      </c>
      <c r="O635">
        <f>(1-Summary!$B$55)*T635+Summary!$B$55*V635</f>
        <v/>
      </c>
      <c r="P635">
        <f>IF(B666=0,0,O635/B666)</f>
        <v/>
      </c>
      <c r="Q635">
        <f>IFERROR(1/IF(Inputs!$B$39="pvp",15,MAX(0.1,Skills!D13-IF(Skills!E13=TRUE,Inputs!$B$32,0))),0)</f>
        <v/>
      </c>
      <c r="R635">
        <f>IF(AND(Inputs!$B$39&lt;&gt;"pvp",Inputs!$B$44&gt;0),IF(MAX(0,Inputs!$B$44-B667)&lt;=0,0,(INT(MAX(0,Inputs!$B$44-B667)/IF(Inputs!$B$39="pvp",15,MAX(0.1,Skills!D13-IF(Skills!E13=TRUE,Inputs!$B$32,0))))+1)),0)</f>
        <v/>
      </c>
      <c r="S635">
        <f>IFERROR(O635/N635,0)</f>
        <v/>
      </c>
      <c r="T635">
        <f>IF(C635,(H635*N635*IF(AND(Inputs!$B$39&lt;&gt;"pvp",Inputs!$B$44&gt;0),((Skills!G13*((R635-1)*IF(Skills!H13&gt;0,Skills!I13/Skills!H13,1)+IF(Skills!H13&gt;0,MIN(Skills!I13,MAX(0,MAX(0,Inputs!$B$44-B667)-((R635-1)*IF(Inputs!$B$39="pvp",15,MAX(0.1,Skills!D13-IF(Skills!E13=TRUE,Inputs!$B$32,0))))))/Skills!H13,1)))/Inputs!$B$44),G635*Q635))*IF(Inputs!$B$39="pvp",1,1+(Inputs!$B$20+((C649=TRUE)*(F649-Calc!F27))+Skills!P13+B663)/100),0)</f>
        <v/>
      </c>
      <c r="V635">
        <f>IF(C635,(H635*N635*IF(AND(Inputs!$B$39&lt;&gt;"pvp",Inputs!$B$44&gt;0),((Skills!G13*((R635-1)*IF(Skills!H13&gt;0,Skills!I13/Skills!H13,1)+IF(Skills!H13&gt;0,MIN(Skills!I13,MAX(0,MAX(0,Inputs!$B$44-B667)-((R635-1)*IF(Inputs!$B$39="pvp",15,MAX(0.1,Skills!D13-IF(Skills!E13=TRUE,Inputs!$B$32,0))))))/Skills!H13,1)))/Inputs!$B$44),G635*Q635))*IF(Inputs!$B$39="pvp",1,(1+(Inputs!$B$21+Skills!Q13+B663)/100)*(MIN(Skills!W13,Inputs!$B$37))),0)</f>
        <v/>
      </c>
    </row>
    <row r="636">
      <c r="A636">
        <f>Skills!A14</f>
        <v/>
      </c>
      <c r="B636">
        <f>Skills!B14</f>
        <v/>
      </c>
      <c r="C636">
        <f>Inputs!$B$3&gt;=105</f>
        <v/>
      </c>
      <c r="D636">
        <f>IF(Skills!C14=1,60+Inputs!$B$25+Inputs!$B$29,IF(Skills!C14=2,90+Inputs!$B$26+Inputs!$B$29,IF(Skills!C14=3,120+Inputs!$B$27+Inputs!$B$29,MAX(0,(Inputs!$B$3-100)*3)+Inputs!$B$28+Inputs!$B$29)))</f>
        <v/>
      </c>
      <c r="E636">
        <f>INDEX(FactorTable!$B$2:$Y$301, MATCH(ROUND(MIN(300,MAX(1,D636)),0), FactorTable!$A$2:$A$301,0), Skills!M14+1)</f>
        <v/>
      </c>
      <c r="F636">
        <f>IF(Skills!N14=TRUE,(Skills!L14/10)*(E636/1000),Skills!L14/10)+Skills!O14</f>
        <v/>
      </c>
      <c r="G636">
        <f>Calc!G14</f>
        <v/>
      </c>
      <c r="H636">
        <f>Calc!H14</f>
        <v/>
      </c>
      <c r="I636">
        <f>IF(Skills!AA14&lt;&gt;"",1+(Skills!AA14/10)*(U625/1000)/100,1)</f>
        <v/>
      </c>
      <c r="J636">
        <f>((Inputs!$B$6*(1+Inputs!$B$7/100))+(((Inputs!$B$12*(1+Inputs!$B$13/100))-(Inputs!$B$12*(1+Inputs!$B$13/100)))+0.25*(Inputs!$B$14-Inputs!$B$14))*(1+Inputs!$B$7/100))*(F636/100)</f>
        <v/>
      </c>
      <c r="K636">
        <f>J636*(1+((Inputs!$B$12*(1+Inputs!$B$13/100))*0.01+Inputs!$B$14*0.0025)/100)*(1+Inputs!$B$15/100)*(1+Inputs!$B$16/100)*(5000/(6000+Inputs!$B$43*(1-Inputs!$B$19/100)))*(1+(Inputs!$B$24+((C652=TRUE)*(F652-Calc!F30)))/100)*(1+Skills!R14/100)*(1+(IF(Skills!A14="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636)</f>
        <v/>
      </c>
      <c r="L636">
        <f>K636*(MIN(Inputs!$B$22+((C646=TRUE)*(F646-Calc!F24)),Inputs!$B$23)/100+Inputs!$B$23/100)/2</f>
        <v/>
      </c>
      <c r="M636">
        <f>L636*(1+(Inputs!$B$10+((C648=TRUE)*(F648-Calc!F26))+B665)/100)</f>
        <v/>
      </c>
      <c r="N636">
        <f>L636*(1-MIN((Inputs!$B$9+((C647=TRUE)*(F647-Calc!F25))+B662),100)/100)+M636*(MIN((Inputs!$B$9+((C647=TRUE)*(F647-Calc!F25))+B662),100)/100)</f>
        <v/>
      </c>
      <c r="O636">
        <f>(1-Summary!$B$55)*T636+Summary!$B$55*V636</f>
        <v/>
      </c>
      <c r="P636">
        <f>IF(B666=0,0,O636/B666)</f>
        <v/>
      </c>
      <c r="Q636">
        <f>IFERROR(1/IF(Inputs!$B$39="pvp",15,MAX(0.1,Skills!D14-IF(Skills!E14=TRUE,Inputs!$B$32,0))),0)</f>
        <v/>
      </c>
      <c r="R636">
        <f>IF(AND(Inputs!$B$39&lt;&gt;"pvp",Inputs!$B$44&gt;0),IF(MAX(0,Inputs!$B$44-B667)&lt;=0,0,(INT(MAX(0,Inputs!$B$44-B667)/IF(Inputs!$B$39="pvp",15,MAX(0.1,Skills!D14-IF(Skills!E14=TRUE,Inputs!$B$32,0))))+1)),0)</f>
        <v/>
      </c>
      <c r="S636">
        <f>IFERROR(O636/N636,0)</f>
        <v/>
      </c>
      <c r="T636">
        <f>IF(C636,(H636*N636*IF(AND(Inputs!$B$39&lt;&gt;"pvp",Inputs!$B$44&gt;0),((Skills!G14*((R636-1)*IF(Skills!H14&gt;0,Skills!I14/Skills!H14,1)+IF(Skills!H14&gt;0,MIN(Skills!I14,MAX(0,MAX(0,Inputs!$B$44-B667)-((R636-1)*IF(Inputs!$B$39="pvp",15,MAX(0.1,Skills!D14-IF(Skills!E14=TRUE,Inputs!$B$32,0))))))/Skills!H14,1)))/Inputs!$B$44),G636*Q636))*IF(Inputs!$B$39="pvp",1,1+(Inputs!$B$20+((C649=TRUE)*(F649-Calc!F27))+Skills!P14+B663)/100),0)</f>
        <v/>
      </c>
      <c r="V636">
        <f>IF(C636,(H636*N636*IF(AND(Inputs!$B$39&lt;&gt;"pvp",Inputs!$B$44&gt;0),((Skills!G14*((R636-1)*IF(Skills!H14&gt;0,Skills!I14/Skills!H14,1)+IF(Skills!H14&gt;0,MIN(Skills!I14,MAX(0,MAX(0,Inputs!$B$44-B667)-((R636-1)*IF(Inputs!$B$39="pvp",15,MAX(0.1,Skills!D14-IF(Skills!E14=TRUE,Inputs!$B$32,0))))))/Skills!H14,1)))/Inputs!$B$44),G636*Q636))*IF(Inputs!$B$39="pvp",1,(1+(Inputs!$B$21+Skills!Q14+B663)/100)*(MIN(Skills!W14,Inputs!$B$37))),0)</f>
        <v/>
      </c>
    </row>
    <row r="637">
      <c r="A637">
        <f>Skills!A15</f>
        <v/>
      </c>
      <c r="B637">
        <f>Skills!B15</f>
        <v/>
      </c>
      <c r="C637">
        <f>Inputs!$B$3&gt;=110</f>
        <v/>
      </c>
      <c r="D637">
        <f>IF(Skills!C15=1,60+Inputs!$B$25+Inputs!$B$29,IF(Skills!C15=2,90+Inputs!$B$26+Inputs!$B$29,IF(Skills!C15=3,120+Inputs!$B$27+Inputs!$B$29,MAX(0,(Inputs!$B$3-100)*3)+Inputs!$B$28+Inputs!$B$29)))</f>
        <v/>
      </c>
      <c r="E637">
        <f>INDEX(FactorTable!$B$2:$Y$301, MATCH(ROUND(MIN(300,MAX(1,D637)),0), FactorTable!$A$2:$A$301,0), Skills!M15+1)</f>
        <v/>
      </c>
      <c r="F637">
        <f>IF(Skills!N15=TRUE,(Skills!L15/10)*(E637/1000),Skills!L15/10)+Skills!O15</f>
        <v/>
      </c>
      <c r="G637">
        <f>Calc!G15</f>
        <v/>
      </c>
      <c r="H637">
        <f>Calc!H15</f>
        <v/>
      </c>
      <c r="I637">
        <f>IF(Skills!AA15&lt;&gt;"",1+(Skills!AA15/10)*(U625/1000)/100,1)</f>
        <v/>
      </c>
      <c r="J637" t="inlineStr"/>
      <c r="K637" t="inlineStr"/>
      <c r="L637" t="inlineStr"/>
      <c r="M637" t="inlineStr"/>
      <c r="N637" t="inlineStr"/>
      <c r="O637">
        <f>(1-Summary!$B$55)*T637+Summary!$B$55*V637</f>
        <v/>
      </c>
      <c r="P637">
        <f>IF(B666=0,0,O637/B666)</f>
        <v/>
      </c>
      <c r="Q637">
        <f>IFERROR(1/IF(Inputs!$B$39="pvp",15,MAX(0.1,Skills!D15-IF(Skills!E15=TRUE,Inputs!$B$32,0))),0)</f>
        <v/>
      </c>
      <c r="R637">
        <f>IF(AND(Inputs!$B$39&lt;&gt;"pvp",Inputs!$B$44&gt;0),IF(Inputs!$B$44&lt;=0,0,(INT(Inputs!$B$44/IF(Inputs!$B$39="pvp",15,MAX(0.1,Skills!D15-IF(Skills!E15=TRUE,Inputs!$B$32,0))))+1)),0)</f>
        <v/>
      </c>
      <c r="S637">
        <f>IFERROR(O637/N637,0)</f>
        <v/>
      </c>
      <c r="T637" t="n">
        <v>0</v>
      </c>
      <c r="V637" t="n">
        <v>0</v>
      </c>
    </row>
    <row r="638">
      <c r="A638">
        <f>Skills!A16</f>
        <v/>
      </c>
      <c r="B638">
        <f>Skills!B16</f>
        <v/>
      </c>
      <c r="C638">
        <f>Inputs!$B$3&gt;=110</f>
        <v/>
      </c>
      <c r="D638">
        <f>IF(Skills!C16=1,60+Inputs!$B$25+Inputs!$B$29,IF(Skills!C16=2,90+Inputs!$B$26+Inputs!$B$29,IF(Skills!C16=3,120+Inputs!$B$27+Inputs!$B$29,MAX(0,(Inputs!$B$3-100)*3)+Inputs!$B$28+Inputs!$B$29)))</f>
        <v/>
      </c>
      <c r="E638">
        <f>INDEX(FactorTable!$B$2:$Y$301, MATCH(ROUND(MIN(300,MAX(1,D638)),0), FactorTable!$A$2:$A$301,0), Skills!M16+1)</f>
        <v/>
      </c>
      <c r="F638">
        <f>IF(Skills!N16=TRUE,(Skills!L16/10)*(E638/1000),Skills!L16/10)+Skills!O16</f>
        <v/>
      </c>
      <c r="G638">
        <f>Calc!G16</f>
        <v/>
      </c>
      <c r="H638">
        <f>Calc!H16</f>
        <v/>
      </c>
      <c r="I638">
        <f>IF(Skills!AA16&lt;&gt;"",1+(Skills!AA16/10)*(U625/1000)/100,1)</f>
        <v/>
      </c>
      <c r="J638" t="inlineStr"/>
      <c r="K638" t="inlineStr"/>
      <c r="L638" t="inlineStr"/>
      <c r="M638" t="inlineStr"/>
      <c r="N638" t="inlineStr"/>
      <c r="O638">
        <f>(1-Summary!$B$55)*T638+Summary!$B$55*V638</f>
        <v/>
      </c>
      <c r="P638">
        <f>IF(B666=0,0,O638/B666)</f>
        <v/>
      </c>
      <c r="Q638">
        <f>IFERROR(1/IF(Inputs!$B$39="pvp",15,MAX(0.1,Skills!D16-IF(Skills!E16=TRUE,Inputs!$B$32,0))),0)</f>
        <v/>
      </c>
      <c r="R638">
        <f>IF(AND(Inputs!$B$39&lt;&gt;"pvp",Inputs!$B$44&gt;0),IF(Inputs!$B$44&lt;=0,0,(INT(Inputs!$B$44/IF(Inputs!$B$39="pvp",15,MAX(0.1,Skills!D16-IF(Skills!E16=TRUE,Inputs!$B$32,0))))+1)),0)</f>
        <v/>
      </c>
      <c r="S638">
        <f>IFERROR(O638/N638,0)</f>
        <v/>
      </c>
      <c r="T638" t="n">
        <v>0</v>
      </c>
      <c r="V638" t="n">
        <v>0</v>
      </c>
    </row>
    <row r="639">
      <c r="A639">
        <f>Skills!A17</f>
        <v/>
      </c>
      <c r="B639">
        <f>Skills!B17</f>
        <v/>
      </c>
      <c r="C639">
        <f>Inputs!$B$3&gt;=115</f>
        <v/>
      </c>
      <c r="D639">
        <f>IF(Skills!C17=1,60+Inputs!$B$25+Inputs!$B$29,IF(Skills!C17=2,90+Inputs!$B$26+Inputs!$B$29,IF(Skills!C17=3,120+Inputs!$B$27+Inputs!$B$29,MAX(0,(Inputs!$B$3-100)*3)+Inputs!$B$28+Inputs!$B$29)))</f>
        <v/>
      </c>
      <c r="E639">
        <f>INDEX(FactorTable!$B$2:$Y$301, MATCH(ROUND(MIN(300,MAX(1,D639)),0), FactorTable!$A$2:$A$301,0), Skills!M17+1)</f>
        <v/>
      </c>
      <c r="F639">
        <f>IF(Skills!N17=TRUE,(Skills!L17/10)*(E639/1000),Skills!L17/10)+Skills!O17</f>
        <v/>
      </c>
      <c r="G639">
        <f>Calc!G17</f>
        <v/>
      </c>
      <c r="H639">
        <f>Calc!H17</f>
        <v/>
      </c>
      <c r="I639">
        <f>IF(Skills!AA17&lt;&gt;"",1+(Skills!AA17/10)*(U625/1000)/100,1)</f>
        <v/>
      </c>
      <c r="J639">
        <f>((Inputs!$B$6*(1+Inputs!$B$7/100))+(((Inputs!$B$12*(1+Inputs!$B$13/100))-(Inputs!$B$12*(1+Inputs!$B$13/100)))+0.25*(Inputs!$B$14-Inputs!$B$14))*(1+Inputs!$B$7/100))*(F639/100)</f>
        <v/>
      </c>
      <c r="K639">
        <f>J639*(1+((Inputs!$B$12*(1+Inputs!$B$13/100))*0.01+Inputs!$B$14*0.0025)/100)*(1+Inputs!$B$15/100)*(1+Inputs!$B$16/100)*(5000/(6000+Inputs!$B$43*(1-Inputs!$B$19/100)))*(1+(Inputs!$B$24+((C652=TRUE)*(F652-Calc!F30)))/100)*(1+Skills!R17/100)*(1+(IF(Skills!A17="SHOWDOWN",Inputs!$B$17+((C645=TRUE)*(F645-Calc!F23)),Inputs!$B$18+((C651=TRUE)*(F651-Calc!F29))))/100)*(((1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B664*I639)</f>
        <v/>
      </c>
      <c r="L639">
        <f>K639*(MIN(Inputs!$B$22+((C646=TRUE)*(F646-Calc!F24)),Inputs!$B$23)/100+Inputs!$B$23/100)/2</f>
        <v/>
      </c>
      <c r="M639">
        <f>L639*(1+(Inputs!$B$10+((C648=TRUE)*(F648-Calc!F26))+B665)/100)</f>
        <v/>
      </c>
      <c r="N639">
        <f>L639*(1-MIN((Inputs!$B$9+((C647=TRUE)*(F647-Calc!F25))+B662),100)/100)+M639*(MIN((Inputs!$B$9+((C647=TRUE)*(F647-Calc!F25))+B662),100)/100)</f>
        <v/>
      </c>
      <c r="O639">
        <f>(1-Summary!$B$55)*T639+Summary!$B$55*V639</f>
        <v/>
      </c>
      <c r="P639">
        <f>IF(B666=0,0,O639/B666)</f>
        <v/>
      </c>
      <c r="Q639" t="n">
        <v>0</v>
      </c>
      <c r="R639" t="n">
        <v>0</v>
      </c>
      <c r="S639">
        <f>IFERROR(O639/N639,0)</f>
        <v/>
      </c>
      <c r="T639">
        <f>IF(C639,(Inputs!$B$38*0.2*N639)*IF(Inputs!$B$39="pvp",1,1+(Inputs!$B$20+((C649=TRUE)*(F649-Calc!F27))+Skills!P17+B663)/100),0)</f>
        <v/>
      </c>
      <c r="V639">
        <f>IF(C639,(Inputs!$B$38*0.2*N639)*IF(Inputs!$B$39="pvp",1,(1+(Inputs!$B$21+Skills!Q17+B663)/100)*(MIN(Skills!W17,Inputs!$B$37))),0)</f>
        <v/>
      </c>
    </row>
    <row r="640">
      <c r="A640">
        <f>Skills!A18</f>
        <v/>
      </c>
      <c r="B640">
        <f>Skills!B18</f>
        <v/>
      </c>
      <c r="C640">
        <f>Inputs!$B$3&gt;=115</f>
        <v/>
      </c>
      <c r="D640">
        <f>IF(Skills!C18=1,60+Inputs!$B$25+Inputs!$B$29,IF(Skills!C18=2,90+Inputs!$B$26+Inputs!$B$29,IF(Skills!C18=3,120+Inputs!$B$27+Inputs!$B$29,MAX(0,(Inputs!$B$3-100)*3)+Inputs!$B$28+Inputs!$B$29)))</f>
        <v/>
      </c>
      <c r="E640">
        <f>INDEX(FactorTable!$B$2:$Y$301, MATCH(ROUND(MIN(300,MAX(1,D640)),0), FactorTable!$A$2:$A$301,0), Skills!M18+1)</f>
        <v/>
      </c>
      <c r="F640">
        <f>IF(Skills!N18=TRUE,(Skills!L18/10)*(E640/1000),Skills!L18/10)+Skills!O18</f>
        <v/>
      </c>
      <c r="G640">
        <f>Calc!G18</f>
        <v/>
      </c>
      <c r="H640">
        <f>Calc!H18</f>
        <v/>
      </c>
      <c r="I640">
        <f>IF(Skills!AA18&lt;&gt;"",1+(Skills!AA18/10)*(U625/1000)/100,1)</f>
        <v/>
      </c>
      <c r="J640" t="inlineStr"/>
      <c r="K640" t="inlineStr"/>
      <c r="L640" t="inlineStr"/>
      <c r="M640" t="inlineStr"/>
      <c r="N640" t="inlineStr"/>
      <c r="O640">
        <f>(1-Summary!$B$55)*T640+Summary!$B$55*V640</f>
        <v/>
      </c>
      <c r="P640">
        <f>IF(B666=0,0,O640/B666)</f>
        <v/>
      </c>
      <c r="Q640" t="n">
        <v>0</v>
      </c>
      <c r="R640" t="n">
        <v>0</v>
      </c>
      <c r="S640">
        <f>IFERROR(O640/N640,0)</f>
        <v/>
      </c>
      <c r="T640" t="n">
        <v>0</v>
      </c>
      <c r="V640" t="n">
        <v>0</v>
      </c>
    </row>
    <row r="641">
      <c r="A641">
        <f>Skills!A19</f>
        <v/>
      </c>
      <c r="B641">
        <f>Skills!B19</f>
        <v/>
      </c>
      <c r="C641">
        <f>TRUE</f>
        <v/>
      </c>
      <c r="D641">
        <f>IF(Skills!C19=1,60+Inputs!$B$25+Inputs!$B$29,IF(Skills!C19=2,90+Inputs!$B$26+Inputs!$B$29,IF(Skills!C19=3,120+Inputs!$B$27+Inputs!$B$29,MAX(0,(Inputs!$B$3-100)*3)+Inputs!$B$28+Inputs!$B$29)))</f>
        <v/>
      </c>
      <c r="E641">
        <f>INDEX(FactorTable!$B$2:$Y$301, MATCH(ROUND(MIN(300,MAX(1,D641)),0), FactorTable!$A$2:$A$301,0), Skills!M19+1)</f>
        <v/>
      </c>
      <c r="F641">
        <f>IF(Skills!N19=TRUE,(Skills!L19/10)*(E641/1000),Skills!L19/10)+Skills!O19</f>
        <v/>
      </c>
      <c r="G641">
        <f>Calc!G19</f>
        <v/>
      </c>
      <c r="H641">
        <f>Calc!H19</f>
        <v/>
      </c>
      <c r="I641">
        <f>IF(Skills!AA19&lt;&gt;"",1+(Skills!AA19/10)*(U625/1000)/100,1)</f>
        <v/>
      </c>
      <c r="J641" t="inlineStr"/>
      <c r="K641" t="inlineStr"/>
      <c r="L641" t="inlineStr"/>
      <c r="M641" t="inlineStr"/>
      <c r="N641" t="inlineStr"/>
      <c r="O641">
        <f>(1-Summary!$B$55)*T641+Summary!$B$55*V641</f>
        <v/>
      </c>
      <c r="P641">
        <f>IF(B666=0,0,O641/B666)</f>
        <v/>
      </c>
      <c r="Q641">
        <f>IFERROR(1/IF(Inputs!$B$39="pvp",15,MAX(0.1,Skills!D19-IF(Skills!E19=TRUE,Inputs!$B$32,0))),0)</f>
        <v/>
      </c>
      <c r="R641">
        <f>IF(AND(Inputs!$B$39&lt;&gt;"pvp",Inputs!$B$44&gt;0),IF(Inputs!$B$44&lt;=0,0,(INT(Inputs!$B$44/IF(Inputs!$B$39="pvp",15,MAX(0.1,Skills!D19-IF(Skills!E19=TRUE,Inputs!$B$32,0))))+1)),0)</f>
        <v/>
      </c>
      <c r="S641">
        <f>IFERROR(O641/N641,0)</f>
        <v/>
      </c>
      <c r="T641" t="n">
        <v>0</v>
      </c>
      <c r="V641" t="n">
        <v>0</v>
      </c>
    </row>
    <row r="642">
      <c r="A642">
        <f>Skills!A20</f>
        <v/>
      </c>
      <c r="B642">
        <f>Skills!B20</f>
        <v/>
      </c>
      <c r="C642">
        <f>Inputs!$B$3&gt;=15</f>
        <v/>
      </c>
      <c r="D642">
        <f>IF(Skills!C20=1,60+Inputs!$B$25+Inputs!$B$29,IF(Skills!C20=2,90+Inputs!$B$26+Inputs!$B$29,IF(Skills!C20=3,120+Inputs!$B$27+Inputs!$B$29,MAX(0,(Inputs!$B$3-100)*3)+Inputs!$B$28+Inputs!$B$29)))</f>
        <v/>
      </c>
      <c r="E642">
        <f>INDEX(FactorTable!$B$2:$Y$301, MATCH(ROUND(MIN(300,MAX(1,D642)),0), FactorTable!$A$2:$A$301,0), Skills!M20+1)</f>
        <v/>
      </c>
      <c r="F642">
        <f>IF(Skills!N20=TRUE,(Skills!L20/10)*(E642/1000),Skills!L20/10)+Skills!O20</f>
        <v/>
      </c>
      <c r="G642">
        <f>Calc!G20</f>
        <v/>
      </c>
      <c r="H642">
        <f>Calc!H20</f>
        <v/>
      </c>
      <c r="I642">
        <f>IF(Skills!AA20&lt;&gt;"",1+(Skills!AA20/10)*(U625/1000)/100,1)</f>
        <v/>
      </c>
      <c r="J642" t="inlineStr"/>
      <c r="K642" t="inlineStr"/>
      <c r="L642" t="inlineStr"/>
      <c r="M642" t="inlineStr"/>
      <c r="N642" t="inlineStr"/>
      <c r="O642">
        <f>(1-Summary!$B$55)*T642+Summary!$B$55*V642</f>
        <v/>
      </c>
      <c r="P642">
        <f>IF(B666=0,0,O642/B666)</f>
        <v/>
      </c>
      <c r="Q642">
        <f>IFERROR(1/IF(Inputs!$B$39="pvp",15,MAX(0.1,Skills!D20-IF(Skills!E20=TRUE,Inputs!$B$32,0))),0)</f>
        <v/>
      </c>
      <c r="R642">
        <f>IF(AND(Inputs!$B$39&lt;&gt;"pvp",Inputs!$B$44&gt;0),IF(Inputs!$B$44&lt;=0,0,(INT(Inputs!$B$44/IF(Inputs!$B$39="pvp",15,MAX(0.1,Skills!D20-IF(Skills!E20=TRUE,Inputs!$B$32,0))))+1)),0)</f>
        <v/>
      </c>
      <c r="S642">
        <f>IFERROR(O642/N642,0)</f>
        <v/>
      </c>
      <c r="T642" t="n">
        <v>0</v>
      </c>
      <c r="V642" t="n">
        <v>0</v>
      </c>
    </row>
    <row r="643">
      <c r="A643">
        <f>Skills!A21</f>
        <v/>
      </c>
      <c r="B643">
        <f>Skills!B21</f>
        <v/>
      </c>
      <c r="C643">
        <f>Inputs!$B$3&gt;=15</f>
        <v/>
      </c>
      <c r="D643">
        <f>IF(Skills!C21=1,60+Inputs!$B$25+Inputs!$B$29,IF(Skills!C21=2,90+Inputs!$B$26+Inputs!$B$29,IF(Skills!C21=3,120+Inputs!$B$27+Inputs!$B$29,MAX(0,(Inputs!$B$3-100)*3)+Inputs!$B$28+Inputs!$B$29)))</f>
        <v/>
      </c>
      <c r="E643">
        <f>INDEX(FactorTable!$B$2:$Y$301, MATCH(ROUND(MIN(300,MAX(1,D643)),0), FactorTable!$A$2:$A$301,0), Skills!M21+1)</f>
        <v/>
      </c>
      <c r="F643">
        <f>IF(Skills!N21=TRUE,(Skills!L21/10)*(E643/1000),Skills!L21/10)+Skills!O21</f>
        <v/>
      </c>
      <c r="G643">
        <f>Calc!G21</f>
        <v/>
      </c>
      <c r="H643">
        <f>Calc!H21</f>
        <v/>
      </c>
      <c r="I643">
        <f>IF(Skills!AA21&lt;&gt;"",1+(Skills!AA21/10)*(U625/1000)/100,1)</f>
        <v/>
      </c>
      <c r="J643" t="inlineStr"/>
      <c r="K643" t="inlineStr"/>
      <c r="L643" t="inlineStr"/>
      <c r="M643" t="inlineStr"/>
      <c r="N643" t="inlineStr"/>
      <c r="O643">
        <f>(1-Summary!$B$55)*T643+Summary!$B$55*V643</f>
        <v/>
      </c>
      <c r="P643">
        <f>IF(B666=0,0,O643/B666)</f>
        <v/>
      </c>
      <c r="Q643">
        <f>IFERROR(1/IF(Inputs!$B$39="pvp",15,MAX(0.1,Skills!D21-IF(Skills!E21=TRUE,Inputs!$B$32,0))),0)</f>
        <v/>
      </c>
      <c r="R643">
        <f>IF(AND(Inputs!$B$39&lt;&gt;"pvp",Inputs!$B$44&gt;0),IF(Inputs!$B$44&lt;=0,0,(INT(Inputs!$B$44/IF(Inputs!$B$39="pvp",15,MAX(0.1,Skills!D21-IF(Skills!E21=TRUE,Inputs!$B$32,0))))+1)),0)</f>
        <v/>
      </c>
      <c r="S643">
        <f>IFERROR(O643/N643,0)</f>
        <v/>
      </c>
      <c r="T643" t="n">
        <v>0</v>
      </c>
      <c r="V643" t="n">
        <v>0</v>
      </c>
    </row>
    <row r="644">
      <c r="A644">
        <f>Skills!A22</f>
        <v/>
      </c>
      <c r="B644">
        <f>Skills!B22</f>
        <v/>
      </c>
      <c r="C644">
        <f>Inputs!$B$3&gt;=33</f>
        <v/>
      </c>
      <c r="D644">
        <f>IF(Skills!C22=1,60+Inputs!$B$25+Inputs!$B$29,IF(Skills!C22=2,90+Inputs!$B$26+Inputs!$B$29,IF(Skills!C22=3,120+Inputs!$B$27+Inputs!$B$29,MAX(0,(Inputs!$B$3-100)*3)+Inputs!$B$28+Inputs!$B$29)))</f>
        <v/>
      </c>
      <c r="E644">
        <f>INDEX(FactorTable!$B$2:$Y$301, MATCH(ROUND(MIN(300,MAX(1,D644)),0), FactorTable!$A$2:$A$301,0), Skills!M22+1)</f>
        <v/>
      </c>
      <c r="F644">
        <f>IF(Skills!N22=TRUE,(Skills!L22/10)*(E644/1000),Skills!L22/10)+Skills!O22</f>
        <v/>
      </c>
      <c r="G644">
        <f>Calc!G22</f>
        <v/>
      </c>
      <c r="H644">
        <f>Calc!H22</f>
        <v/>
      </c>
      <c r="I644">
        <f>IF(Skills!AA22&lt;&gt;"",1+(Skills!AA22/10)*(U625/1000)/100,1)</f>
        <v/>
      </c>
      <c r="J644" t="inlineStr"/>
      <c r="K644" t="inlineStr"/>
      <c r="L644" t="inlineStr"/>
      <c r="M644" t="inlineStr"/>
      <c r="N644" t="inlineStr"/>
      <c r="O644">
        <f>(1-Summary!$B$55)*T644+Summary!$B$55*V644</f>
        <v/>
      </c>
      <c r="P644">
        <f>IF(B666=0,0,O644/B666)</f>
        <v/>
      </c>
      <c r="Q644" t="n">
        <v>0</v>
      </c>
      <c r="R644" t="n">
        <v>0</v>
      </c>
      <c r="S644">
        <f>IFERROR(O644/N644,0)</f>
        <v/>
      </c>
      <c r="T644" t="n">
        <v>0</v>
      </c>
      <c r="V644" t="n">
        <v>0</v>
      </c>
    </row>
    <row r="645">
      <c r="A645">
        <f>Skills!A23</f>
        <v/>
      </c>
      <c r="B645">
        <f>Skills!B23</f>
        <v/>
      </c>
      <c r="C645">
        <f>Inputs!$B$3&gt;=38</f>
        <v/>
      </c>
      <c r="D645">
        <f>IF(Skills!C23=1,60+Inputs!$B$25+Inputs!$B$29,IF(Skills!C23=2,90+Inputs!$B$26+Inputs!$B$29,IF(Skills!C23=3,120+Inputs!$B$27+Inputs!$B$29,MAX(0,(Inputs!$B$3-100)*3)+Inputs!$B$28+Inputs!$B$29)))</f>
        <v/>
      </c>
      <c r="E645">
        <f>INDEX(FactorTable!$B$2:$Y$301, MATCH(ROUND(MIN(300,MAX(1,D645)),0), FactorTable!$A$2:$A$301,0), Skills!M23+1)</f>
        <v/>
      </c>
      <c r="F645">
        <f>IF(Skills!N23=TRUE,(Skills!L23/10)*(E645/1000),Skills!L23/10)+Skills!O23</f>
        <v/>
      </c>
      <c r="G645">
        <f>Calc!G23</f>
        <v/>
      </c>
      <c r="H645">
        <f>Calc!H23</f>
        <v/>
      </c>
      <c r="I645">
        <f>IF(Skills!AA23&lt;&gt;"",1+(Skills!AA23/10)*(U625/1000)/100,1)</f>
        <v/>
      </c>
      <c r="J645" t="inlineStr"/>
      <c r="K645" t="inlineStr"/>
      <c r="L645" t="inlineStr"/>
      <c r="M645" t="inlineStr"/>
      <c r="N645" t="inlineStr"/>
      <c r="O645">
        <f>(1-Summary!$B$55)*T645+Summary!$B$55*V645</f>
        <v/>
      </c>
      <c r="P645">
        <f>IF(B666=0,0,O645/B666)</f>
        <v/>
      </c>
      <c r="Q645" t="n">
        <v>0</v>
      </c>
      <c r="R645" t="n">
        <v>0</v>
      </c>
      <c r="S645">
        <f>IFERROR(O645/N645,0)</f>
        <v/>
      </c>
      <c r="T645" t="n">
        <v>0</v>
      </c>
      <c r="V645" t="n">
        <v>0</v>
      </c>
    </row>
    <row r="646">
      <c r="A646">
        <f>Skills!A24</f>
        <v/>
      </c>
      <c r="B646">
        <f>Skills!B24</f>
        <v/>
      </c>
      <c r="C646">
        <f>Inputs!$B$3&gt;=40</f>
        <v/>
      </c>
      <c r="D646">
        <f>IF(Skills!C24=1,60+Inputs!$B$25+Inputs!$B$29,IF(Skills!C24=2,90+Inputs!$B$26+Inputs!$B$29,IF(Skills!C24=3,120+Inputs!$B$27+Inputs!$B$29,MAX(0,(Inputs!$B$3-100)*3)+Inputs!$B$28+Inputs!$B$29)))</f>
        <v/>
      </c>
      <c r="E646">
        <f>INDEX(FactorTable!$B$2:$Y$301, MATCH(ROUND(MIN(300,MAX(1,D646)),0), FactorTable!$A$2:$A$301,0), Skills!M24+1)</f>
        <v/>
      </c>
      <c r="F646">
        <f>IF(Skills!N24=TRUE,(Skills!L24/10)*(E646/1000),Skills!L24/10)+Skills!O24</f>
        <v/>
      </c>
      <c r="G646">
        <f>Calc!G24</f>
        <v/>
      </c>
      <c r="H646">
        <f>Calc!H24</f>
        <v/>
      </c>
      <c r="I646">
        <f>IF(Skills!AA24&lt;&gt;"",1+(Skills!AA24/10)*(U625/1000)/100,1)</f>
        <v/>
      </c>
      <c r="J646" t="inlineStr"/>
      <c r="K646" t="inlineStr"/>
      <c r="L646" t="inlineStr"/>
      <c r="M646" t="inlineStr"/>
      <c r="N646" t="inlineStr"/>
      <c r="O646">
        <f>(1-Summary!$B$55)*T646+Summary!$B$55*V646</f>
        <v/>
      </c>
      <c r="P646">
        <f>IF(B666=0,0,O646/B666)</f>
        <v/>
      </c>
      <c r="Q646" t="n">
        <v>0</v>
      </c>
      <c r="R646" t="n">
        <v>0</v>
      </c>
      <c r="S646">
        <f>IFERROR(O646/N646,0)</f>
        <v/>
      </c>
      <c r="T646" t="n">
        <v>0</v>
      </c>
      <c r="V646" t="n">
        <v>0</v>
      </c>
    </row>
    <row r="647">
      <c r="A647">
        <f>Skills!A25</f>
        <v/>
      </c>
      <c r="B647">
        <f>Skills!B25</f>
        <v/>
      </c>
      <c r="C647">
        <f>Inputs!$B$3&gt;=45</f>
        <v/>
      </c>
      <c r="D647">
        <f>IF(Skills!C25=1,60+Inputs!$B$25+Inputs!$B$29,IF(Skills!C25=2,90+Inputs!$B$26+Inputs!$B$29,IF(Skills!C25=3,120+Inputs!$B$27+Inputs!$B$29,MAX(0,(Inputs!$B$3-100)*3)+Inputs!$B$28+Inputs!$B$29)))</f>
        <v/>
      </c>
      <c r="E647">
        <f>INDEX(FactorTable!$B$2:$Y$301, MATCH(ROUND(MIN(300,MAX(1,D647)),0), FactorTable!$A$2:$A$301,0), Skills!M25+1)</f>
        <v/>
      </c>
      <c r="F647">
        <f>IF(Skills!N25=TRUE,(Skills!L25/10)*(E647/1000),Skills!L25/10)+Skills!O25</f>
        <v/>
      </c>
      <c r="G647">
        <f>Calc!G25</f>
        <v/>
      </c>
      <c r="H647">
        <f>Calc!H25</f>
        <v/>
      </c>
      <c r="I647">
        <f>IF(Skills!AA25&lt;&gt;"",1+(Skills!AA25/10)*(U625/1000)/100,1)</f>
        <v/>
      </c>
      <c r="J647" t="inlineStr"/>
      <c r="K647" t="inlineStr"/>
      <c r="L647" t="inlineStr"/>
      <c r="M647" t="inlineStr"/>
      <c r="N647" t="inlineStr"/>
      <c r="O647">
        <f>(1-Summary!$B$55)*T647+Summary!$B$55*V647</f>
        <v/>
      </c>
      <c r="P647">
        <f>IF(B666=0,0,O647/B666)</f>
        <v/>
      </c>
      <c r="Q647" t="n">
        <v>0</v>
      </c>
      <c r="R647" t="n">
        <v>0</v>
      </c>
      <c r="S647">
        <f>IFERROR(O647/N647,0)</f>
        <v/>
      </c>
      <c r="T647" t="n">
        <v>0</v>
      </c>
      <c r="V647" t="n">
        <v>0</v>
      </c>
    </row>
    <row r="648">
      <c r="A648">
        <f>Skills!A26</f>
        <v/>
      </c>
      <c r="B648">
        <f>Skills!B26</f>
        <v/>
      </c>
      <c r="C648">
        <f>Inputs!$B$3&gt;=45</f>
        <v/>
      </c>
      <c r="D648">
        <f>IF(Skills!C26=1,60+Inputs!$B$25+Inputs!$B$29,IF(Skills!C26=2,90+Inputs!$B$26+Inputs!$B$29,IF(Skills!C26=3,120+Inputs!$B$27+Inputs!$B$29,MAX(0,(Inputs!$B$3-100)*3)+Inputs!$B$28+Inputs!$B$29)))</f>
        <v/>
      </c>
      <c r="E648">
        <f>INDEX(FactorTable!$B$2:$Y$301, MATCH(ROUND(MIN(300,MAX(1,D648)),0), FactorTable!$A$2:$A$301,0), Skills!M26+1)</f>
        <v/>
      </c>
      <c r="F648">
        <f>IF(Skills!N26=TRUE,(Skills!L26/10)*(E648/1000),Skills!L26/10)+Skills!O26</f>
        <v/>
      </c>
      <c r="G648">
        <f>Calc!G26</f>
        <v/>
      </c>
      <c r="H648">
        <f>Calc!H26</f>
        <v/>
      </c>
      <c r="I648">
        <f>IF(Skills!AA26&lt;&gt;"",1+(Skills!AA26/10)*(U625/1000)/100,1)</f>
        <v/>
      </c>
      <c r="J648" t="inlineStr"/>
      <c r="K648" t="inlineStr"/>
      <c r="L648" t="inlineStr"/>
      <c r="M648" t="inlineStr"/>
      <c r="N648" t="inlineStr"/>
      <c r="O648">
        <f>(1-Summary!$B$55)*T648+Summary!$B$55*V648</f>
        <v/>
      </c>
      <c r="P648">
        <f>IF(B666=0,0,O648/B666)</f>
        <v/>
      </c>
      <c r="Q648" t="n">
        <v>0</v>
      </c>
      <c r="R648" t="n">
        <v>0</v>
      </c>
      <c r="S648">
        <f>IFERROR(O648/N648,0)</f>
        <v/>
      </c>
      <c r="T648" t="n">
        <v>0</v>
      </c>
      <c r="V648" t="n">
        <v>0</v>
      </c>
    </row>
    <row r="649">
      <c r="A649">
        <f>Skills!A27</f>
        <v/>
      </c>
      <c r="B649">
        <f>Skills!B27</f>
        <v/>
      </c>
      <c r="C649">
        <f>Inputs!$B$3&gt;=72</f>
        <v/>
      </c>
      <c r="D649">
        <f>IF(Skills!C27=1,60+Inputs!$B$25+Inputs!$B$29,IF(Skills!C27=2,90+Inputs!$B$26+Inputs!$B$29,IF(Skills!C27=3,120+Inputs!$B$27+Inputs!$B$29,MAX(0,(Inputs!$B$3-100)*3)+Inputs!$B$28+Inputs!$B$29)))</f>
        <v/>
      </c>
      <c r="E649">
        <f>INDEX(FactorTable!$B$2:$Y$301, MATCH(ROUND(MIN(300,MAX(1,D649)),0), FactorTable!$A$2:$A$301,0), Skills!M27+1)</f>
        <v/>
      </c>
      <c r="F649">
        <f>IF(Skills!N27=TRUE,(Skills!L27/10)*(E649/1000),Skills!L27/10)+Skills!O27</f>
        <v/>
      </c>
      <c r="G649">
        <f>Calc!G27</f>
        <v/>
      </c>
      <c r="H649">
        <f>Calc!H27</f>
        <v/>
      </c>
      <c r="I649">
        <f>IF(Skills!AA27&lt;&gt;"",1+(Skills!AA27/10)*(U625/1000)/100,1)</f>
        <v/>
      </c>
      <c r="J649" t="inlineStr"/>
      <c r="K649" t="inlineStr"/>
      <c r="L649" t="inlineStr"/>
      <c r="M649" t="inlineStr"/>
      <c r="N649" t="inlineStr"/>
      <c r="O649">
        <f>(1-Summary!$B$55)*T649+Summary!$B$55*V649</f>
        <v/>
      </c>
      <c r="P649">
        <f>IF(B666=0,0,O649/B666)</f>
        <v/>
      </c>
      <c r="Q649" t="n">
        <v>0</v>
      </c>
      <c r="R649" t="n">
        <v>0</v>
      </c>
      <c r="S649">
        <f>IFERROR(O649/N649,0)</f>
        <v/>
      </c>
      <c r="T649" t="n">
        <v>0</v>
      </c>
      <c r="V649" t="n">
        <v>0</v>
      </c>
    </row>
    <row r="650">
      <c r="A650">
        <f>Skills!A28</f>
        <v/>
      </c>
      <c r="B650">
        <f>Skills!B28</f>
        <v/>
      </c>
      <c r="C650">
        <f>Inputs!$B$3&gt;=75</f>
        <v/>
      </c>
      <c r="D650">
        <f>IF(Skills!C28=1,60+Inputs!$B$25+Inputs!$B$29,IF(Skills!C28=2,90+Inputs!$B$26+Inputs!$B$29,IF(Skills!C28=3,120+Inputs!$B$27+Inputs!$B$29,MAX(0,(Inputs!$B$3-100)*3)+Inputs!$B$28+Inputs!$B$29)))</f>
        <v/>
      </c>
      <c r="E650">
        <f>INDEX(FactorTable!$B$2:$Y$301, MATCH(ROUND(MIN(300,MAX(1,D650)),0), FactorTable!$A$2:$A$301,0), Skills!M28+1)</f>
        <v/>
      </c>
      <c r="F650">
        <f>IF(Skills!N28=TRUE,(Skills!L28/10)*(E650/1000),Skills!L28/10)+Skills!O28</f>
        <v/>
      </c>
      <c r="G650">
        <f>Calc!G28</f>
        <v/>
      </c>
      <c r="H650">
        <f>Calc!H28</f>
        <v/>
      </c>
      <c r="I650">
        <f>IF(Skills!AA28&lt;&gt;"",1+(Skills!AA28/10)*(U625/1000)/100,1)</f>
        <v/>
      </c>
      <c r="J650" t="inlineStr"/>
      <c r="K650" t="inlineStr"/>
      <c r="L650" t="inlineStr"/>
      <c r="M650" t="inlineStr"/>
      <c r="N650" t="inlineStr"/>
      <c r="O650">
        <f>(1-Summary!$B$55)*T650+Summary!$B$55*V650</f>
        <v/>
      </c>
      <c r="P650">
        <f>IF(B666=0,0,O650/B666)</f>
        <v/>
      </c>
      <c r="Q650" t="n">
        <v>0</v>
      </c>
      <c r="R650" t="n">
        <v>0</v>
      </c>
      <c r="S650">
        <f>IFERROR(O650/N650,0)</f>
        <v/>
      </c>
      <c r="T650" t="n">
        <v>0</v>
      </c>
      <c r="V650" t="n">
        <v>0</v>
      </c>
    </row>
    <row r="651">
      <c r="A651">
        <f>Skills!A29</f>
        <v/>
      </c>
      <c r="B651">
        <f>Skills!B29</f>
        <v/>
      </c>
      <c r="C651">
        <f>Inputs!$B$3&gt;=120</f>
        <v/>
      </c>
      <c r="D651">
        <f>IF(Skills!C29=1,60+Inputs!$B$25+Inputs!$B$29,IF(Skills!C29=2,90+Inputs!$B$26+Inputs!$B$29,IF(Skills!C29=3,120+Inputs!$B$27+Inputs!$B$29,MAX(0,(Inputs!$B$3-100)*3)+Inputs!$B$28+Inputs!$B$29)))</f>
        <v/>
      </c>
      <c r="E651">
        <f>INDEX(FactorTable!$B$2:$Y$301, MATCH(ROUND(MIN(300,MAX(1,D651)),0), FactorTable!$A$2:$A$301,0), Skills!M29+1)</f>
        <v/>
      </c>
      <c r="F651">
        <f>IF(Skills!N29=TRUE,(Skills!L29/10)*(E651/1000),Skills!L29/10)+Skills!O29</f>
        <v/>
      </c>
      <c r="G651">
        <f>Calc!G29</f>
        <v/>
      </c>
      <c r="H651">
        <f>Calc!H29</f>
        <v/>
      </c>
      <c r="I651">
        <f>IF(Skills!AA29&lt;&gt;"",1+(Skills!AA29/10)*(U625/1000)/100,1)</f>
        <v/>
      </c>
      <c r="J651" t="inlineStr"/>
      <c r="K651" t="inlineStr"/>
      <c r="L651" t="inlineStr"/>
      <c r="M651" t="inlineStr"/>
      <c r="N651" t="inlineStr"/>
      <c r="O651">
        <f>(1-Summary!$B$55)*T651+Summary!$B$55*V651</f>
        <v/>
      </c>
      <c r="P651">
        <f>IF(B666=0,0,O651/B666)</f>
        <v/>
      </c>
      <c r="Q651" t="n">
        <v>0</v>
      </c>
      <c r="R651" t="n">
        <v>0</v>
      </c>
      <c r="S651">
        <f>IFERROR(O651/N651,0)</f>
        <v/>
      </c>
      <c r="T651" t="n">
        <v>0</v>
      </c>
      <c r="V651" t="n">
        <v>0</v>
      </c>
    </row>
    <row r="652">
      <c r="A652">
        <f>Skills!A30</f>
        <v/>
      </c>
      <c r="B652">
        <f>Skills!B30</f>
        <v/>
      </c>
      <c r="C652">
        <f>Inputs!$B$3&gt;=125</f>
        <v/>
      </c>
      <c r="D652">
        <f>IF(Skills!C30=1,60+Inputs!$B$25+Inputs!$B$29,IF(Skills!C30=2,90+Inputs!$B$26+Inputs!$B$29,IF(Skills!C30=3,120+Inputs!$B$27+Inputs!$B$29,MAX(0,(Inputs!$B$3-100)*3)+Inputs!$B$28+Inputs!$B$29)))</f>
        <v/>
      </c>
      <c r="E652">
        <f>INDEX(FactorTable!$B$2:$Y$301, MATCH(ROUND(MIN(300,MAX(1,D652)),0), FactorTable!$A$2:$A$301,0), Skills!M30+1)</f>
        <v/>
      </c>
      <c r="F652">
        <f>IF(Skills!N30=TRUE,(Skills!L30/10)*(E652/1000),Skills!L30/10)+Skills!O30</f>
        <v/>
      </c>
      <c r="G652">
        <f>Calc!G30</f>
        <v/>
      </c>
      <c r="H652">
        <f>Calc!H30</f>
        <v/>
      </c>
      <c r="I652">
        <f>IF(Skills!AA30&lt;&gt;"",1+(Skills!AA30/10)*(U625/1000)/100,1)</f>
        <v/>
      </c>
      <c r="J652" t="inlineStr"/>
      <c r="K652" t="inlineStr"/>
      <c r="L652" t="inlineStr"/>
      <c r="M652" t="inlineStr"/>
      <c r="N652" t="inlineStr"/>
      <c r="O652">
        <f>(1-Summary!$B$55)*T652+Summary!$B$55*V652</f>
        <v/>
      </c>
      <c r="P652">
        <f>IF(B666=0,0,O652/B666)</f>
        <v/>
      </c>
      <c r="Q652" t="n">
        <v>0</v>
      </c>
      <c r="R652" t="n">
        <v>0</v>
      </c>
      <c r="S652">
        <f>IFERROR(O652/N652,0)</f>
        <v/>
      </c>
      <c r="T652" t="n">
        <v>0</v>
      </c>
      <c r="V652" t="n">
        <v>0</v>
      </c>
    </row>
    <row r="653">
      <c r="A653">
        <f>Skills!A31</f>
        <v/>
      </c>
      <c r="B653">
        <f>Skills!B31</f>
        <v/>
      </c>
      <c r="C653">
        <f>Inputs!$B$3&gt;=107</f>
        <v/>
      </c>
      <c r="D653">
        <f>IF(Skills!C31=1,60+Inputs!$B$25+Inputs!$B$29,IF(Skills!C31=2,90+Inputs!$B$26+Inputs!$B$29,IF(Skills!C31=3,120+Inputs!$B$27+Inputs!$B$29,MAX(0,(Inputs!$B$3-100)*3)+Inputs!$B$28+Inputs!$B$29)))</f>
        <v/>
      </c>
      <c r="E653">
        <f>INDEX(FactorTable!$B$2:$Y$301, MATCH(ROUND(MIN(300,MAX(1,D653)),0), FactorTable!$A$2:$A$301,0), Skills!M31+1)</f>
        <v/>
      </c>
      <c r="F653">
        <f>IF(Skills!N31=TRUE,(Skills!L31/10)*(E653/1000),Skills!L31/10)+Skills!O31</f>
        <v/>
      </c>
      <c r="G653">
        <f>Calc!G31</f>
        <v/>
      </c>
      <c r="H653">
        <f>Calc!H31</f>
        <v/>
      </c>
      <c r="I653">
        <f>IF(Skills!AA31&lt;&gt;"",1+(Skills!AA31/10)*(U625/1000)/100,1)</f>
        <v/>
      </c>
      <c r="J653" t="inlineStr"/>
      <c r="K653" t="inlineStr"/>
      <c r="L653" t="inlineStr"/>
      <c r="M653" t="inlineStr"/>
      <c r="N653" t="inlineStr"/>
      <c r="O653">
        <f>(1-Summary!$B$55)*T653+Summary!$B$55*V653</f>
        <v/>
      </c>
      <c r="P653">
        <f>IF(B666=0,0,O653/B666)</f>
        <v/>
      </c>
      <c r="Q653" t="n">
        <v>0</v>
      </c>
      <c r="R653" t="n">
        <v>0</v>
      </c>
      <c r="S653">
        <f>IFERROR(O653/N653,0)</f>
        <v/>
      </c>
      <c r="T653" t="n">
        <v>0</v>
      </c>
      <c r="V653" t="n">
        <v>0</v>
      </c>
    </row>
    <row r="655">
      <c r="A655" t="inlineStr">
        <is>
          <t>Actions Per Second (pre-Adrenalin)</t>
        </is>
      </c>
      <c r="B655">
        <f>1+MIN(150,150*(1-(1-(((1-(1-Inputs!$B$11/150)*(1-1/150))*150)+((C644=TRUE)*(F644-Calc!F22)))/150)*(1-((C641=TRUE)*F641*IF(AND(Inputs!$B$39&lt;&gt;"pvp",Inputs!$B$44&gt;0),(((R641-1)*(Skills!Y19*(1+Inputs!$B$34/100))+MIN((Skills!Y19*(1+Inputs!$B$34/100)),MAX(0,Inputs!$B$44-((R641-1)*Skills!D19))))/Inputs!$B$44),IF(Inputs!$B$39="pvp",MIN((Skills!Y19*(1+Inputs!$B$34/100)),15)/15,(Skills!Y19*(1+Inputs!$B$34/100))/Skills!D19)))/150)))/100</f>
        <v/>
      </c>
    </row>
    <row r="656">
      <c r="A656" t="inlineStr">
        <is>
          <t>Alchemic Adrenaline Uptime</t>
        </is>
      </c>
      <c r="B656">
        <f>(Skills!Y6*(1+Inputs!$B$34/100))/((Skills!Y6*(1+Inputs!$B$34/100))+(5/B655))</f>
        <v/>
      </c>
    </row>
    <row r="657">
      <c r="A657" t="inlineStr">
        <is>
          <t>Attack Speed Buff Bonus %</t>
        </is>
      </c>
      <c r="B657">
        <f>((C641=TRUE)*F641*IF(AND(Inputs!$B$39&lt;&gt;"pvp",Inputs!$B$44&gt;0),(((R641-1)*(Skills!Y19*(1+Inputs!$B$34/100))+MIN((Skills!Y19*(1+Inputs!$B$34/100)),MAX(0,Inputs!$B$44-((R641-1)*Skills!D19))))/Inputs!$B$44),IF(Inputs!$B$39="pvp",MIN((Skills!Y19*(1+Inputs!$B$34/100)),15)/15,(Skills!Y19*(1+Inputs!$B$34/100))/Skills!D19)))+((C629=TRUE)*F629*B656)</f>
        <v/>
      </c>
    </row>
    <row r="658">
      <c r="A658" t="inlineStr">
        <is>
          <t>Actions Per Second (final)</t>
        </is>
      </c>
      <c r="B658">
        <f>1+MIN(150,150*(1-(1-(((1-(1-Inputs!$B$11/150)*(1-1/150))*150)+((C644=TRUE)*(F644-Calc!F22)))/150)*(1-B657/150)))/100</f>
        <v/>
      </c>
    </row>
    <row r="659">
      <c r="A659" t="inlineStr">
        <is>
          <t>Skill + Buff Cast Rate</t>
        </is>
      </c>
      <c r="B659">
        <f>IF(AND(Inputs!$B$39&lt;&gt;"pvp",Inputs!$B$44&gt;0),SUMPRODUCT((Skills!E2:E31=TRUE)*(C624:C653=TRUE)*R624:R653*Skills!F2:F31)/Inputs!$B$44,SUMPRODUCT((Skills!E2:E31=TRUE)*(C624:C653=TRUE)*Q624:Q653*Skills!F2:F31))</f>
        <v/>
      </c>
    </row>
    <row r="660">
      <c r="A660" t="inlineStr">
        <is>
          <t>Showdown Casts Per Second</t>
        </is>
      </c>
      <c r="B660">
        <f>MAX(0,B658-B659)</f>
        <v/>
      </c>
    </row>
    <row r="661">
      <c r="A661" t="inlineStr">
        <is>
          <t>Average Buff Multiplier</t>
        </is>
      </c>
      <c r="B661">
        <f>(1+(((C643=TRUE)*F643*IF(AND(Inputs!$B$39&lt;&gt;"pvp",Inputs!$B$44&gt;0),(((R643-1)*(Skills!Y21*(1+Inputs!$B$34/100))+MIN((Skills!Y21*(1+Inputs!$B$34/100)),MAX(0,Inputs!$B$44-((R643-1)*Skills!D21))))/Inputs!$B$44),IF(Inputs!$B$39="pvp",MIN((Skills!Y21*(1+Inputs!$B$34/100)),15)/15,(Skills!Y21*(1+Inputs!$B$34/100))/Skills!D21)))+((C650=TRUE)*(F650-Calc!F28))+((C640=TRUE)*(F640-Calc!F18)))/100)*(1+((C637=TRUE)*F637*IF(AND(Inputs!$B$39&lt;&gt;"pvp",Inputs!$B$44&gt;0),(((R637-1)*(Skills!Y15*(1+Inputs!$B$34/100))+MIN((Skills!Y15*(1+Inputs!$B$34/100)),MAX(0,Inputs!$B$44-((R637-1)*Skills!D15))))/Inputs!$B$44),IF(Inputs!$B$39="pvp",MIN((Skills!Y15*(1+Inputs!$B$34/100)),15)/15,(Skills!Y15*(1+Inputs!$B$34/100))/Skills!D15)))/100)*(1+((C628=TRUE)*F628*B656)/100)</f>
        <v/>
      </c>
    </row>
    <row r="662">
      <c r="A662" t="inlineStr">
        <is>
          <t>Global Crit Rate Bonus %</t>
        </is>
      </c>
      <c r="B662">
        <f>IF(Inputs!$B$3&gt;=47,8,0)+((C642=TRUE)*F642*IF(AND(Inputs!$B$39&lt;&gt;"pvp",Inputs!$B$44&gt;0),(((R642-1)*(Skills!Y20*(1+Inputs!$B$34/100))+MIN((Skills!Y20*(1+Inputs!$B$34/100)),MAX(0,Inputs!$B$44-((R642-1)*Skills!D20))))/Inputs!$B$44),IF(Inputs!$B$39="pvp",MIN((Skills!Y20*(1+Inputs!$B$34/100)),15)/15,(Skills!Y20*(1+Inputs!$B$34/100))/Skills!D20)))</f>
        <v/>
      </c>
    </row>
    <row r="663">
      <c r="A663" t="inlineStr">
        <is>
          <t>Global Monster Damage-Taken Bonus %</t>
        </is>
      </c>
      <c r="B663">
        <f>IF(Inputs!$B$3&gt;=82,15,0)+((C638=TRUE)*F638*IF(AND(Inputs!$B$39&lt;&gt;"pvp",Inputs!$B$44&gt;0),(((R638-1)*(Skills!Y16*(1+Inputs!$B$34/100))+MIN((Skills!Y16*(1+Inputs!$B$34/100)),MAX(0,Inputs!$B$44-((R638-1)*Skills!D16))))/Inputs!$B$44),IF(Inputs!$B$39="pvp",MIN((Skills!Y16*(1+Inputs!$B$34/100)),15)/15,(Skills!Y16*(1+Inputs!$B$34/100))/Skills!D16)))</f>
        <v/>
      </c>
    </row>
    <row r="664">
      <c r="A664" t="inlineStr">
        <is>
          <t>Shadow Partner Average Multiplier</t>
        </is>
      </c>
      <c r="B664">
        <f>1+((C633=TRUE)*F633*I633*Skills!J11/100)/100</f>
        <v/>
      </c>
    </row>
    <row r="665">
      <c r="A665" t="inlineStr">
        <is>
          <t>Global Critical Damage Bonus % (Frailty Curse Mastery Lv.111)</t>
        </is>
      </c>
      <c r="B665">
        <f>IF(Inputs!$B$3&gt;=111,30,0)*IF(AND(Inputs!$B$39&lt;&gt;"pvp",Inputs!$B$44&gt;0),(((R638-1)*(Skills!Y16*(1+Inputs!$B$34/100))+MIN((Skills!Y16*(1+Inputs!$B$34/100)),MAX(0,Inputs!$B$44-((R638-1)*Skills!D16))))/Inputs!$B$44),IF(Inputs!$B$39="pvp",MIN((Skills!Y16*(1+Inputs!$B$34/100)),15)/15,(Skills!Y16*(1+Inputs!$B$34/100))/Skills!D16))</f>
        <v/>
      </c>
    </row>
    <row r="666">
      <c r="A666" s="5" t="inlineStr">
        <is>
          <t>TOTAL DPS</t>
        </is>
      </c>
      <c r="B666" s="5">
        <f>SUM(O624:O653)</f>
        <v/>
      </c>
    </row>
    <row r="667">
      <c r="A667" t="inlineStr">
        <is>
          <t>Buff-Casting Startup Delay (s, fixed-duration only)</t>
        </is>
      </c>
      <c r="B667">
        <f>IF(AND(Inputs!$B$39&lt;&gt;"pvp",Inputs!$B$44&gt;0),SUMPRODUCT((Skills!Y2:Y31&gt;0)*(Skills!E2:E31=TRUE)*(C624:C653=TRUE))/B658,0)</f>
        <v/>
      </c>
    </row>
    <row r="668">
      <c r="A668" t="inlineStr">
        <is>
          <t>Boss-Only Total DPS (this block's swept value)</t>
        </is>
      </c>
      <c r="B668">
        <f>SUM(T624:T653)</f>
        <v/>
      </c>
    </row>
    <row r="669">
      <c r="A669" t="inlineStr">
        <is>
          <t>Normal-Only Total DPS (this block's swept value)</t>
        </is>
      </c>
      <c r="B669">
        <f>SUM(V624:V653)</f>
        <v/>
      </c>
    </row>
    <row r="671">
      <c r="A671" s="5" t="inlineStr">
        <is>
          <t>Stat: DEF_PEN % (diminishing returns, factor 100)</t>
        </is>
      </c>
    </row>
    <row r="672">
      <c r="A672" s="9" t="inlineStr">
        <is>
          <t>Key</t>
        </is>
      </c>
      <c r="B672" s="9" t="inlineStr">
        <is>
          <t>Name</t>
        </is>
      </c>
      <c r="C672" s="9" t="inlineStr">
        <is>
          <t>Unlocked</t>
        </is>
      </c>
      <c r="D672" s="9" t="inlineStr">
        <is>
          <t>InputLevel</t>
        </is>
      </c>
      <c r="E672" s="9" t="inlineStr">
        <is>
          <t>Factor</t>
        </is>
      </c>
      <c r="F672" s="9" t="inlineStr">
        <is>
          <t>CoefficientPercent</t>
        </is>
      </c>
      <c r="G672" s="9" t="inlineStr">
        <is>
          <t>EffectiveHits</t>
        </is>
      </c>
      <c r="H672" s="9" t="inlineStr">
        <is>
          <t>ProcProbability</t>
        </is>
      </c>
      <c r="I672" s="9" t="inlineStr">
        <is>
          <t>MapleHeroMultiplier</t>
        </is>
      </c>
      <c r="J672" s="9" t="inlineStr">
        <is>
          <t>BaseDamage</t>
        </is>
      </c>
      <c r="K672" s="9" t="inlineStr">
        <is>
          <t>BaseHitDamage</t>
        </is>
      </c>
      <c r="L672" s="9" t="inlineStr">
        <is>
          <t>NonCritAvg</t>
        </is>
      </c>
      <c r="M672" s="9" t="inlineStr">
        <is>
          <t>CritAvg</t>
        </is>
      </c>
      <c r="N672" s="9" t="inlineStr">
        <is>
          <t>ExpectedDamage(perHit)</t>
        </is>
      </c>
      <c r="O672" s="9" t="inlineStr">
        <is>
          <t>DPS</t>
        </is>
      </c>
      <c r="P672" s="9" t="inlineStr">
        <is>
          <t>% of Total</t>
        </is>
      </c>
      <c r="Q672" s="9" t="inlineStr">
        <is>
          <t>InvCooldown</t>
        </is>
      </c>
      <c r="R672" s="9" t="inlineStr">
        <is>
          <t>CastsInFight</t>
        </is>
      </c>
      <c r="S672" s="9" t="inlineStr">
        <is>
          <t>HitRate(perSec)</t>
        </is>
      </c>
      <c r="U672" t="inlineStr">
        <is>
          <t>helpers</t>
        </is>
      </c>
    </row>
    <row r="673">
      <c r="A673">
        <f>Skills!A2</f>
        <v/>
      </c>
      <c r="B673">
        <f>Skills!B2</f>
        <v/>
      </c>
      <c r="C673">
        <f>Inputs!$B$3&gt;=100</f>
        <v/>
      </c>
      <c r="D673" t="inlineStr"/>
      <c r="E673" t="inlineStr"/>
      <c r="F673">
        <f>U677+Skills!O2</f>
        <v/>
      </c>
      <c r="G673">
        <f>Calc!G2</f>
        <v/>
      </c>
      <c r="H673">
        <f>Calc!H2</f>
        <v/>
      </c>
      <c r="I673">
        <f>IF(Skills!AA2&lt;&gt;"",1+(Skills!AA2/10)*(U674/1000)/100,1)</f>
        <v/>
      </c>
      <c r="J673">
        <f>((Inputs!$B$6*(1+Inputs!$B$7/100))+(((Inputs!$B$12*(1+Inputs!$B$13/100))-(Inputs!$B$12*(1+Inputs!$B$13/100)))+0.25*(Inputs!$B$14-Inputs!$B$14))*(1+Inputs!$B$7/100))*(F673/100)</f>
        <v/>
      </c>
      <c r="K673">
        <f>J673*(1+((Inputs!$B$12*(1+Inputs!$B$13/100))*0.01+Inputs!$B$14*0.0025)/100)*(1+Inputs!$B$15/100)*(1+Inputs!$B$16/100)*(5000/(6000+Inputs!$B$43*(1-((1-(1-Inputs!$B$19/100)*(1-1/100))*100)/100)))*(1+(Inputs!$B$24+((C701=TRUE)*(F701-Calc!F30)))/100)*(1+Skills!R2/100)*(1+(IF(Skills!A2="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673)</f>
        <v/>
      </c>
      <c r="L673">
        <f>K673*(MIN(Inputs!$B$22+((C695=TRUE)*(F695-Calc!F24)),Inputs!$B$23)/100+Inputs!$B$23/100)/2</f>
        <v/>
      </c>
      <c r="M673">
        <f>L673*(1+(Inputs!$B$10+((C697=TRUE)*(F697-Calc!F26))+B714)/100)</f>
        <v/>
      </c>
      <c r="N673">
        <f>L673*(1-MIN((Inputs!$B$9+((C696=TRUE)*(F696-Calc!F25))+B711),100)/100)+M673*(MIN((Inputs!$B$9+((C696=TRUE)*(F696-Calc!F25))+B711),100)/100)</f>
        <v/>
      </c>
      <c r="O673">
        <f>(1-Summary!$B$55)*T673+Summary!$B$55*V673</f>
        <v/>
      </c>
      <c r="P673">
        <f>IF(B715=0,0,O673/B715)</f>
        <v/>
      </c>
      <c r="Q673" t="n">
        <v>0</v>
      </c>
      <c r="R673" t="n">
        <v>0</v>
      </c>
      <c r="S673">
        <f>IFERROR(O673/N673,0)</f>
        <v/>
      </c>
      <c r="T673">
        <f>IF(C673,(Skills!G2*N673*B709)*IF(Inputs!$B$39="pvp",1,1+(Inputs!$B$20+((C698=TRUE)*(F698-Calc!F27))+Skills!P2+B712)/100),0)</f>
        <v/>
      </c>
      <c r="U673">
        <f>MAX(0,(Inputs!$B$3-100)*3)+Inputs!$B$28+Inputs!$B$29</f>
        <v/>
      </c>
      <c r="V673">
        <f>IF(C673,(Skills!G2*N673*B709)*IF(Inputs!$B$39="pvp",1,(1+(Inputs!$B$21+Skills!Q2+B712)/100)*(MIN((6+Inputs!$B$33),Inputs!$B$37))),0)</f>
        <v/>
      </c>
    </row>
    <row r="674">
      <c r="A674">
        <f>Skills!A3</f>
        <v/>
      </c>
      <c r="B674">
        <f>Skills!B3</f>
        <v/>
      </c>
      <c r="C674">
        <f>Inputs!$B$3&gt;=35</f>
        <v/>
      </c>
      <c r="D674">
        <f>IF(Skills!C3=1,60+Inputs!$B$25+Inputs!$B$29,IF(Skills!C3=2,90+Inputs!$B$26+Inputs!$B$29,IF(Skills!C3=3,120+Inputs!$B$27+Inputs!$B$29,MAX(0,(Inputs!$B$3-100)*3)+Inputs!$B$28+Inputs!$B$29)))</f>
        <v/>
      </c>
      <c r="E674">
        <f>INDEX(FactorTable!$B$2:$Y$301, MATCH(ROUND(MIN(300,MAX(1,D674)),0), FactorTable!$A$2:$A$301,0), Skills!M3+1)</f>
        <v/>
      </c>
      <c r="F674">
        <f>IF(Skills!N3=TRUE,(Skills!L3/10)*(E674/1000),Skills!L3/10)+Skills!O3</f>
        <v/>
      </c>
      <c r="G674">
        <f>Calc!G3</f>
        <v/>
      </c>
      <c r="H674">
        <f>Calc!H3</f>
        <v/>
      </c>
      <c r="I674">
        <f>IF(Skills!AA3&lt;&gt;"",1+(Skills!AA3/10)*(U674/1000)/100,1)</f>
        <v/>
      </c>
      <c r="J674">
        <f>((Inputs!$B$6*(1+Inputs!$B$7/100))+(((Inputs!$B$12*(1+Inputs!$B$13/100))-(Inputs!$B$12*(1+Inputs!$B$13/100)))+0.25*(Inputs!$B$14-Inputs!$B$14))*(1+Inputs!$B$7/100))*(F674/100)</f>
        <v/>
      </c>
      <c r="K674">
        <f>J674*(1+((Inputs!$B$12*(1+Inputs!$B$13/100))*0.01+Inputs!$B$14*0.0025)/100)*(1+Inputs!$B$15/100)*(1+Inputs!$B$16/100)*(5000/(6000+Inputs!$B$43*(1-((1-(1-Inputs!$B$19/100)*(1-1/100))*100)/100)))*(1+(Inputs!$B$24+((C701=TRUE)*(F701-Calc!F30)))/100)*(1+Skills!R3/100)*(1+(IF(Skills!A3="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674)</f>
        <v/>
      </c>
      <c r="L674">
        <f>K674*(MIN(Inputs!$B$22+((C695=TRUE)*(F695-Calc!F24)),Inputs!$B$23)/100+Inputs!$B$23/100)/2</f>
        <v/>
      </c>
      <c r="M674">
        <f>L674*(1+(Inputs!$B$10+((C697=TRUE)*(F697-Calc!F26))+B714)/100)</f>
        <v/>
      </c>
      <c r="N674">
        <f>L674*(1-MIN((Inputs!$B$9+((C696=TRUE)*(F696-Calc!F25))+B711),100)/100)+M674*(MIN((Inputs!$B$9+((C696=TRUE)*(F696-Calc!F25))+B711),100)/100)</f>
        <v/>
      </c>
      <c r="O674">
        <f>(1-Summary!$B$55)*T674+Summary!$B$55*V674</f>
        <v/>
      </c>
      <c r="P674">
        <f>IF(B715=0,0,O674/B715)</f>
        <v/>
      </c>
      <c r="Q674">
        <f>IFERROR(1/IF(Inputs!$B$39="pvp",15,MAX(0.1,Skills!D3-IF(Skills!E3=TRUE,Inputs!$B$32,0))),0)</f>
        <v/>
      </c>
      <c r="R674">
        <f>IF(AND(Inputs!$B$39&lt;&gt;"pvp",Inputs!$B$44&gt;0),IF(MAX(0,Inputs!$B$44-B716)&lt;=0,0,(INT(MAX(0,Inputs!$B$44-B716)/IF(Inputs!$B$39="pvp",15,MAX(0.1,Skills!D3-IF(Skills!E3=TRUE,Inputs!$B$32,0))))+1)),0)</f>
        <v/>
      </c>
      <c r="S674">
        <f>IFERROR(O674/N674,0)</f>
        <v/>
      </c>
      <c r="T674">
        <f>IF(C674,(H674*N674*IF(AND(Inputs!$B$39&lt;&gt;"pvp",Inputs!$B$44&gt;0),((Skills!G3*((R674-1)*IF(Skills!H3&gt;0,Skills!I3/Skills!H3,1)+IF(Skills!H3&gt;0,MIN(Skills!I3,MAX(0,MAX(0,Inputs!$B$44-B716)-((R674-1)*IF(Inputs!$B$39="pvp",15,MAX(0.1,Skills!D3-IF(Skills!E3=TRUE,Inputs!$B$32,0))))))/Skills!H3,1)))/Inputs!$B$44),G674*Q674))*IF(Inputs!$B$39="pvp",1,1+(Inputs!$B$20+((C698=TRUE)*(F698-Calc!F27))+Skills!P3+B712)/100),0)</f>
        <v/>
      </c>
      <c r="U674">
        <f>INDEX(FactorTable!$B$2:$Y$301, MATCH(ROUND(MIN(300,MAX(1,U673)),0), FactorTable!$A$2:$A$301,0), 24)</f>
        <v/>
      </c>
      <c r="V674">
        <f>IF(C674,(H674*N674*IF(AND(Inputs!$B$39&lt;&gt;"pvp",Inputs!$B$44&gt;0),((Skills!G3*((R674-1)*IF(Skills!H3&gt;0,Skills!I3/Skills!H3,1)+IF(Skills!H3&gt;0,MIN(Skills!I3,MAX(0,MAX(0,Inputs!$B$44-B716)-((R674-1)*IF(Inputs!$B$39="pvp",15,MAX(0.1,Skills!D3-IF(Skills!E3=TRUE,Inputs!$B$32,0))))))/Skills!H3,1)))/Inputs!$B$44),G674*Q674))*IF(Inputs!$B$39="pvp",1,(1+(Inputs!$B$21+Skills!Q3+B712)/100)*(MIN(Skills!W3,Inputs!$B$37))),0)</f>
        <v/>
      </c>
    </row>
    <row r="675">
      <c r="A675">
        <f>Skills!A4</f>
        <v/>
      </c>
      <c r="B675">
        <f>Skills!B4</f>
        <v/>
      </c>
      <c r="C675">
        <f>Inputs!$B$3&gt;=40</f>
        <v/>
      </c>
      <c r="D675">
        <f>IF(Skills!C4=1,60+Inputs!$B$25+Inputs!$B$29,IF(Skills!C4=2,90+Inputs!$B$26+Inputs!$B$29,IF(Skills!C4=3,120+Inputs!$B$27+Inputs!$B$29,MAX(0,(Inputs!$B$3-100)*3)+Inputs!$B$28+Inputs!$B$29)))</f>
        <v/>
      </c>
      <c r="E675">
        <f>INDEX(FactorTable!$B$2:$Y$301, MATCH(ROUND(MIN(300,MAX(1,D675)),0), FactorTable!$A$2:$A$301,0), Skills!M4+1)</f>
        <v/>
      </c>
      <c r="F675">
        <f>IF(Skills!N4=TRUE,(Skills!L4/10)*(E675/1000),Skills!L4/10)+Skills!O4</f>
        <v/>
      </c>
      <c r="G675">
        <f>Calc!G4</f>
        <v/>
      </c>
      <c r="H675">
        <f>Calc!H4</f>
        <v/>
      </c>
      <c r="I675">
        <f>IF(Skills!AA4&lt;&gt;"",1+(Skills!AA4/10)*(U674/1000)/100,1)</f>
        <v/>
      </c>
      <c r="J675">
        <f>((Inputs!$B$6*(1+Inputs!$B$7/100))+(((Inputs!$B$12*(1+Inputs!$B$13/100))-(Inputs!$B$12*(1+Inputs!$B$13/100)))+0.25*(Inputs!$B$14-Inputs!$B$14))*(1+Inputs!$B$7/100))*(F675/100)</f>
        <v/>
      </c>
      <c r="K675">
        <f>J675*(1+((Inputs!$B$12*(1+Inputs!$B$13/100))*0.01+Inputs!$B$14*0.0025)/100)*(1+Inputs!$B$15/100)*(1+Inputs!$B$16/100)*(5000/(6000+Inputs!$B$43*(1-((1-(1-Inputs!$B$19/100)*(1-1/100))*100)/100)))*(1+(Inputs!$B$24+((C701=TRUE)*(F701-Calc!F30)))/100)*(1+Skills!R4/100)*(1+(IF(Skills!A4="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675)</f>
        <v/>
      </c>
      <c r="L675">
        <f>K675*(MIN(Inputs!$B$22+((C695=TRUE)*(F695-Calc!F24)),Inputs!$B$23)/100+Inputs!$B$23/100)/2</f>
        <v/>
      </c>
      <c r="M675">
        <f>L675*(1+(Inputs!$B$10+((C697=TRUE)*(F697-Calc!F26))+B714)/100)</f>
        <v/>
      </c>
      <c r="N675">
        <f>L675*(1-MIN((Inputs!$B$9+((C696=TRUE)*(F696-Calc!F25))+B711),100)/100)+M675*(MIN((Inputs!$B$9+((C696=TRUE)*(F696-Calc!F25))+B711),100)/100)</f>
        <v/>
      </c>
      <c r="O675">
        <f>(1-Summary!$B$55)*T675+Summary!$B$55*V675</f>
        <v/>
      </c>
      <c r="P675">
        <f>IF(B715=0,0,O675/B715)</f>
        <v/>
      </c>
      <c r="Q675">
        <f>IFERROR(1/IF(Inputs!$B$39="pvp",15,MAX(0.1,Skills!D4-IF(Skills!E4=TRUE,Inputs!$B$32,0))),0)</f>
        <v/>
      </c>
      <c r="R675">
        <f>IF(AND(Inputs!$B$39&lt;&gt;"pvp",Inputs!$B$44&gt;0),IF(MAX(0,Inputs!$B$44-B716)&lt;=0,0,(INT(MAX(0,Inputs!$B$44-B716)/IF(Inputs!$B$39="pvp",15,MAX(0.1,Skills!D4-IF(Skills!E4=TRUE,Inputs!$B$32,0))))+1)),0)</f>
        <v/>
      </c>
      <c r="S675">
        <f>IFERROR(O675/N675,0)</f>
        <v/>
      </c>
      <c r="T675">
        <f>IF(C675,(H675*N675*IF(AND(Inputs!$B$39&lt;&gt;"pvp",Inputs!$B$44&gt;0),((Skills!G4*((R675-1)*IF(Skills!H4&gt;0,Skills!I4/Skills!H4,1)+IF(Skills!H4&gt;0,MIN(Skills!I4,MAX(0,MAX(0,Inputs!$B$44-B716)-((R675-1)*IF(Inputs!$B$39="pvp",15,MAX(0.1,Skills!D4-IF(Skills!E4=TRUE,Inputs!$B$32,0))))))/Skills!H4,1)))/Inputs!$B$44),G675*Q675))*IF(Inputs!$B$39="pvp",1,1+(Inputs!$B$20+((C698=TRUE)*(F698-Calc!F27))+Skills!P4+B712)/100),0)</f>
        <v/>
      </c>
      <c r="U675">
        <f>MAX(0,(Inputs!$B$3-100)*3)+Inputs!$B$28+Inputs!$B$29</f>
        <v/>
      </c>
      <c r="V675">
        <f>IF(C675,(H675*N675*IF(AND(Inputs!$B$39&lt;&gt;"pvp",Inputs!$B$44&gt;0),((Skills!G4*((R675-1)*IF(Skills!H4&gt;0,Skills!I4/Skills!H4,1)+IF(Skills!H4&gt;0,MIN(Skills!I4,MAX(0,MAX(0,Inputs!$B$44-B716)-((R675-1)*IF(Inputs!$B$39="pvp",15,MAX(0.1,Skills!D4-IF(Skills!E4=TRUE,Inputs!$B$32,0))))))/Skills!H4,1)))/Inputs!$B$44),G675*Q675))*IF(Inputs!$B$39="pvp",1,(1+(Inputs!$B$21+Skills!Q4+B712)/100)*(MIN(Skills!W4,Inputs!$B$37))),0)</f>
        <v/>
      </c>
    </row>
    <row r="676">
      <c r="A676">
        <f>Skills!A5</f>
        <v/>
      </c>
      <c r="B676">
        <f>Skills!B5</f>
        <v/>
      </c>
      <c r="C676">
        <f>Inputs!$B$3&gt;=63</f>
        <v/>
      </c>
      <c r="D676">
        <f>IF(Skills!C5=1,60+Inputs!$B$25+Inputs!$B$29,IF(Skills!C5=2,90+Inputs!$B$26+Inputs!$B$29,IF(Skills!C5=3,120+Inputs!$B$27+Inputs!$B$29,MAX(0,(Inputs!$B$3-100)*3)+Inputs!$B$28+Inputs!$B$29)))</f>
        <v/>
      </c>
      <c r="E676">
        <f>INDEX(FactorTable!$B$2:$Y$301, MATCH(ROUND(MIN(300,MAX(1,D676)),0), FactorTable!$A$2:$A$301,0), Skills!M5+1)</f>
        <v/>
      </c>
      <c r="F676">
        <f>IF(Skills!N5=TRUE,(Skills!L5/10)*(E676/1000),Skills!L5/10)+Skills!O5</f>
        <v/>
      </c>
      <c r="G676">
        <f>Calc!G5</f>
        <v/>
      </c>
      <c r="H676">
        <f>Calc!H5</f>
        <v/>
      </c>
      <c r="I676">
        <f>IF(Skills!AA5&lt;&gt;"",1+(Skills!AA5/10)*(U674/1000)/100,1)</f>
        <v/>
      </c>
      <c r="J676">
        <f>((Inputs!$B$6*(1+Inputs!$B$7/100))+(((Inputs!$B$12*(1+Inputs!$B$13/100))-(Inputs!$B$12*(1+Inputs!$B$13/100)))+0.25*(Inputs!$B$14-Inputs!$B$14))*(1+Inputs!$B$7/100))*(F676/100)</f>
        <v/>
      </c>
      <c r="K676">
        <f>J676*(1+((Inputs!$B$12*(1+Inputs!$B$13/100))*0.01+Inputs!$B$14*0.0025)/100)*(1+Inputs!$B$15/100)*(1+Inputs!$B$16/100)*(5000/(6000+Inputs!$B$43*(1-((1-(1-Inputs!$B$19/100)*(1-1/100))*100)/100)))*(1+(Inputs!$B$24+((C701=TRUE)*(F701-Calc!F30)))/100)*(1+Skills!R5/100)*(1+(IF(Skills!A5="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676)</f>
        <v/>
      </c>
      <c r="L676">
        <f>K676*(MIN(Inputs!$B$22+((C695=TRUE)*(F695-Calc!F24)),Inputs!$B$23)/100+Inputs!$B$23/100)/2</f>
        <v/>
      </c>
      <c r="M676">
        <f>L676*(1+(Inputs!$B$10+((C697=TRUE)*(F697-Calc!F26))+B714)/100)</f>
        <v/>
      </c>
      <c r="N676">
        <f>L676*(1-MIN((Inputs!$B$9+((C696=TRUE)*(F696-Calc!F25))+B711),100)/100)+M676*(MIN((Inputs!$B$9+((C696=TRUE)*(F696-Calc!F25))+B711),100)/100)</f>
        <v/>
      </c>
      <c r="O676">
        <f>(1-Summary!$B$55)*T676+Summary!$B$55*V676</f>
        <v/>
      </c>
      <c r="P676">
        <f>IF(B715=0,0,O676/B715)</f>
        <v/>
      </c>
      <c r="Q676">
        <f>IFERROR(1/IF(Inputs!$B$39="pvp",15,MAX(0.1,Skills!D5-IF(Skills!E5=TRUE,Inputs!$B$32,0))),0)</f>
        <v/>
      </c>
      <c r="R676">
        <f>IF(AND(Inputs!$B$39&lt;&gt;"pvp",Inputs!$B$44&gt;0),IF(MAX(0,Inputs!$B$44-B716)&lt;=0,0,(INT(MAX(0,Inputs!$B$44-B716)/IF(Inputs!$B$39="pvp",15,MAX(0.1,Skills!D5-IF(Skills!E5=TRUE,Inputs!$B$32,0))))+1)),0)</f>
        <v/>
      </c>
      <c r="S676">
        <f>IFERROR(O676/N676,0)</f>
        <v/>
      </c>
      <c r="T676">
        <f>IF(C676,(H676*N676*IF(AND(Inputs!$B$39&lt;&gt;"pvp",Inputs!$B$44&gt;0),((Skills!G5*((R676-1)*IF(Skills!H5&gt;0,Skills!I5/Skills!H5,1)+IF(Skills!H5&gt;0,MIN(Skills!I5,MAX(0,MAX(0,Inputs!$B$44-B716)-((R676-1)*IF(Inputs!$B$39="pvp",15,MAX(0.1,Skills!D5-IF(Skills!E5=TRUE,Inputs!$B$32,0))))))/Skills!H5,1)))/Inputs!$B$44),G676*Q676))*IF(Inputs!$B$39="pvp",1,1+(Inputs!$B$20+((C698=TRUE)*(F698-Calc!F27))+Skills!P5+B712)/100),0)</f>
        <v/>
      </c>
      <c r="U676">
        <f>INDEX(FactorTable!$B$2:$Y$301, MATCH(ROUND(MIN(300,MAX(1,U675)),0), FactorTable!$A$2:$A$301,0), 22)</f>
        <v/>
      </c>
      <c r="V676">
        <f>IF(C676,(H676*N676*IF(AND(Inputs!$B$39&lt;&gt;"pvp",Inputs!$B$44&gt;0),((Skills!G5*((R676-1)*IF(Skills!H5&gt;0,Skills!I5/Skills!H5,1)+IF(Skills!H5&gt;0,MIN(Skills!I5,MAX(0,MAX(0,Inputs!$B$44-B716)-((R676-1)*IF(Inputs!$B$39="pvp",15,MAX(0.1,Skills!D5-IF(Skills!E5=TRUE,Inputs!$B$32,0))))))/Skills!H5,1)))/Inputs!$B$44),G676*Q676))*IF(Inputs!$B$39="pvp",1,(1+(Inputs!$B$21+Skills!Q5+B712)/100)*(MIN(Skills!W5,Inputs!$B$37))),0)</f>
        <v/>
      </c>
    </row>
    <row r="677">
      <c r="A677">
        <f>Skills!A6</f>
        <v/>
      </c>
      <c r="B677">
        <f>Skills!B6</f>
        <v/>
      </c>
      <c r="C677">
        <f>Inputs!$B$3&gt;=66</f>
        <v/>
      </c>
      <c r="D677">
        <f>IF(Skills!C6=1,60+Inputs!$B$25+Inputs!$B$29,IF(Skills!C6=2,90+Inputs!$B$26+Inputs!$B$29,IF(Skills!C6=3,120+Inputs!$B$27+Inputs!$B$29,MAX(0,(Inputs!$B$3-100)*3)+Inputs!$B$28+Inputs!$B$29)))</f>
        <v/>
      </c>
      <c r="E677">
        <f>INDEX(FactorTable!$B$2:$Y$301, MATCH(ROUND(MIN(300,MAX(1,D677)),0), FactorTable!$A$2:$A$301,0), Skills!M6+1)</f>
        <v/>
      </c>
      <c r="F677">
        <f>IF(Skills!N6=TRUE,(Skills!L6/10)*(E677/1000),Skills!L6/10)+Skills!O6</f>
        <v/>
      </c>
      <c r="G677">
        <f>Calc!G6</f>
        <v/>
      </c>
      <c r="H677">
        <f>Calc!H6</f>
        <v/>
      </c>
      <c r="I677">
        <f>IF(Skills!AA6&lt;&gt;"",1+(Skills!AA6/10)*(U674/1000)/100,1)</f>
        <v/>
      </c>
      <c r="J677" t="inlineStr"/>
      <c r="K677" t="inlineStr"/>
      <c r="L677" t="inlineStr"/>
      <c r="M677" t="inlineStr"/>
      <c r="N677" t="inlineStr"/>
      <c r="O677">
        <f>(1-Summary!$B$55)*T677+Summary!$B$55*V677</f>
        <v/>
      </c>
      <c r="P677">
        <f>IF(B715=0,0,O677/B715)</f>
        <v/>
      </c>
      <c r="Q677" t="n">
        <v>0</v>
      </c>
      <c r="R677" t="n">
        <v>0</v>
      </c>
      <c r="S677">
        <f>IFERROR(O677/N677,0)</f>
        <v/>
      </c>
      <c r="T677" t="n">
        <v>0</v>
      </c>
      <c r="U677">
        <f>290*U676/1000</f>
        <v/>
      </c>
      <c r="V677" t="n">
        <v>0</v>
      </c>
    </row>
    <row r="678">
      <c r="A678">
        <f>Skills!A7</f>
        <v/>
      </c>
      <c r="B678">
        <f>Skills!B7</f>
        <v/>
      </c>
      <c r="C678">
        <f>Inputs!$B$3&gt;=66</f>
        <v/>
      </c>
      <c r="D678">
        <f>IF(Skills!C7=1,60+Inputs!$B$25+Inputs!$B$29,IF(Skills!C7=2,90+Inputs!$B$26+Inputs!$B$29,IF(Skills!C7=3,120+Inputs!$B$27+Inputs!$B$29,MAX(0,(Inputs!$B$3-100)*3)+Inputs!$B$28+Inputs!$B$29)))</f>
        <v/>
      </c>
      <c r="E678">
        <f>INDEX(FactorTable!$B$2:$Y$301, MATCH(ROUND(MIN(300,MAX(1,D678)),0), FactorTable!$A$2:$A$301,0), Skills!M7+1)</f>
        <v/>
      </c>
      <c r="F678">
        <f>IF(Skills!N7=TRUE,(Skills!L7/10)*(E678/1000),Skills!L7/10)+Skills!O7</f>
        <v/>
      </c>
      <c r="G678">
        <f>Calc!G7</f>
        <v/>
      </c>
      <c r="H678">
        <f>Calc!H7</f>
        <v/>
      </c>
      <c r="I678">
        <f>IF(Skills!AA7&lt;&gt;"",1+(Skills!AA7/10)*(U674/1000)/100,1)</f>
        <v/>
      </c>
      <c r="J678" t="inlineStr"/>
      <c r="K678" t="inlineStr"/>
      <c r="L678" t="inlineStr"/>
      <c r="M678" t="inlineStr"/>
      <c r="N678" t="inlineStr"/>
      <c r="O678">
        <f>(1-Summary!$B$55)*T678+Summary!$B$55*V678</f>
        <v/>
      </c>
      <c r="P678">
        <f>IF(B715=0,0,O678/B715)</f>
        <v/>
      </c>
      <c r="Q678" t="n">
        <v>0</v>
      </c>
      <c r="R678" t="n">
        <v>0</v>
      </c>
      <c r="S678">
        <f>IFERROR(O678/N678,0)</f>
        <v/>
      </c>
      <c r="T678" t="n">
        <v>0</v>
      </c>
      <c r="V678" t="n">
        <v>0</v>
      </c>
    </row>
    <row r="679">
      <c r="A679">
        <f>Skills!A8</f>
        <v/>
      </c>
      <c r="B679">
        <f>Skills!B8</f>
        <v/>
      </c>
      <c r="C679">
        <f>Inputs!$B$3&gt;=69</f>
        <v/>
      </c>
      <c r="D679">
        <f>IF(Skills!C8=1,60+Inputs!$B$25+Inputs!$B$29,IF(Skills!C8=2,90+Inputs!$B$26+Inputs!$B$29,IF(Skills!C8=3,120+Inputs!$B$27+Inputs!$B$29,MAX(0,(Inputs!$B$3-100)*3)+Inputs!$B$28+Inputs!$B$29)))</f>
        <v/>
      </c>
      <c r="E679">
        <f>INDEX(FactorTable!$B$2:$Y$301, MATCH(ROUND(MIN(300,MAX(1,D679)),0), FactorTable!$A$2:$A$301,0), Skills!M8+1)</f>
        <v/>
      </c>
      <c r="F679">
        <f>IF(Skills!N8=TRUE,(Skills!L8/10)*(E679/1000),Skills!L8/10)+Skills!O8</f>
        <v/>
      </c>
      <c r="G679">
        <f>Calc!G8</f>
        <v/>
      </c>
      <c r="H679">
        <f>Calc!H8</f>
        <v/>
      </c>
      <c r="I679">
        <f>IF(Skills!AA8&lt;&gt;"",1+(Skills!AA8/10)*(U674/1000)/100,1)</f>
        <v/>
      </c>
      <c r="J679">
        <f>((Inputs!$B$6*(1+Inputs!$B$7/100))+(((Inputs!$B$12*(1+Inputs!$B$13/100))-(Inputs!$B$12*(1+Inputs!$B$13/100)))+0.25*(Inputs!$B$14-Inputs!$B$14))*(1+Inputs!$B$7/100))*(F679/100)</f>
        <v/>
      </c>
      <c r="K679">
        <f>J679*(1+((Inputs!$B$12*(1+Inputs!$B$13/100))*0.01+Inputs!$B$14*0.0025)/100)*(1+Inputs!$B$15/100)*(1+Inputs!$B$16/100)*(5000/(6000+Inputs!$B$43*(1-((1-(1-Inputs!$B$19/100)*(1-1/100))*100)/100)))*(1+(Inputs!$B$24+((C701=TRUE)*(F701-Calc!F30)))/100)*(1+Skills!R8/100)*(1+(IF(Skills!A8="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679)</f>
        <v/>
      </c>
      <c r="L679">
        <f>K679*(MIN(Inputs!$B$22+((C695=TRUE)*(F695-Calc!F24)),Inputs!$B$23)/100+Inputs!$B$23/100)/2</f>
        <v/>
      </c>
      <c r="M679">
        <f>L679*(1+(Inputs!$B$10+((C697=TRUE)*(F697-Calc!F26))+B714)/100)</f>
        <v/>
      </c>
      <c r="N679">
        <f>L679*(1-MIN((Inputs!$B$9+((C696=TRUE)*(F696-Calc!F25))+B711),100)/100)+M679*(MIN((Inputs!$B$9+((C696=TRUE)*(F696-Calc!F25))+B711),100)/100)</f>
        <v/>
      </c>
      <c r="O679">
        <f>(1-Summary!$B$55)*T679+Summary!$B$55*V679</f>
        <v/>
      </c>
      <c r="P679">
        <f>IF(B715=0,0,O679/B715)</f>
        <v/>
      </c>
      <c r="Q679">
        <f>IFERROR(1/IF(Inputs!$B$39="pvp",15,MAX(0.1,Skills!D8-IF(Skills!E8=TRUE,Inputs!$B$32,0))),0)</f>
        <v/>
      </c>
      <c r="R679">
        <f>IF(AND(Inputs!$B$39&lt;&gt;"pvp",Inputs!$B$44&gt;0),IF(MAX(0,Inputs!$B$44-B716)&lt;=0,0,(INT(MAX(0,Inputs!$B$44-B716)/IF(Inputs!$B$39="pvp",15,MAX(0.1,Skills!D8-IF(Skills!E8=TRUE,Inputs!$B$32,0))))+1)),0)</f>
        <v/>
      </c>
      <c r="S679">
        <f>IFERROR(O679/N679,0)</f>
        <v/>
      </c>
      <c r="T679">
        <f>IF(C679,(H679*N679*IF(AND(Inputs!$B$39&lt;&gt;"pvp",Inputs!$B$44&gt;0),((Skills!G8*((R679-1)*IF(Skills!H8&gt;0,Skills!I8/Skills!H8,1)+IF(Skills!H8&gt;0,MIN(Skills!I8,MAX(0,MAX(0,Inputs!$B$44-B716)-((R679-1)*IF(Inputs!$B$39="pvp",15,MAX(0.1,Skills!D8-IF(Skills!E8=TRUE,Inputs!$B$32,0))))))/Skills!H8,1)))/Inputs!$B$44),G679*Q679))*IF(Inputs!$B$39="pvp",1,1+(Inputs!$B$20+((C698=TRUE)*(F698-Calc!F27))+Skills!P8+B712)/100),0)</f>
        <v/>
      </c>
      <c r="V679">
        <f>IF(C679,(H679*N679*IF(AND(Inputs!$B$39&lt;&gt;"pvp",Inputs!$B$44&gt;0),((Skills!G8*((R679-1)*IF(Skills!H8&gt;0,Skills!I8/Skills!H8,1)+IF(Skills!H8&gt;0,MIN(Skills!I8,MAX(0,MAX(0,Inputs!$B$44-B716)-((R679-1)*IF(Inputs!$B$39="pvp",15,MAX(0.1,Skills!D8-IF(Skills!E8=TRUE,Inputs!$B$32,0))))))/Skills!H8,1)))/Inputs!$B$44),G679*Q679))*IF(Inputs!$B$39="pvp",1,(1+(Inputs!$B$21+Skills!Q8+B712)/100)*(MIN(Skills!W8,Inputs!$B$37))),0)</f>
        <v/>
      </c>
    </row>
    <row r="680">
      <c r="A680">
        <f>Skills!A9</f>
        <v/>
      </c>
      <c r="B680">
        <f>Skills!B9</f>
        <v/>
      </c>
      <c r="C680">
        <f>Inputs!$B$3&gt;=72</f>
        <v/>
      </c>
      <c r="D680">
        <f>IF(Skills!C9=1,60+Inputs!$B$25+Inputs!$B$29,IF(Skills!C9=2,90+Inputs!$B$26+Inputs!$B$29,IF(Skills!C9=3,120+Inputs!$B$27+Inputs!$B$29,MAX(0,(Inputs!$B$3-100)*3)+Inputs!$B$28+Inputs!$B$29)))</f>
        <v/>
      </c>
      <c r="E680">
        <f>INDEX(FactorTable!$B$2:$Y$301, MATCH(ROUND(MIN(300,MAX(1,D680)),0), FactorTable!$A$2:$A$301,0), Skills!M9+1)</f>
        <v/>
      </c>
      <c r="F680">
        <f>IF(Skills!N9=TRUE,(Skills!L9/10)*(E680/1000),Skills!L9/10)+Skills!O9</f>
        <v/>
      </c>
      <c r="G680">
        <f>Calc!G9</f>
        <v/>
      </c>
      <c r="H680">
        <f>Calc!H9</f>
        <v/>
      </c>
      <c r="I680">
        <f>IF(Skills!AA9&lt;&gt;"",1+(Skills!AA9/10)*(U674/1000)/100,1)</f>
        <v/>
      </c>
      <c r="J680">
        <f>((Inputs!$B$6*(1+Inputs!$B$7/100))+(((Inputs!$B$12*(1+Inputs!$B$13/100))-(Inputs!$B$12*(1+Inputs!$B$13/100)))+0.25*(Inputs!$B$14-Inputs!$B$14))*(1+Inputs!$B$7/100))*(F680/100)</f>
        <v/>
      </c>
      <c r="K680">
        <f>J680*(1+((Inputs!$B$12*(1+Inputs!$B$13/100))*0.01+Inputs!$B$14*0.0025)/100)*(1+Inputs!$B$15/100)*(1+Inputs!$B$16/100)*(5000/(6000+Inputs!$B$43*(1-((1-(1-Inputs!$B$19/100)*(1-1/100))*100)/100)))*(1+(Inputs!$B$24+((C701=TRUE)*(F701-Calc!F30)))/100)*(1+Skills!R9/100)*(1+(IF(Skills!A9="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680)</f>
        <v/>
      </c>
      <c r="L680">
        <f>K680*(MIN(Inputs!$B$22+((C695=TRUE)*(F695-Calc!F24)),Inputs!$B$23)/100+Inputs!$B$23/100)/2</f>
        <v/>
      </c>
      <c r="M680">
        <f>L680*(1+(Inputs!$B$10+((C697=TRUE)*(F697-Calc!F26))+B714)/100)</f>
        <v/>
      </c>
      <c r="N680">
        <f>L680*(1-MIN((Inputs!$B$9+((C696=TRUE)*(F696-Calc!F25))+B711),100)/100)+M680*(MIN((Inputs!$B$9+((C696=TRUE)*(F696-Calc!F25))+B711),100)/100)</f>
        <v/>
      </c>
      <c r="O680">
        <f>(1-Summary!$B$55)*T680+Summary!$B$55*V680</f>
        <v/>
      </c>
      <c r="P680">
        <f>IF(B715=0,0,O680/B715)</f>
        <v/>
      </c>
      <c r="Q680">
        <f>IFERROR(1/IF(Inputs!$B$39="pvp",15,MAX(0.1,Skills!D9-IF(Skills!E9=TRUE,Inputs!$B$32,0))),0)</f>
        <v/>
      </c>
      <c r="R680">
        <f>IF(AND(Inputs!$B$39&lt;&gt;"pvp",Inputs!$B$44&gt;0),IF(MAX(0,Inputs!$B$44-B716)&lt;=0,0,(INT(MAX(0,Inputs!$B$44-B716)/IF(Inputs!$B$39="pvp",15,MAX(0.1,Skills!D9-IF(Skills!E9=TRUE,Inputs!$B$32,0))))+1)),0)</f>
        <v/>
      </c>
      <c r="S680">
        <f>IFERROR(O680/N680,0)</f>
        <v/>
      </c>
      <c r="T680">
        <f>IF(C680,(H680*N680*IF(AND(Inputs!$B$39&lt;&gt;"pvp",Inputs!$B$44&gt;0),((Skills!G9*((R680-1)*IF(Skills!H9&gt;0,Skills!I9/Skills!H9,1)+IF(Skills!H9&gt;0,MIN(Skills!I9,MAX(0,MAX(0,Inputs!$B$44-B716)-((R680-1)*IF(Inputs!$B$39="pvp",15,MAX(0.1,Skills!D9-IF(Skills!E9=TRUE,Inputs!$B$32,0))))))/Skills!H9,1)))/Inputs!$B$44),G680*Q680))*IF(Inputs!$B$39="pvp",1,1+(Inputs!$B$20+((C698=TRUE)*(F698-Calc!F27))+Skills!P9+B712)/100),0)</f>
        <v/>
      </c>
      <c r="V680">
        <f>IF(C680,(H680*N680*IF(AND(Inputs!$B$39&lt;&gt;"pvp",Inputs!$B$44&gt;0),((Skills!G9*((R680-1)*IF(Skills!H9&gt;0,Skills!I9/Skills!H9,1)+IF(Skills!H9&gt;0,MIN(Skills!I9,MAX(0,MAX(0,Inputs!$B$44-B716)-((R680-1)*IF(Inputs!$B$39="pvp",15,MAX(0.1,Skills!D9-IF(Skills!E9=TRUE,Inputs!$B$32,0))))))/Skills!H9,1)))/Inputs!$B$44),G680*Q680))*IF(Inputs!$B$39="pvp",1,(1+(Inputs!$B$21+Skills!Q9+B712)/100)*(MIN(Skills!W9,Inputs!$B$37))),0)</f>
        <v/>
      </c>
    </row>
    <row r="681">
      <c r="A681">
        <f>Skills!A10</f>
        <v/>
      </c>
      <c r="B681">
        <f>Skills!B10</f>
        <v/>
      </c>
      <c r="C681">
        <f>Inputs!$B$3&gt;=117</f>
        <v/>
      </c>
      <c r="D681">
        <f>IF(Skills!C10=1,60+Inputs!$B$25+Inputs!$B$29,IF(Skills!C10=2,90+Inputs!$B$26+Inputs!$B$29,IF(Skills!C10=3,120+Inputs!$B$27+Inputs!$B$29,MAX(0,(Inputs!$B$3-100)*3)+Inputs!$B$28+Inputs!$B$29)))</f>
        <v/>
      </c>
      <c r="E681">
        <f>INDEX(FactorTable!$B$2:$Y$301, MATCH(ROUND(MIN(300,MAX(1,D681)),0), FactorTable!$A$2:$A$301,0), Skills!M10+1)</f>
        <v/>
      </c>
      <c r="F681">
        <f>IF(Skills!N10=TRUE,(Skills!L10/10)*(E681/1000),Skills!L10/10)+Skills!O10</f>
        <v/>
      </c>
      <c r="G681">
        <f>Calc!G10</f>
        <v/>
      </c>
      <c r="H681">
        <f>Calc!H10</f>
        <v/>
      </c>
      <c r="I681">
        <f>IF(Skills!AA10&lt;&gt;"",1+(Skills!AA10/10)*(U674/1000)/100,1)</f>
        <v/>
      </c>
      <c r="J681">
        <f>((Inputs!$B$6*(1+Inputs!$B$7/100))+(((Inputs!$B$12*(1+Inputs!$B$13/100))-(Inputs!$B$12*(1+Inputs!$B$13/100)))+0.25*(Inputs!$B$14-Inputs!$B$14))*(1+Inputs!$B$7/100))*(F681/100)</f>
        <v/>
      </c>
      <c r="K681">
        <f>J681*(1+((Inputs!$B$12*(1+Inputs!$B$13/100))*0.01+Inputs!$B$14*0.0025)/100)*(1+Inputs!$B$15/100)*(1+Inputs!$B$16/100)*(5000/(6000+Inputs!$B$43*(1-((1-(1-Inputs!$B$19/100)*(1-1/100))*100)/100)))*(1+(Inputs!$B$24+((C701=TRUE)*(F701-Calc!F30)))/100)*(1+Skills!R10/100)*(1+(IF(Skills!A10="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681)</f>
        <v/>
      </c>
      <c r="L681">
        <f>K681*(MIN(Inputs!$B$22+((C695=TRUE)*(F695-Calc!F24)),Inputs!$B$23)/100+Inputs!$B$23/100)/2</f>
        <v/>
      </c>
      <c r="M681">
        <f>L681*(1+(Inputs!$B$10+((C697=TRUE)*(F697-Calc!F26))+B714)/100)</f>
        <v/>
      </c>
      <c r="N681">
        <f>L681*(1-MIN((Inputs!$B$9+((C696=TRUE)*(F696-Calc!F25))+B711),100)/100)+M681*(MIN((Inputs!$B$9+((C696=TRUE)*(F696-Calc!F25))+B711),100)/100)</f>
        <v/>
      </c>
      <c r="O681">
        <f>(1-Summary!$B$55)*T681+Summary!$B$55*V681</f>
        <v/>
      </c>
      <c r="P681">
        <f>IF(B715=0,0,O681/B715)</f>
        <v/>
      </c>
      <c r="Q681" t="n">
        <v>0</v>
      </c>
      <c r="R681" t="n">
        <v>0</v>
      </c>
      <c r="S681" t="n">
        <v>0</v>
      </c>
      <c r="T681">
        <f>IF(C681,(0.2*SUMPRODUCT((Skills!Z2:Z31=TRUE)*(C673:C702=TRUE)*S673:S702)*N681)*IF(Inputs!$B$39="pvp",1,1+(Inputs!$B$20+((C698=TRUE)*(F698-Calc!F27))+Skills!P10+B712)/100),0)</f>
        <v/>
      </c>
      <c r="V681">
        <f>IF(C681,(0.2*SUMPRODUCT((Skills!Z2:Z31=TRUE)*(C673:C702=TRUE)*S673:S702)*N681)*IF(Inputs!$B$39="pvp",1,(1+(Inputs!$B$21+Skills!Q10+B712)/100)*(MIN(Skills!W10,Inputs!$B$37))),0)</f>
        <v/>
      </c>
    </row>
    <row r="682">
      <c r="A682">
        <f>Skills!A11</f>
        <v/>
      </c>
      <c r="B682">
        <f>Skills!B11</f>
        <v/>
      </c>
      <c r="C682">
        <f>Inputs!$B$3&gt;=60</f>
        <v/>
      </c>
      <c r="D682">
        <f>IF(Skills!C11=1,60+Inputs!$B$25+Inputs!$B$29,IF(Skills!C11=2,90+Inputs!$B$26+Inputs!$B$29,IF(Skills!C11=3,120+Inputs!$B$27+Inputs!$B$29,MAX(0,(Inputs!$B$3-100)*3)+Inputs!$B$28+Inputs!$B$29)))</f>
        <v/>
      </c>
      <c r="E682">
        <f>INDEX(FactorTable!$B$2:$Y$301, MATCH(ROUND(MIN(300,MAX(1,D682)),0), FactorTable!$A$2:$A$301,0), Skills!M11+1)</f>
        <v/>
      </c>
      <c r="F682">
        <f>IF(Skills!N11=TRUE,(Skills!L11/10)*(E682/1000),Skills!L11/10)+Skills!O11</f>
        <v/>
      </c>
      <c r="G682">
        <f>Calc!G11</f>
        <v/>
      </c>
      <c r="H682">
        <f>Calc!H11</f>
        <v/>
      </c>
      <c r="I682">
        <f>IF(Skills!AA11&lt;&gt;"",1+(Skills!AA11/10)*(U674/1000)/100,1)</f>
        <v/>
      </c>
      <c r="J682" t="inlineStr"/>
      <c r="K682" t="inlineStr"/>
      <c r="L682" t="inlineStr"/>
      <c r="M682" t="inlineStr"/>
      <c r="N682" t="inlineStr"/>
      <c r="O682">
        <f>(1-Summary!$B$55)*T682+Summary!$B$55*V682</f>
        <v/>
      </c>
      <c r="P682">
        <f>IF(B715=0,0,O682/B715)</f>
        <v/>
      </c>
      <c r="Q682" t="n">
        <v>0</v>
      </c>
      <c r="R682" t="n">
        <v>0</v>
      </c>
      <c r="S682">
        <f>IFERROR(O682/N682,0)</f>
        <v/>
      </c>
      <c r="T682" t="n">
        <v>0</v>
      </c>
      <c r="V682" t="n">
        <v>0</v>
      </c>
    </row>
    <row r="683">
      <c r="A683">
        <f>Skills!A12</f>
        <v/>
      </c>
      <c r="B683">
        <f>Skills!B12</f>
        <v/>
      </c>
      <c r="C683">
        <f>Inputs!$B$3&gt;=103</f>
        <v/>
      </c>
      <c r="D683">
        <f>IF(Skills!C12=1,60+Inputs!$B$25+Inputs!$B$29,IF(Skills!C12=2,90+Inputs!$B$26+Inputs!$B$29,IF(Skills!C12=3,120+Inputs!$B$27+Inputs!$B$29,MAX(0,(Inputs!$B$3-100)*3)+Inputs!$B$28+Inputs!$B$29)))</f>
        <v/>
      </c>
      <c r="E683">
        <f>INDEX(FactorTable!$B$2:$Y$301, MATCH(ROUND(MIN(300,MAX(1,D683)),0), FactorTable!$A$2:$A$301,0), Skills!M12+1)</f>
        <v/>
      </c>
      <c r="F683">
        <f>IF(Skills!N12=TRUE,(Skills!L12/10)*(E683/1000),Skills!L12/10)+Skills!O12</f>
        <v/>
      </c>
      <c r="G683">
        <f>Calc!G12</f>
        <v/>
      </c>
      <c r="H683">
        <f>Calc!H12</f>
        <v/>
      </c>
      <c r="I683">
        <f>IF(Skills!AA12&lt;&gt;"",1+(Skills!AA12/10)*(U674/1000)/100,1)</f>
        <v/>
      </c>
      <c r="J683">
        <f>((Inputs!$B$6*(1+Inputs!$B$7/100))+(((Inputs!$B$12*(1+Inputs!$B$13/100))-(Inputs!$B$12*(1+Inputs!$B$13/100)))+0.25*(Inputs!$B$14-Inputs!$B$14))*(1+Inputs!$B$7/100))*(F683/100)</f>
        <v/>
      </c>
      <c r="K683">
        <f>J683*(1+((Inputs!$B$12*(1+Inputs!$B$13/100))*0.01+Inputs!$B$14*0.0025)/100)*(1+Inputs!$B$15/100)*(1+Inputs!$B$16/100)*(5000/(6000+Inputs!$B$43*(1-((1-(1-Inputs!$B$19/100)*(1-1/100))*100)/100)))*(1+(Inputs!$B$24+((C701=TRUE)*(F701-Calc!F30)))/100)*(1+Skills!R12/100)*(1+(IF(Skills!A12="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683)</f>
        <v/>
      </c>
      <c r="L683">
        <f>K683*(MIN(Inputs!$B$22+((C695=TRUE)*(F695-Calc!F24)),Inputs!$B$23)/100+Inputs!$B$23/100)/2</f>
        <v/>
      </c>
      <c r="M683">
        <f>L683*(1+(Inputs!$B$10+((C697=TRUE)*(F697-Calc!F26))+B714)/100)</f>
        <v/>
      </c>
      <c r="N683">
        <f>L683*(1-MIN((Inputs!$B$9+((C696=TRUE)*(F696-Calc!F25))+B711),100)/100)+M683*(MIN((Inputs!$B$9+((C696=TRUE)*(F696-Calc!F25))+B711),100)/100)</f>
        <v/>
      </c>
      <c r="O683">
        <f>(1-Summary!$B$55)*T683+Summary!$B$55*V683</f>
        <v/>
      </c>
      <c r="P683">
        <f>IF(B715=0,0,O683/B715)</f>
        <v/>
      </c>
      <c r="Q683">
        <f>IFERROR(1/IF(Inputs!$B$39="pvp",15,MAX(0.1,Skills!D12-IF(Skills!E12=TRUE,Inputs!$B$32,0))),0)</f>
        <v/>
      </c>
      <c r="R683">
        <f>IF(AND(Inputs!$B$39&lt;&gt;"pvp",Inputs!$B$44&gt;0),IF(MAX(0,Inputs!$B$44-B716)&lt;=0,0,(INT(MAX(0,Inputs!$B$44-B716)/IF(Inputs!$B$39="pvp",15,MAX(0.1,Skills!D12-IF(Skills!E12=TRUE,Inputs!$B$32,0))))+1)),0)</f>
        <v/>
      </c>
      <c r="S683">
        <f>IFERROR(O683/N683,0)</f>
        <v/>
      </c>
      <c r="T683">
        <f>IF(C683,(H683*N683*IF(AND(Inputs!$B$39&lt;&gt;"pvp",Inputs!$B$44&gt;0),((Skills!G12*((R683-1)*IF(Skills!H12&gt;0,Skills!I12/Skills!H12,1)+IF(Skills!H12&gt;0,MIN(Skills!I12,MAX(0,MAX(0,Inputs!$B$44-B716)-((R683-1)*IF(Inputs!$B$39="pvp",15,MAX(0.1,Skills!D12-IF(Skills!E12=TRUE,Inputs!$B$32,0))))))/Skills!H12,1)))/Inputs!$B$44),G683*Q683))*IF(Inputs!$B$39="pvp",1,1+(Inputs!$B$20+((C698=TRUE)*(F698-Calc!F27))+Skills!P12+B712)/100),0)</f>
        <v/>
      </c>
      <c r="V683">
        <f>IF(C683,(H683*N683*IF(AND(Inputs!$B$39&lt;&gt;"pvp",Inputs!$B$44&gt;0),((Skills!G12*((R683-1)*IF(Skills!H12&gt;0,Skills!I12/Skills!H12,1)+IF(Skills!H12&gt;0,MIN(Skills!I12,MAX(0,MAX(0,Inputs!$B$44-B716)-((R683-1)*IF(Inputs!$B$39="pvp",15,MAX(0.1,Skills!D12-IF(Skills!E12=TRUE,Inputs!$B$32,0))))))/Skills!H12,1)))/Inputs!$B$44),G683*Q683))*IF(Inputs!$B$39="pvp",1,(1+(Inputs!$B$21+Skills!Q12+B712)/100)*(MIN(Skills!W12,Inputs!$B$37))),0)</f>
        <v/>
      </c>
    </row>
    <row r="684">
      <c r="A684">
        <f>Skills!A13</f>
        <v/>
      </c>
      <c r="B684">
        <f>Skills!B13</f>
        <v/>
      </c>
      <c r="C684">
        <f>Inputs!$B$3&gt;=105</f>
        <v/>
      </c>
      <c r="D684">
        <f>IF(Skills!C13=1,60+Inputs!$B$25+Inputs!$B$29,IF(Skills!C13=2,90+Inputs!$B$26+Inputs!$B$29,IF(Skills!C13=3,120+Inputs!$B$27+Inputs!$B$29,MAX(0,(Inputs!$B$3-100)*3)+Inputs!$B$28+Inputs!$B$29)))</f>
        <v/>
      </c>
      <c r="E684">
        <f>INDEX(FactorTable!$B$2:$Y$301, MATCH(ROUND(MIN(300,MAX(1,D684)),0), FactorTable!$A$2:$A$301,0), Skills!M13+1)</f>
        <v/>
      </c>
      <c r="F684">
        <f>IF(Skills!N13=TRUE,(Skills!L13/10)*(E684/1000),Skills!L13/10)+Skills!O13</f>
        <v/>
      </c>
      <c r="G684">
        <f>Calc!G13</f>
        <v/>
      </c>
      <c r="H684">
        <f>Calc!H13</f>
        <v/>
      </c>
      <c r="I684">
        <f>IF(Skills!AA13&lt;&gt;"",1+(Skills!AA13/10)*(U674/1000)/100,1)</f>
        <v/>
      </c>
      <c r="J684">
        <f>((Inputs!$B$6*(1+Inputs!$B$7/100))+(((Inputs!$B$12*(1+Inputs!$B$13/100))-(Inputs!$B$12*(1+Inputs!$B$13/100)))+0.25*(Inputs!$B$14-Inputs!$B$14))*(1+Inputs!$B$7/100))*(F684/100)</f>
        <v/>
      </c>
      <c r="K684">
        <f>J684*(1+((Inputs!$B$12*(1+Inputs!$B$13/100))*0.01+Inputs!$B$14*0.0025)/100)*(1+Inputs!$B$15/100)*(1+Inputs!$B$16/100)*(5000/(6000+Inputs!$B$43*(1-((1-(1-Inputs!$B$19/100)*(1-1/100))*100)/100)))*(1+(Inputs!$B$24+((C701=TRUE)*(F701-Calc!F30)))/100)*(1+Skills!R13/100)*(1+(IF(Skills!A13="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684)</f>
        <v/>
      </c>
      <c r="L684">
        <f>K684*(MIN(Inputs!$B$22+((C695=TRUE)*(F695-Calc!F24)),Inputs!$B$23)/100+Inputs!$B$23/100)/2</f>
        <v/>
      </c>
      <c r="M684">
        <f>L684*(1+(Inputs!$B$10+((C697=TRUE)*(F697-Calc!F26))+B714)/100)</f>
        <v/>
      </c>
      <c r="N684">
        <f>L684*(1-MIN((Inputs!$B$9+((C696=TRUE)*(F696-Calc!F25))+B711),100)/100)+M684*(MIN((Inputs!$B$9+((C696=TRUE)*(F696-Calc!F25))+B711),100)/100)</f>
        <v/>
      </c>
      <c r="O684">
        <f>(1-Summary!$B$55)*T684+Summary!$B$55*V684</f>
        <v/>
      </c>
      <c r="P684">
        <f>IF(B715=0,0,O684/B715)</f>
        <v/>
      </c>
      <c r="Q684">
        <f>IFERROR(1/IF(Inputs!$B$39="pvp",15,MAX(0.1,Skills!D13-IF(Skills!E13=TRUE,Inputs!$B$32,0))),0)</f>
        <v/>
      </c>
      <c r="R684">
        <f>IF(AND(Inputs!$B$39&lt;&gt;"pvp",Inputs!$B$44&gt;0),IF(MAX(0,Inputs!$B$44-B716)&lt;=0,0,(INT(MAX(0,Inputs!$B$44-B716)/IF(Inputs!$B$39="pvp",15,MAX(0.1,Skills!D13-IF(Skills!E13=TRUE,Inputs!$B$32,0))))+1)),0)</f>
        <v/>
      </c>
      <c r="S684">
        <f>IFERROR(O684/N684,0)</f>
        <v/>
      </c>
      <c r="T684">
        <f>IF(C684,(H684*N684*IF(AND(Inputs!$B$39&lt;&gt;"pvp",Inputs!$B$44&gt;0),((Skills!G13*((R684-1)*IF(Skills!H13&gt;0,Skills!I13/Skills!H13,1)+IF(Skills!H13&gt;0,MIN(Skills!I13,MAX(0,MAX(0,Inputs!$B$44-B716)-((R684-1)*IF(Inputs!$B$39="pvp",15,MAX(0.1,Skills!D13-IF(Skills!E13=TRUE,Inputs!$B$32,0))))))/Skills!H13,1)))/Inputs!$B$44),G684*Q684))*IF(Inputs!$B$39="pvp",1,1+(Inputs!$B$20+((C698=TRUE)*(F698-Calc!F27))+Skills!P13+B712)/100),0)</f>
        <v/>
      </c>
      <c r="V684">
        <f>IF(C684,(H684*N684*IF(AND(Inputs!$B$39&lt;&gt;"pvp",Inputs!$B$44&gt;0),((Skills!G13*((R684-1)*IF(Skills!H13&gt;0,Skills!I13/Skills!H13,1)+IF(Skills!H13&gt;0,MIN(Skills!I13,MAX(0,MAX(0,Inputs!$B$44-B716)-((R684-1)*IF(Inputs!$B$39="pvp",15,MAX(0.1,Skills!D13-IF(Skills!E13=TRUE,Inputs!$B$32,0))))))/Skills!H13,1)))/Inputs!$B$44),G684*Q684))*IF(Inputs!$B$39="pvp",1,(1+(Inputs!$B$21+Skills!Q13+B712)/100)*(MIN(Skills!W13,Inputs!$B$37))),0)</f>
        <v/>
      </c>
    </row>
    <row r="685">
      <c r="A685">
        <f>Skills!A14</f>
        <v/>
      </c>
      <c r="B685">
        <f>Skills!B14</f>
        <v/>
      </c>
      <c r="C685">
        <f>Inputs!$B$3&gt;=105</f>
        <v/>
      </c>
      <c r="D685">
        <f>IF(Skills!C14=1,60+Inputs!$B$25+Inputs!$B$29,IF(Skills!C14=2,90+Inputs!$B$26+Inputs!$B$29,IF(Skills!C14=3,120+Inputs!$B$27+Inputs!$B$29,MAX(0,(Inputs!$B$3-100)*3)+Inputs!$B$28+Inputs!$B$29)))</f>
        <v/>
      </c>
      <c r="E685">
        <f>INDEX(FactorTable!$B$2:$Y$301, MATCH(ROUND(MIN(300,MAX(1,D685)),0), FactorTable!$A$2:$A$301,0), Skills!M14+1)</f>
        <v/>
      </c>
      <c r="F685">
        <f>IF(Skills!N14=TRUE,(Skills!L14/10)*(E685/1000),Skills!L14/10)+Skills!O14</f>
        <v/>
      </c>
      <c r="G685">
        <f>Calc!G14</f>
        <v/>
      </c>
      <c r="H685">
        <f>Calc!H14</f>
        <v/>
      </c>
      <c r="I685">
        <f>IF(Skills!AA14&lt;&gt;"",1+(Skills!AA14/10)*(U674/1000)/100,1)</f>
        <v/>
      </c>
      <c r="J685">
        <f>((Inputs!$B$6*(1+Inputs!$B$7/100))+(((Inputs!$B$12*(1+Inputs!$B$13/100))-(Inputs!$B$12*(1+Inputs!$B$13/100)))+0.25*(Inputs!$B$14-Inputs!$B$14))*(1+Inputs!$B$7/100))*(F685/100)</f>
        <v/>
      </c>
      <c r="K685">
        <f>J685*(1+((Inputs!$B$12*(1+Inputs!$B$13/100))*0.01+Inputs!$B$14*0.0025)/100)*(1+Inputs!$B$15/100)*(1+Inputs!$B$16/100)*(5000/(6000+Inputs!$B$43*(1-((1-(1-Inputs!$B$19/100)*(1-1/100))*100)/100)))*(1+(Inputs!$B$24+((C701=TRUE)*(F701-Calc!F30)))/100)*(1+Skills!R14/100)*(1+(IF(Skills!A14="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685)</f>
        <v/>
      </c>
      <c r="L685">
        <f>K685*(MIN(Inputs!$B$22+((C695=TRUE)*(F695-Calc!F24)),Inputs!$B$23)/100+Inputs!$B$23/100)/2</f>
        <v/>
      </c>
      <c r="M685">
        <f>L685*(1+(Inputs!$B$10+((C697=TRUE)*(F697-Calc!F26))+B714)/100)</f>
        <v/>
      </c>
      <c r="N685">
        <f>L685*(1-MIN((Inputs!$B$9+((C696=TRUE)*(F696-Calc!F25))+B711),100)/100)+M685*(MIN((Inputs!$B$9+((C696=TRUE)*(F696-Calc!F25))+B711),100)/100)</f>
        <v/>
      </c>
      <c r="O685">
        <f>(1-Summary!$B$55)*T685+Summary!$B$55*V685</f>
        <v/>
      </c>
      <c r="P685">
        <f>IF(B715=0,0,O685/B715)</f>
        <v/>
      </c>
      <c r="Q685">
        <f>IFERROR(1/IF(Inputs!$B$39="pvp",15,MAX(0.1,Skills!D14-IF(Skills!E14=TRUE,Inputs!$B$32,0))),0)</f>
        <v/>
      </c>
      <c r="R685">
        <f>IF(AND(Inputs!$B$39&lt;&gt;"pvp",Inputs!$B$44&gt;0),IF(MAX(0,Inputs!$B$44-B716)&lt;=0,0,(INT(MAX(0,Inputs!$B$44-B716)/IF(Inputs!$B$39="pvp",15,MAX(0.1,Skills!D14-IF(Skills!E14=TRUE,Inputs!$B$32,0))))+1)),0)</f>
        <v/>
      </c>
      <c r="S685">
        <f>IFERROR(O685/N685,0)</f>
        <v/>
      </c>
      <c r="T685">
        <f>IF(C685,(H685*N685*IF(AND(Inputs!$B$39&lt;&gt;"pvp",Inputs!$B$44&gt;0),((Skills!G14*((R685-1)*IF(Skills!H14&gt;0,Skills!I14/Skills!H14,1)+IF(Skills!H14&gt;0,MIN(Skills!I14,MAX(0,MAX(0,Inputs!$B$44-B716)-((R685-1)*IF(Inputs!$B$39="pvp",15,MAX(0.1,Skills!D14-IF(Skills!E14=TRUE,Inputs!$B$32,0))))))/Skills!H14,1)))/Inputs!$B$44),G685*Q685))*IF(Inputs!$B$39="pvp",1,1+(Inputs!$B$20+((C698=TRUE)*(F698-Calc!F27))+Skills!P14+B712)/100),0)</f>
        <v/>
      </c>
      <c r="V685">
        <f>IF(C685,(H685*N685*IF(AND(Inputs!$B$39&lt;&gt;"pvp",Inputs!$B$44&gt;0),((Skills!G14*((R685-1)*IF(Skills!H14&gt;0,Skills!I14/Skills!H14,1)+IF(Skills!H14&gt;0,MIN(Skills!I14,MAX(0,MAX(0,Inputs!$B$44-B716)-((R685-1)*IF(Inputs!$B$39="pvp",15,MAX(0.1,Skills!D14-IF(Skills!E14=TRUE,Inputs!$B$32,0))))))/Skills!H14,1)))/Inputs!$B$44),G685*Q685))*IF(Inputs!$B$39="pvp",1,(1+(Inputs!$B$21+Skills!Q14+B712)/100)*(MIN(Skills!W14,Inputs!$B$37))),0)</f>
        <v/>
      </c>
    </row>
    <row r="686">
      <c r="A686">
        <f>Skills!A15</f>
        <v/>
      </c>
      <c r="B686">
        <f>Skills!B15</f>
        <v/>
      </c>
      <c r="C686">
        <f>Inputs!$B$3&gt;=110</f>
        <v/>
      </c>
      <c r="D686">
        <f>IF(Skills!C15=1,60+Inputs!$B$25+Inputs!$B$29,IF(Skills!C15=2,90+Inputs!$B$26+Inputs!$B$29,IF(Skills!C15=3,120+Inputs!$B$27+Inputs!$B$29,MAX(0,(Inputs!$B$3-100)*3)+Inputs!$B$28+Inputs!$B$29)))</f>
        <v/>
      </c>
      <c r="E686">
        <f>INDEX(FactorTable!$B$2:$Y$301, MATCH(ROUND(MIN(300,MAX(1,D686)),0), FactorTable!$A$2:$A$301,0), Skills!M15+1)</f>
        <v/>
      </c>
      <c r="F686">
        <f>IF(Skills!N15=TRUE,(Skills!L15/10)*(E686/1000),Skills!L15/10)+Skills!O15</f>
        <v/>
      </c>
      <c r="G686">
        <f>Calc!G15</f>
        <v/>
      </c>
      <c r="H686">
        <f>Calc!H15</f>
        <v/>
      </c>
      <c r="I686">
        <f>IF(Skills!AA15&lt;&gt;"",1+(Skills!AA15/10)*(U674/1000)/100,1)</f>
        <v/>
      </c>
      <c r="J686" t="inlineStr"/>
      <c r="K686" t="inlineStr"/>
      <c r="L686" t="inlineStr"/>
      <c r="M686" t="inlineStr"/>
      <c r="N686" t="inlineStr"/>
      <c r="O686">
        <f>(1-Summary!$B$55)*T686+Summary!$B$55*V686</f>
        <v/>
      </c>
      <c r="P686">
        <f>IF(B715=0,0,O686/B715)</f>
        <v/>
      </c>
      <c r="Q686">
        <f>IFERROR(1/IF(Inputs!$B$39="pvp",15,MAX(0.1,Skills!D15-IF(Skills!E15=TRUE,Inputs!$B$32,0))),0)</f>
        <v/>
      </c>
      <c r="R686">
        <f>IF(AND(Inputs!$B$39&lt;&gt;"pvp",Inputs!$B$44&gt;0),IF(Inputs!$B$44&lt;=0,0,(INT(Inputs!$B$44/IF(Inputs!$B$39="pvp",15,MAX(0.1,Skills!D15-IF(Skills!E15=TRUE,Inputs!$B$32,0))))+1)),0)</f>
        <v/>
      </c>
      <c r="S686">
        <f>IFERROR(O686/N686,0)</f>
        <v/>
      </c>
      <c r="T686" t="n">
        <v>0</v>
      </c>
      <c r="V686" t="n">
        <v>0</v>
      </c>
    </row>
    <row r="687">
      <c r="A687">
        <f>Skills!A16</f>
        <v/>
      </c>
      <c r="B687">
        <f>Skills!B16</f>
        <v/>
      </c>
      <c r="C687">
        <f>Inputs!$B$3&gt;=110</f>
        <v/>
      </c>
      <c r="D687">
        <f>IF(Skills!C16=1,60+Inputs!$B$25+Inputs!$B$29,IF(Skills!C16=2,90+Inputs!$B$26+Inputs!$B$29,IF(Skills!C16=3,120+Inputs!$B$27+Inputs!$B$29,MAX(0,(Inputs!$B$3-100)*3)+Inputs!$B$28+Inputs!$B$29)))</f>
        <v/>
      </c>
      <c r="E687">
        <f>INDEX(FactorTable!$B$2:$Y$301, MATCH(ROUND(MIN(300,MAX(1,D687)),0), FactorTable!$A$2:$A$301,0), Skills!M16+1)</f>
        <v/>
      </c>
      <c r="F687">
        <f>IF(Skills!N16=TRUE,(Skills!L16/10)*(E687/1000),Skills!L16/10)+Skills!O16</f>
        <v/>
      </c>
      <c r="G687">
        <f>Calc!G16</f>
        <v/>
      </c>
      <c r="H687">
        <f>Calc!H16</f>
        <v/>
      </c>
      <c r="I687">
        <f>IF(Skills!AA16&lt;&gt;"",1+(Skills!AA16/10)*(U674/1000)/100,1)</f>
        <v/>
      </c>
      <c r="J687" t="inlineStr"/>
      <c r="K687" t="inlineStr"/>
      <c r="L687" t="inlineStr"/>
      <c r="M687" t="inlineStr"/>
      <c r="N687" t="inlineStr"/>
      <c r="O687">
        <f>(1-Summary!$B$55)*T687+Summary!$B$55*V687</f>
        <v/>
      </c>
      <c r="P687">
        <f>IF(B715=0,0,O687/B715)</f>
        <v/>
      </c>
      <c r="Q687">
        <f>IFERROR(1/IF(Inputs!$B$39="pvp",15,MAX(0.1,Skills!D16-IF(Skills!E16=TRUE,Inputs!$B$32,0))),0)</f>
        <v/>
      </c>
      <c r="R687">
        <f>IF(AND(Inputs!$B$39&lt;&gt;"pvp",Inputs!$B$44&gt;0),IF(Inputs!$B$44&lt;=0,0,(INT(Inputs!$B$44/IF(Inputs!$B$39="pvp",15,MAX(0.1,Skills!D16-IF(Skills!E16=TRUE,Inputs!$B$32,0))))+1)),0)</f>
        <v/>
      </c>
      <c r="S687">
        <f>IFERROR(O687/N687,0)</f>
        <v/>
      </c>
      <c r="T687" t="n">
        <v>0</v>
      </c>
      <c r="V687" t="n">
        <v>0</v>
      </c>
    </row>
    <row r="688">
      <c r="A688">
        <f>Skills!A17</f>
        <v/>
      </c>
      <c r="B688">
        <f>Skills!B17</f>
        <v/>
      </c>
      <c r="C688">
        <f>Inputs!$B$3&gt;=115</f>
        <v/>
      </c>
      <c r="D688">
        <f>IF(Skills!C17=1,60+Inputs!$B$25+Inputs!$B$29,IF(Skills!C17=2,90+Inputs!$B$26+Inputs!$B$29,IF(Skills!C17=3,120+Inputs!$B$27+Inputs!$B$29,MAX(0,(Inputs!$B$3-100)*3)+Inputs!$B$28+Inputs!$B$29)))</f>
        <v/>
      </c>
      <c r="E688">
        <f>INDEX(FactorTable!$B$2:$Y$301, MATCH(ROUND(MIN(300,MAX(1,D688)),0), FactorTable!$A$2:$A$301,0), Skills!M17+1)</f>
        <v/>
      </c>
      <c r="F688">
        <f>IF(Skills!N17=TRUE,(Skills!L17/10)*(E688/1000),Skills!L17/10)+Skills!O17</f>
        <v/>
      </c>
      <c r="G688">
        <f>Calc!G17</f>
        <v/>
      </c>
      <c r="H688">
        <f>Calc!H17</f>
        <v/>
      </c>
      <c r="I688">
        <f>IF(Skills!AA17&lt;&gt;"",1+(Skills!AA17/10)*(U674/1000)/100,1)</f>
        <v/>
      </c>
      <c r="J688">
        <f>((Inputs!$B$6*(1+Inputs!$B$7/100))+(((Inputs!$B$12*(1+Inputs!$B$13/100))-(Inputs!$B$12*(1+Inputs!$B$13/100)))+0.25*(Inputs!$B$14-Inputs!$B$14))*(1+Inputs!$B$7/100))*(F688/100)</f>
        <v/>
      </c>
      <c r="K688">
        <f>J688*(1+((Inputs!$B$12*(1+Inputs!$B$13/100))*0.01+Inputs!$B$14*0.0025)/100)*(1+Inputs!$B$15/100)*(1+Inputs!$B$16/100)*(5000/(6000+Inputs!$B$43*(1-((1-(1-Inputs!$B$19/100)*(1-1/100))*100)/100)))*(1+(Inputs!$B$24+((C701=TRUE)*(F701-Calc!F30)))/100)*(1+Skills!R17/100)*(1+(IF(Skills!A17="SHOWDOWN",Inputs!$B$17+((C694=TRUE)*(F694-Calc!F23)),Inputs!$B$18+((C700=TRUE)*(F700-Calc!F29))))/100)*(((1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B713*I688)</f>
        <v/>
      </c>
      <c r="L688">
        <f>K688*(MIN(Inputs!$B$22+((C695=TRUE)*(F695-Calc!F24)),Inputs!$B$23)/100+Inputs!$B$23/100)/2</f>
        <v/>
      </c>
      <c r="M688">
        <f>L688*(1+(Inputs!$B$10+((C697=TRUE)*(F697-Calc!F26))+B714)/100)</f>
        <v/>
      </c>
      <c r="N688">
        <f>L688*(1-MIN((Inputs!$B$9+((C696=TRUE)*(F696-Calc!F25))+B711),100)/100)+M688*(MIN((Inputs!$B$9+((C696=TRUE)*(F696-Calc!F25))+B711),100)/100)</f>
        <v/>
      </c>
      <c r="O688">
        <f>(1-Summary!$B$55)*T688+Summary!$B$55*V688</f>
        <v/>
      </c>
      <c r="P688">
        <f>IF(B715=0,0,O688/B715)</f>
        <v/>
      </c>
      <c r="Q688" t="n">
        <v>0</v>
      </c>
      <c r="R688" t="n">
        <v>0</v>
      </c>
      <c r="S688">
        <f>IFERROR(O688/N688,0)</f>
        <v/>
      </c>
      <c r="T688">
        <f>IF(C688,(Inputs!$B$38*0.2*N688)*IF(Inputs!$B$39="pvp",1,1+(Inputs!$B$20+((C698=TRUE)*(F698-Calc!F27))+Skills!P17+B712)/100),0)</f>
        <v/>
      </c>
      <c r="V688">
        <f>IF(C688,(Inputs!$B$38*0.2*N688)*IF(Inputs!$B$39="pvp",1,(1+(Inputs!$B$21+Skills!Q17+B712)/100)*(MIN(Skills!W17,Inputs!$B$37))),0)</f>
        <v/>
      </c>
    </row>
    <row r="689">
      <c r="A689">
        <f>Skills!A18</f>
        <v/>
      </c>
      <c r="B689">
        <f>Skills!B18</f>
        <v/>
      </c>
      <c r="C689">
        <f>Inputs!$B$3&gt;=115</f>
        <v/>
      </c>
      <c r="D689">
        <f>IF(Skills!C18=1,60+Inputs!$B$25+Inputs!$B$29,IF(Skills!C18=2,90+Inputs!$B$26+Inputs!$B$29,IF(Skills!C18=3,120+Inputs!$B$27+Inputs!$B$29,MAX(0,(Inputs!$B$3-100)*3)+Inputs!$B$28+Inputs!$B$29)))</f>
        <v/>
      </c>
      <c r="E689">
        <f>INDEX(FactorTable!$B$2:$Y$301, MATCH(ROUND(MIN(300,MAX(1,D689)),0), FactorTable!$A$2:$A$301,0), Skills!M18+1)</f>
        <v/>
      </c>
      <c r="F689">
        <f>IF(Skills!N18=TRUE,(Skills!L18/10)*(E689/1000),Skills!L18/10)+Skills!O18</f>
        <v/>
      </c>
      <c r="G689">
        <f>Calc!G18</f>
        <v/>
      </c>
      <c r="H689">
        <f>Calc!H18</f>
        <v/>
      </c>
      <c r="I689">
        <f>IF(Skills!AA18&lt;&gt;"",1+(Skills!AA18/10)*(U674/1000)/100,1)</f>
        <v/>
      </c>
      <c r="J689" t="inlineStr"/>
      <c r="K689" t="inlineStr"/>
      <c r="L689" t="inlineStr"/>
      <c r="M689" t="inlineStr"/>
      <c r="N689" t="inlineStr"/>
      <c r="O689">
        <f>(1-Summary!$B$55)*T689+Summary!$B$55*V689</f>
        <v/>
      </c>
      <c r="P689">
        <f>IF(B715=0,0,O689/B715)</f>
        <v/>
      </c>
      <c r="Q689" t="n">
        <v>0</v>
      </c>
      <c r="R689" t="n">
        <v>0</v>
      </c>
      <c r="S689">
        <f>IFERROR(O689/N689,0)</f>
        <v/>
      </c>
      <c r="T689" t="n">
        <v>0</v>
      </c>
      <c r="V689" t="n">
        <v>0</v>
      </c>
    </row>
    <row r="690">
      <c r="A690">
        <f>Skills!A19</f>
        <v/>
      </c>
      <c r="B690">
        <f>Skills!B19</f>
        <v/>
      </c>
      <c r="C690">
        <f>TRUE</f>
        <v/>
      </c>
      <c r="D690">
        <f>IF(Skills!C19=1,60+Inputs!$B$25+Inputs!$B$29,IF(Skills!C19=2,90+Inputs!$B$26+Inputs!$B$29,IF(Skills!C19=3,120+Inputs!$B$27+Inputs!$B$29,MAX(0,(Inputs!$B$3-100)*3)+Inputs!$B$28+Inputs!$B$29)))</f>
        <v/>
      </c>
      <c r="E690">
        <f>INDEX(FactorTable!$B$2:$Y$301, MATCH(ROUND(MIN(300,MAX(1,D690)),0), FactorTable!$A$2:$A$301,0), Skills!M19+1)</f>
        <v/>
      </c>
      <c r="F690">
        <f>IF(Skills!N19=TRUE,(Skills!L19/10)*(E690/1000),Skills!L19/10)+Skills!O19</f>
        <v/>
      </c>
      <c r="G690">
        <f>Calc!G19</f>
        <v/>
      </c>
      <c r="H690">
        <f>Calc!H19</f>
        <v/>
      </c>
      <c r="I690">
        <f>IF(Skills!AA19&lt;&gt;"",1+(Skills!AA19/10)*(U674/1000)/100,1)</f>
        <v/>
      </c>
      <c r="J690" t="inlineStr"/>
      <c r="K690" t="inlineStr"/>
      <c r="L690" t="inlineStr"/>
      <c r="M690" t="inlineStr"/>
      <c r="N690" t="inlineStr"/>
      <c r="O690">
        <f>(1-Summary!$B$55)*T690+Summary!$B$55*V690</f>
        <v/>
      </c>
      <c r="P690">
        <f>IF(B715=0,0,O690/B715)</f>
        <v/>
      </c>
      <c r="Q690">
        <f>IFERROR(1/IF(Inputs!$B$39="pvp",15,MAX(0.1,Skills!D19-IF(Skills!E19=TRUE,Inputs!$B$32,0))),0)</f>
        <v/>
      </c>
      <c r="R690">
        <f>IF(AND(Inputs!$B$39&lt;&gt;"pvp",Inputs!$B$44&gt;0),IF(Inputs!$B$44&lt;=0,0,(INT(Inputs!$B$44/IF(Inputs!$B$39="pvp",15,MAX(0.1,Skills!D19-IF(Skills!E19=TRUE,Inputs!$B$32,0))))+1)),0)</f>
        <v/>
      </c>
      <c r="S690">
        <f>IFERROR(O690/N690,0)</f>
        <v/>
      </c>
      <c r="T690" t="n">
        <v>0</v>
      </c>
      <c r="V690" t="n">
        <v>0</v>
      </c>
    </row>
    <row r="691">
      <c r="A691">
        <f>Skills!A20</f>
        <v/>
      </c>
      <c r="B691">
        <f>Skills!B20</f>
        <v/>
      </c>
      <c r="C691">
        <f>Inputs!$B$3&gt;=15</f>
        <v/>
      </c>
      <c r="D691">
        <f>IF(Skills!C20=1,60+Inputs!$B$25+Inputs!$B$29,IF(Skills!C20=2,90+Inputs!$B$26+Inputs!$B$29,IF(Skills!C20=3,120+Inputs!$B$27+Inputs!$B$29,MAX(0,(Inputs!$B$3-100)*3)+Inputs!$B$28+Inputs!$B$29)))</f>
        <v/>
      </c>
      <c r="E691">
        <f>INDEX(FactorTable!$B$2:$Y$301, MATCH(ROUND(MIN(300,MAX(1,D691)),0), FactorTable!$A$2:$A$301,0), Skills!M20+1)</f>
        <v/>
      </c>
      <c r="F691">
        <f>IF(Skills!N20=TRUE,(Skills!L20/10)*(E691/1000),Skills!L20/10)+Skills!O20</f>
        <v/>
      </c>
      <c r="G691">
        <f>Calc!G20</f>
        <v/>
      </c>
      <c r="H691">
        <f>Calc!H20</f>
        <v/>
      </c>
      <c r="I691">
        <f>IF(Skills!AA20&lt;&gt;"",1+(Skills!AA20/10)*(U674/1000)/100,1)</f>
        <v/>
      </c>
      <c r="J691" t="inlineStr"/>
      <c r="K691" t="inlineStr"/>
      <c r="L691" t="inlineStr"/>
      <c r="M691" t="inlineStr"/>
      <c r="N691" t="inlineStr"/>
      <c r="O691">
        <f>(1-Summary!$B$55)*T691+Summary!$B$55*V691</f>
        <v/>
      </c>
      <c r="P691">
        <f>IF(B715=0,0,O691/B715)</f>
        <v/>
      </c>
      <c r="Q691">
        <f>IFERROR(1/IF(Inputs!$B$39="pvp",15,MAX(0.1,Skills!D20-IF(Skills!E20=TRUE,Inputs!$B$32,0))),0)</f>
        <v/>
      </c>
      <c r="R691">
        <f>IF(AND(Inputs!$B$39&lt;&gt;"pvp",Inputs!$B$44&gt;0),IF(Inputs!$B$44&lt;=0,0,(INT(Inputs!$B$44/IF(Inputs!$B$39="pvp",15,MAX(0.1,Skills!D20-IF(Skills!E20=TRUE,Inputs!$B$32,0))))+1)),0)</f>
        <v/>
      </c>
      <c r="S691">
        <f>IFERROR(O691/N691,0)</f>
        <v/>
      </c>
      <c r="T691" t="n">
        <v>0</v>
      </c>
      <c r="V691" t="n">
        <v>0</v>
      </c>
    </row>
    <row r="692">
      <c r="A692">
        <f>Skills!A21</f>
        <v/>
      </c>
      <c r="B692">
        <f>Skills!B21</f>
        <v/>
      </c>
      <c r="C692">
        <f>Inputs!$B$3&gt;=15</f>
        <v/>
      </c>
      <c r="D692">
        <f>IF(Skills!C21=1,60+Inputs!$B$25+Inputs!$B$29,IF(Skills!C21=2,90+Inputs!$B$26+Inputs!$B$29,IF(Skills!C21=3,120+Inputs!$B$27+Inputs!$B$29,MAX(0,(Inputs!$B$3-100)*3)+Inputs!$B$28+Inputs!$B$29)))</f>
        <v/>
      </c>
      <c r="E692">
        <f>INDEX(FactorTable!$B$2:$Y$301, MATCH(ROUND(MIN(300,MAX(1,D692)),0), FactorTable!$A$2:$A$301,0), Skills!M21+1)</f>
        <v/>
      </c>
      <c r="F692">
        <f>IF(Skills!N21=TRUE,(Skills!L21/10)*(E692/1000),Skills!L21/10)+Skills!O21</f>
        <v/>
      </c>
      <c r="G692">
        <f>Calc!G21</f>
        <v/>
      </c>
      <c r="H692">
        <f>Calc!H21</f>
        <v/>
      </c>
      <c r="I692">
        <f>IF(Skills!AA21&lt;&gt;"",1+(Skills!AA21/10)*(U674/1000)/100,1)</f>
        <v/>
      </c>
      <c r="J692" t="inlineStr"/>
      <c r="K692" t="inlineStr"/>
      <c r="L692" t="inlineStr"/>
      <c r="M692" t="inlineStr"/>
      <c r="N692" t="inlineStr"/>
      <c r="O692">
        <f>(1-Summary!$B$55)*T692+Summary!$B$55*V692</f>
        <v/>
      </c>
      <c r="P692">
        <f>IF(B715=0,0,O692/B715)</f>
        <v/>
      </c>
      <c r="Q692">
        <f>IFERROR(1/IF(Inputs!$B$39="pvp",15,MAX(0.1,Skills!D21-IF(Skills!E21=TRUE,Inputs!$B$32,0))),0)</f>
        <v/>
      </c>
      <c r="R692">
        <f>IF(AND(Inputs!$B$39&lt;&gt;"pvp",Inputs!$B$44&gt;0),IF(Inputs!$B$44&lt;=0,0,(INT(Inputs!$B$44/IF(Inputs!$B$39="pvp",15,MAX(0.1,Skills!D21-IF(Skills!E21=TRUE,Inputs!$B$32,0))))+1)),0)</f>
        <v/>
      </c>
      <c r="S692">
        <f>IFERROR(O692/N692,0)</f>
        <v/>
      </c>
      <c r="T692" t="n">
        <v>0</v>
      </c>
      <c r="V692" t="n">
        <v>0</v>
      </c>
    </row>
    <row r="693">
      <c r="A693">
        <f>Skills!A22</f>
        <v/>
      </c>
      <c r="B693">
        <f>Skills!B22</f>
        <v/>
      </c>
      <c r="C693">
        <f>Inputs!$B$3&gt;=33</f>
        <v/>
      </c>
      <c r="D693">
        <f>IF(Skills!C22=1,60+Inputs!$B$25+Inputs!$B$29,IF(Skills!C22=2,90+Inputs!$B$26+Inputs!$B$29,IF(Skills!C22=3,120+Inputs!$B$27+Inputs!$B$29,MAX(0,(Inputs!$B$3-100)*3)+Inputs!$B$28+Inputs!$B$29)))</f>
        <v/>
      </c>
      <c r="E693">
        <f>INDEX(FactorTable!$B$2:$Y$301, MATCH(ROUND(MIN(300,MAX(1,D693)),0), FactorTable!$A$2:$A$301,0), Skills!M22+1)</f>
        <v/>
      </c>
      <c r="F693">
        <f>IF(Skills!N22=TRUE,(Skills!L22/10)*(E693/1000),Skills!L22/10)+Skills!O22</f>
        <v/>
      </c>
      <c r="G693">
        <f>Calc!G22</f>
        <v/>
      </c>
      <c r="H693">
        <f>Calc!H22</f>
        <v/>
      </c>
      <c r="I693">
        <f>IF(Skills!AA22&lt;&gt;"",1+(Skills!AA22/10)*(U674/1000)/100,1)</f>
        <v/>
      </c>
      <c r="J693" t="inlineStr"/>
      <c r="K693" t="inlineStr"/>
      <c r="L693" t="inlineStr"/>
      <c r="M693" t="inlineStr"/>
      <c r="N693" t="inlineStr"/>
      <c r="O693">
        <f>(1-Summary!$B$55)*T693+Summary!$B$55*V693</f>
        <v/>
      </c>
      <c r="P693">
        <f>IF(B715=0,0,O693/B715)</f>
        <v/>
      </c>
      <c r="Q693" t="n">
        <v>0</v>
      </c>
      <c r="R693" t="n">
        <v>0</v>
      </c>
      <c r="S693">
        <f>IFERROR(O693/N693,0)</f>
        <v/>
      </c>
      <c r="T693" t="n">
        <v>0</v>
      </c>
      <c r="V693" t="n">
        <v>0</v>
      </c>
    </row>
    <row r="694">
      <c r="A694">
        <f>Skills!A23</f>
        <v/>
      </c>
      <c r="B694">
        <f>Skills!B23</f>
        <v/>
      </c>
      <c r="C694">
        <f>Inputs!$B$3&gt;=38</f>
        <v/>
      </c>
      <c r="D694">
        <f>IF(Skills!C23=1,60+Inputs!$B$25+Inputs!$B$29,IF(Skills!C23=2,90+Inputs!$B$26+Inputs!$B$29,IF(Skills!C23=3,120+Inputs!$B$27+Inputs!$B$29,MAX(0,(Inputs!$B$3-100)*3)+Inputs!$B$28+Inputs!$B$29)))</f>
        <v/>
      </c>
      <c r="E694">
        <f>INDEX(FactorTable!$B$2:$Y$301, MATCH(ROUND(MIN(300,MAX(1,D694)),0), FactorTable!$A$2:$A$301,0), Skills!M23+1)</f>
        <v/>
      </c>
      <c r="F694">
        <f>IF(Skills!N23=TRUE,(Skills!L23/10)*(E694/1000),Skills!L23/10)+Skills!O23</f>
        <v/>
      </c>
      <c r="G694">
        <f>Calc!G23</f>
        <v/>
      </c>
      <c r="H694">
        <f>Calc!H23</f>
        <v/>
      </c>
      <c r="I694">
        <f>IF(Skills!AA23&lt;&gt;"",1+(Skills!AA23/10)*(U674/1000)/100,1)</f>
        <v/>
      </c>
      <c r="J694" t="inlineStr"/>
      <c r="K694" t="inlineStr"/>
      <c r="L694" t="inlineStr"/>
      <c r="M694" t="inlineStr"/>
      <c r="N694" t="inlineStr"/>
      <c r="O694">
        <f>(1-Summary!$B$55)*T694+Summary!$B$55*V694</f>
        <v/>
      </c>
      <c r="P694">
        <f>IF(B715=0,0,O694/B715)</f>
        <v/>
      </c>
      <c r="Q694" t="n">
        <v>0</v>
      </c>
      <c r="R694" t="n">
        <v>0</v>
      </c>
      <c r="S694">
        <f>IFERROR(O694/N694,0)</f>
        <v/>
      </c>
      <c r="T694" t="n">
        <v>0</v>
      </c>
      <c r="V694" t="n">
        <v>0</v>
      </c>
    </row>
    <row r="695">
      <c r="A695">
        <f>Skills!A24</f>
        <v/>
      </c>
      <c r="B695">
        <f>Skills!B24</f>
        <v/>
      </c>
      <c r="C695">
        <f>Inputs!$B$3&gt;=40</f>
        <v/>
      </c>
      <c r="D695">
        <f>IF(Skills!C24=1,60+Inputs!$B$25+Inputs!$B$29,IF(Skills!C24=2,90+Inputs!$B$26+Inputs!$B$29,IF(Skills!C24=3,120+Inputs!$B$27+Inputs!$B$29,MAX(0,(Inputs!$B$3-100)*3)+Inputs!$B$28+Inputs!$B$29)))</f>
        <v/>
      </c>
      <c r="E695">
        <f>INDEX(FactorTable!$B$2:$Y$301, MATCH(ROUND(MIN(300,MAX(1,D695)),0), FactorTable!$A$2:$A$301,0), Skills!M24+1)</f>
        <v/>
      </c>
      <c r="F695">
        <f>IF(Skills!N24=TRUE,(Skills!L24/10)*(E695/1000),Skills!L24/10)+Skills!O24</f>
        <v/>
      </c>
      <c r="G695">
        <f>Calc!G24</f>
        <v/>
      </c>
      <c r="H695">
        <f>Calc!H24</f>
        <v/>
      </c>
      <c r="I695">
        <f>IF(Skills!AA24&lt;&gt;"",1+(Skills!AA24/10)*(U674/1000)/100,1)</f>
        <v/>
      </c>
      <c r="J695" t="inlineStr"/>
      <c r="K695" t="inlineStr"/>
      <c r="L695" t="inlineStr"/>
      <c r="M695" t="inlineStr"/>
      <c r="N695" t="inlineStr"/>
      <c r="O695">
        <f>(1-Summary!$B$55)*T695+Summary!$B$55*V695</f>
        <v/>
      </c>
      <c r="P695">
        <f>IF(B715=0,0,O695/B715)</f>
        <v/>
      </c>
      <c r="Q695" t="n">
        <v>0</v>
      </c>
      <c r="R695" t="n">
        <v>0</v>
      </c>
      <c r="S695">
        <f>IFERROR(O695/N695,0)</f>
        <v/>
      </c>
      <c r="T695" t="n">
        <v>0</v>
      </c>
      <c r="V695" t="n">
        <v>0</v>
      </c>
    </row>
    <row r="696">
      <c r="A696">
        <f>Skills!A25</f>
        <v/>
      </c>
      <c r="B696">
        <f>Skills!B25</f>
        <v/>
      </c>
      <c r="C696">
        <f>Inputs!$B$3&gt;=45</f>
        <v/>
      </c>
      <c r="D696">
        <f>IF(Skills!C25=1,60+Inputs!$B$25+Inputs!$B$29,IF(Skills!C25=2,90+Inputs!$B$26+Inputs!$B$29,IF(Skills!C25=3,120+Inputs!$B$27+Inputs!$B$29,MAX(0,(Inputs!$B$3-100)*3)+Inputs!$B$28+Inputs!$B$29)))</f>
        <v/>
      </c>
      <c r="E696">
        <f>INDEX(FactorTable!$B$2:$Y$301, MATCH(ROUND(MIN(300,MAX(1,D696)),0), FactorTable!$A$2:$A$301,0), Skills!M25+1)</f>
        <v/>
      </c>
      <c r="F696">
        <f>IF(Skills!N25=TRUE,(Skills!L25/10)*(E696/1000),Skills!L25/10)+Skills!O25</f>
        <v/>
      </c>
      <c r="G696">
        <f>Calc!G25</f>
        <v/>
      </c>
      <c r="H696">
        <f>Calc!H25</f>
        <v/>
      </c>
      <c r="I696">
        <f>IF(Skills!AA25&lt;&gt;"",1+(Skills!AA25/10)*(U674/1000)/100,1)</f>
        <v/>
      </c>
      <c r="J696" t="inlineStr"/>
      <c r="K696" t="inlineStr"/>
      <c r="L696" t="inlineStr"/>
      <c r="M696" t="inlineStr"/>
      <c r="N696" t="inlineStr"/>
      <c r="O696">
        <f>(1-Summary!$B$55)*T696+Summary!$B$55*V696</f>
        <v/>
      </c>
      <c r="P696">
        <f>IF(B715=0,0,O696/B715)</f>
        <v/>
      </c>
      <c r="Q696" t="n">
        <v>0</v>
      </c>
      <c r="R696" t="n">
        <v>0</v>
      </c>
      <c r="S696">
        <f>IFERROR(O696/N696,0)</f>
        <v/>
      </c>
      <c r="T696" t="n">
        <v>0</v>
      </c>
      <c r="V696" t="n">
        <v>0</v>
      </c>
    </row>
    <row r="697">
      <c r="A697">
        <f>Skills!A26</f>
        <v/>
      </c>
      <c r="B697">
        <f>Skills!B26</f>
        <v/>
      </c>
      <c r="C697">
        <f>Inputs!$B$3&gt;=45</f>
        <v/>
      </c>
      <c r="D697">
        <f>IF(Skills!C26=1,60+Inputs!$B$25+Inputs!$B$29,IF(Skills!C26=2,90+Inputs!$B$26+Inputs!$B$29,IF(Skills!C26=3,120+Inputs!$B$27+Inputs!$B$29,MAX(0,(Inputs!$B$3-100)*3)+Inputs!$B$28+Inputs!$B$29)))</f>
        <v/>
      </c>
      <c r="E697">
        <f>INDEX(FactorTable!$B$2:$Y$301, MATCH(ROUND(MIN(300,MAX(1,D697)),0), FactorTable!$A$2:$A$301,0), Skills!M26+1)</f>
        <v/>
      </c>
      <c r="F697">
        <f>IF(Skills!N26=TRUE,(Skills!L26/10)*(E697/1000),Skills!L26/10)+Skills!O26</f>
        <v/>
      </c>
      <c r="G697">
        <f>Calc!G26</f>
        <v/>
      </c>
      <c r="H697">
        <f>Calc!H26</f>
        <v/>
      </c>
      <c r="I697">
        <f>IF(Skills!AA26&lt;&gt;"",1+(Skills!AA26/10)*(U674/1000)/100,1)</f>
        <v/>
      </c>
      <c r="J697" t="inlineStr"/>
      <c r="K697" t="inlineStr"/>
      <c r="L697" t="inlineStr"/>
      <c r="M697" t="inlineStr"/>
      <c r="N697" t="inlineStr"/>
      <c r="O697">
        <f>(1-Summary!$B$55)*T697+Summary!$B$55*V697</f>
        <v/>
      </c>
      <c r="P697">
        <f>IF(B715=0,0,O697/B715)</f>
        <v/>
      </c>
      <c r="Q697" t="n">
        <v>0</v>
      </c>
      <c r="R697" t="n">
        <v>0</v>
      </c>
      <c r="S697">
        <f>IFERROR(O697/N697,0)</f>
        <v/>
      </c>
      <c r="T697" t="n">
        <v>0</v>
      </c>
      <c r="V697" t="n">
        <v>0</v>
      </c>
    </row>
    <row r="698">
      <c r="A698">
        <f>Skills!A27</f>
        <v/>
      </c>
      <c r="B698">
        <f>Skills!B27</f>
        <v/>
      </c>
      <c r="C698">
        <f>Inputs!$B$3&gt;=72</f>
        <v/>
      </c>
      <c r="D698">
        <f>IF(Skills!C27=1,60+Inputs!$B$25+Inputs!$B$29,IF(Skills!C27=2,90+Inputs!$B$26+Inputs!$B$29,IF(Skills!C27=3,120+Inputs!$B$27+Inputs!$B$29,MAX(0,(Inputs!$B$3-100)*3)+Inputs!$B$28+Inputs!$B$29)))</f>
        <v/>
      </c>
      <c r="E698">
        <f>INDEX(FactorTable!$B$2:$Y$301, MATCH(ROUND(MIN(300,MAX(1,D698)),0), FactorTable!$A$2:$A$301,0), Skills!M27+1)</f>
        <v/>
      </c>
      <c r="F698">
        <f>IF(Skills!N27=TRUE,(Skills!L27/10)*(E698/1000),Skills!L27/10)+Skills!O27</f>
        <v/>
      </c>
      <c r="G698">
        <f>Calc!G27</f>
        <v/>
      </c>
      <c r="H698">
        <f>Calc!H27</f>
        <v/>
      </c>
      <c r="I698">
        <f>IF(Skills!AA27&lt;&gt;"",1+(Skills!AA27/10)*(U674/1000)/100,1)</f>
        <v/>
      </c>
      <c r="J698" t="inlineStr"/>
      <c r="K698" t="inlineStr"/>
      <c r="L698" t="inlineStr"/>
      <c r="M698" t="inlineStr"/>
      <c r="N698" t="inlineStr"/>
      <c r="O698">
        <f>(1-Summary!$B$55)*T698+Summary!$B$55*V698</f>
        <v/>
      </c>
      <c r="P698">
        <f>IF(B715=0,0,O698/B715)</f>
        <v/>
      </c>
      <c r="Q698" t="n">
        <v>0</v>
      </c>
      <c r="R698" t="n">
        <v>0</v>
      </c>
      <c r="S698">
        <f>IFERROR(O698/N698,0)</f>
        <v/>
      </c>
      <c r="T698" t="n">
        <v>0</v>
      </c>
      <c r="V698" t="n">
        <v>0</v>
      </c>
    </row>
    <row r="699">
      <c r="A699">
        <f>Skills!A28</f>
        <v/>
      </c>
      <c r="B699">
        <f>Skills!B28</f>
        <v/>
      </c>
      <c r="C699">
        <f>Inputs!$B$3&gt;=75</f>
        <v/>
      </c>
      <c r="D699">
        <f>IF(Skills!C28=1,60+Inputs!$B$25+Inputs!$B$29,IF(Skills!C28=2,90+Inputs!$B$26+Inputs!$B$29,IF(Skills!C28=3,120+Inputs!$B$27+Inputs!$B$29,MAX(0,(Inputs!$B$3-100)*3)+Inputs!$B$28+Inputs!$B$29)))</f>
        <v/>
      </c>
      <c r="E699">
        <f>INDEX(FactorTable!$B$2:$Y$301, MATCH(ROUND(MIN(300,MAX(1,D699)),0), FactorTable!$A$2:$A$301,0), Skills!M28+1)</f>
        <v/>
      </c>
      <c r="F699">
        <f>IF(Skills!N28=TRUE,(Skills!L28/10)*(E699/1000),Skills!L28/10)+Skills!O28</f>
        <v/>
      </c>
      <c r="G699">
        <f>Calc!G28</f>
        <v/>
      </c>
      <c r="H699">
        <f>Calc!H28</f>
        <v/>
      </c>
      <c r="I699">
        <f>IF(Skills!AA28&lt;&gt;"",1+(Skills!AA28/10)*(U674/1000)/100,1)</f>
        <v/>
      </c>
      <c r="J699" t="inlineStr"/>
      <c r="K699" t="inlineStr"/>
      <c r="L699" t="inlineStr"/>
      <c r="M699" t="inlineStr"/>
      <c r="N699" t="inlineStr"/>
      <c r="O699">
        <f>(1-Summary!$B$55)*T699+Summary!$B$55*V699</f>
        <v/>
      </c>
      <c r="P699">
        <f>IF(B715=0,0,O699/B715)</f>
        <v/>
      </c>
      <c r="Q699" t="n">
        <v>0</v>
      </c>
      <c r="R699" t="n">
        <v>0</v>
      </c>
      <c r="S699">
        <f>IFERROR(O699/N699,0)</f>
        <v/>
      </c>
      <c r="T699" t="n">
        <v>0</v>
      </c>
      <c r="V699" t="n">
        <v>0</v>
      </c>
    </row>
    <row r="700">
      <c r="A700">
        <f>Skills!A29</f>
        <v/>
      </c>
      <c r="B700">
        <f>Skills!B29</f>
        <v/>
      </c>
      <c r="C700">
        <f>Inputs!$B$3&gt;=120</f>
        <v/>
      </c>
      <c r="D700">
        <f>IF(Skills!C29=1,60+Inputs!$B$25+Inputs!$B$29,IF(Skills!C29=2,90+Inputs!$B$26+Inputs!$B$29,IF(Skills!C29=3,120+Inputs!$B$27+Inputs!$B$29,MAX(0,(Inputs!$B$3-100)*3)+Inputs!$B$28+Inputs!$B$29)))</f>
        <v/>
      </c>
      <c r="E700">
        <f>INDEX(FactorTable!$B$2:$Y$301, MATCH(ROUND(MIN(300,MAX(1,D700)),0), FactorTable!$A$2:$A$301,0), Skills!M29+1)</f>
        <v/>
      </c>
      <c r="F700">
        <f>IF(Skills!N29=TRUE,(Skills!L29/10)*(E700/1000),Skills!L29/10)+Skills!O29</f>
        <v/>
      </c>
      <c r="G700">
        <f>Calc!G29</f>
        <v/>
      </c>
      <c r="H700">
        <f>Calc!H29</f>
        <v/>
      </c>
      <c r="I700">
        <f>IF(Skills!AA29&lt;&gt;"",1+(Skills!AA29/10)*(U674/1000)/100,1)</f>
        <v/>
      </c>
      <c r="J700" t="inlineStr"/>
      <c r="K700" t="inlineStr"/>
      <c r="L700" t="inlineStr"/>
      <c r="M700" t="inlineStr"/>
      <c r="N700" t="inlineStr"/>
      <c r="O700">
        <f>(1-Summary!$B$55)*T700+Summary!$B$55*V700</f>
        <v/>
      </c>
      <c r="P700">
        <f>IF(B715=0,0,O700/B715)</f>
        <v/>
      </c>
      <c r="Q700" t="n">
        <v>0</v>
      </c>
      <c r="R700" t="n">
        <v>0</v>
      </c>
      <c r="S700">
        <f>IFERROR(O700/N700,0)</f>
        <v/>
      </c>
      <c r="T700" t="n">
        <v>0</v>
      </c>
      <c r="V700" t="n">
        <v>0</v>
      </c>
    </row>
    <row r="701">
      <c r="A701">
        <f>Skills!A30</f>
        <v/>
      </c>
      <c r="B701">
        <f>Skills!B30</f>
        <v/>
      </c>
      <c r="C701">
        <f>Inputs!$B$3&gt;=125</f>
        <v/>
      </c>
      <c r="D701">
        <f>IF(Skills!C30=1,60+Inputs!$B$25+Inputs!$B$29,IF(Skills!C30=2,90+Inputs!$B$26+Inputs!$B$29,IF(Skills!C30=3,120+Inputs!$B$27+Inputs!$B$29,MAX(0,(Inputs!$B$3-100)*3)+Inputs!$B$28+Inputs!$B$29)))</f>
        <v/>
      </c>
      <c r="E701">
        <f>INDEX(FactorTable!$B$2:$Y$301, MATCH(ROUND(MIN(300,MAX(1,D701)),0), FactorTable!$A$2:$A$301,0), Skills!M30+1)</f>
        <v/>
      </c>
      <c r="F701">
        <f>IF(Skills!N30=TRUE,(Skills!L30/10)*(E701/1000),Skills!L30/10)+Skills!O30</f>
        <v/>
      </c>
      <c r="G701">
        <f>Calc!G30</f>
        <v/>
      </c>
      <c r="H701">
        <f>Calc!H30</f>
        <v/>
      </c>
      <c r="I701">
        <f>IF(Skills!AA30&lt;&gt;"",1+(Skills!AA30/10)*(U674/1000)/100,1)</f>
        <v/>
      </c>
      <c r="J701" t="inlineStr"/>
      <c r="K701" t="inlineStr"/>
      <c r="L701" t="inlineStr"/>
      <c r="M701" t="inlineStr"/>
      <c r="N701" t="inlineStr"/>
      <c r="O701">
        <f>(1-Summary!$B$55)*T701+Summary!$B$55*V701</f>
        <v/>
      </c>
      <c r="P701">
        <f>IF(B715=0,0,O701/B715)</f>
        <v/>
      </c>
      <c r="Q701" t="n">
        <v>0</v>
      </c>
      <c r="R701" t="n">
        <v>0</v>
      </c>
      <c r="S701">
        <f>IFERROR(O701/N701,0)</f>
        <v/>
      </c>
      <c r="T701" t="n">
        <v>0</v>
      </c>
      <c r="V701" t="n">
        <v>0</v>
      </c>
    </row>
    <row r="702">
      <c r="A702">
        <f>Skills!A31</f>
        <v/>
      </c>
      <c r="B702">
        <f>Skills!B31</f>
        <v/>
      </c>
      <c r="C702">
        <f>Inputs!$B$3&gt;=107</f>
        <v/>
      </c>
      <c r="D702">
        <f>IF(Skills!C31=1,60+Inputs!$B$25+Inputs!$B$29,IF(Skills!C31=2,90+Inputs!$B$26+Inputs!$B$29,IF(Skills!C31=3,120+Inputs!$B$27+Inputs!$B$29,MAX(0,(Inputs!$B$3-100)*3)+Inputs!$B$28+Inputs!$B$29)))</f>
        <v/>
      </c>
      <c r="E702">
        <f>INDEX(FactorTable!$B$2:$Y$301, MATCH(ROUND(MIN(300,MAX(1,D702)),0), FactorTable!$A$2:$A$301,0), Skills!M31+1)</f>
        <v/>
      </c>
      <c r="F702">
        <f>IF(Skills!N31=TRUE,(Skills!L31/10)*(E702/1000),Skills!L31/10)+Skills!O31</f>
        <v/>
      </c>
      <c r="G702">
        <f>Calc!G31</f>
        <v/>
      </c>
      <c r="H702">
        <f>Calc!H31</f>
        <v/>
      </c>
      <c r="I702">
        <f>IF(Skills!AA31&lt;&gt;"",1+(Skills!AA31/10)*(U674/1000)/100,1)</f>
        <v/>
      </c>
      <c r="J702" t="inlineStr"/>
      <c r="K702" t="inlineStr"/>
      <c r="L702" t="inlineStr"/>
      <c r="M702" t="inlineStr"/>
      <c r="N702" t="inlineStr"/>
      <c r="O702">
        <f>(1-Summary!$B$55)*T702+Summary!$B$55*V702</f>
        <v/>
      </c>
      <c r="P702">
        <f>IF(B715=0,0,O702/B715)</f>
        <v/>
      </c>
      <c r="Q702" t="n">
        <v>0</v>
      </c>
      <c r="R702" t="n">
        <v>0</v>
      </c>
      <c r="S702">
        <f>IFERROR(O702/N702,0)</f>
        <v/>
      </c>
      <c r="T702" t="n">
        <v>0</v>
      </c>
      <c r="V702" t="n">
        <v>0</v>
      </c>
    </row>
    <row r="704">
      <c r="A704" t="inlineStr">
        <is>
          <t>Actions Per Second (pre-Adrenalin)</t>
        </is>
      </c>
      <c r="B704">
        <f>1+MIN(150,150*(1-(1-(Inputs!$B$11+((C693=TRUE)*(F693-Calc!F22)))/150)*(1-((C690=TRUE)*F690*IF(AND(Inputs!$B$39&lt;&gt;"pvp",Inputs!$B$44&gt;0),(((R690-1)*(Skills!Y19*(1+Inputs!$B$34/100))+MIN((Skills!Y19*(1+Inputs!$B$34/100)),MAX(0,Inputs!$B$44-((R690-1)*Skills!D19))))/Inputs!$B$44),IF(Inputs!$B$39="pvp",MIN((Skills!Y19*(1+Inputs!$B$34/100)),15)/15,(Skills!Y19*(1+Inputs!$B$34/100))/Skills!D19)))/150)))/100</f>
        <v/>
      </c>
    </row>
    <row r="705">
      <c r="A705" t="inlineStr">
        <is>
          <t>Alchemic Adrenaline Uptime</t>
        </is>
      </c>
      <c r="B705">
        <f>(Skills!Y6*(1+Inputs!$B$34/100))/((Skills!Y6*(1+Inputs!$B$34/100))+(5/B704))</f>
        <v/>
      </c>
    </row>
    <row r="706">
      <c r="A706" t="inlineStr">
        <is>
          <t>Attack Speed Buff Bonus %</t>
        </is>
      </c>
      <c r="B706">
        <f>((C690=TRUE)*F690*IF(AND(Inputs!$B$39&lt;&gt;"pvp",Inputs!$B$44&gt;0),(((R690-1)*(Skills!Y19*(1+Inputs!$B$34/100))+MIN((Skills!Y19*(1+Inputs!$B$34/100)),MAX(0,Inputs!$B$44-((R690-1)*Skills!D19))))/Inputs!$B$44),IF(Inputs!$B$39="pvp",MIN((Skills!Y19*(1+Inputs!$B$34/100)),15)/15,(Skills!Y19*(1+Inputs!$B$34/100))/Skills!D19)))+((C678=TRUE)*F678*B705)</f>
        <v/>
      </c>
    </row>
    <row r="707">
      <c r="A707" t="inlineStr">
        <is>
          <t>Actions Per Second (final)</t>
        </is>
      </c>
      <c r="B707">
        <f>1+MIN(150,150*(1-(1-(Inputs!$B$11+((C693=TRUE)*(F693-Calc!F22)))/150)*(1-B706/150)))/100</f>
        <v/>
      </c>
    </row>
    <row r="708">
      <c r="A708" t="inlineStr">
        <is>
          <t>Skill + Buff Cast Rate</t>
        </is>
      </c>
      <c r="B708">
        <f>IF(AND(Inputs!$B$39&lt;&gt;"pvp",Inputs!$B$44&gt;0),SUMPRODUCT((Skills!E2:E31=TRUE)*(C673:C702=TRUE)*R673:R702*Skills!F2:F31)/Inputs!$B$44,SUMPRODUCT((Skills!E2:E31=TRUE)*(C673:C702=TRUE)*Q673:Q702*Skills!F2:F31))</f>
        <v/>
      </c>
    </row>
    <row r="709">
      <c r="A709" t="inlineStr">
        <is>
          <t>Showdown Casts Per Second</t>
        </is>
      </c>
      <c r="B709">
        <f>MAX(0,B707-B708)</f>
        <v/>
      </c>
    </row>
    <row r="710">
      <c r="A710" t="inlineStr">
        <is>
          <t>Average Buff Multiplier</t>
        </is>
      </c>
      <c r="B710">
        <f>(1+(((C692=TRUE)*F692*IF(AND(Inputs!$B$39&lt;&gt;"pvp",Inputs!$B$44&gt;0),(((R692-1)*(Skills!Y21*(1+Inputs!$B$34/100))+MIN((Skills!Y21*(1+Inputs!$B$34/100)),MAX(0,Inputs!$B$44-((R692-1)*Skills!D21))))/Inputs!$B$44),IF(Inputs!$B$39="pvp",MIN((Skills!Y21*(1+Inputs!$B$34/100)),15)/15,(Skills!Y21*(1+Inputs!$B$34/100))/Skills!D21)))+((C699=TRUE)*(F699-Calc!F28))+((C689=TRUE)*(F689-Calc!F18)))/100)*(1+((C686=TRUE)*F686*IF(AND(Inputs!$B$39&lt;&gt;"pvp",Inputs!$B$44&gt;0),(((R686-1)*(Skills!Y15*(1+Inputs!$B$34/100))+MIN((Skills!Y15*(1+Inputs!$B$34/100)),MAX(0,Inputs!$B$44-((R686-1)*Skills!D15))))/Inputs!$B$44),IF(Inputs!$B$39="pvp",MIN((Skills!Y15*(1+Inputs!$B$34/100)),15)/15,(Skills!Y15*(1+Inputs!$B$34/100))/Skills!D15)))/100)*(1+((C677=TRUE)*F677*B705)/100)</f>
        <v/>
      </c>
    </row>
    <row r="711">
      <c r="A711" t="inlineStr">
        <is>
          <t>Global Crit Rate Bonus %</t>
        </is>
      </c>
      <c r="B711">
        <f>IF(Inputs!$B$3&gt;=47,8,0)+((C691=TRUE)*F691*IF(AND(Inputs!$B$39&lt;&gt;"pvp",Inputs!$B$44&gt;0),(((R691-1)*(Skills!Y20*(1+Inputs!$B$34/100))+MIN((Skills!Y20*(1+Inputs!$B$34/100)),MAX(0,Inputs!$B$44-((R691-1)*Skills!D20))))/Inputs!$B$44),IF(Inputs!$B$39="pvp",MIN((Skills!Y20*(1+Inputs!$B$34/100)),15)/15,(Skills!Y20*(1+Inputs!$B$34/100))/Skills!D20)))</f>
        <v/>
      </c>
    </row>
    <row r="712">
      <c r="A712" t="inlineStr">
        <is>
          <t>Global Monster Damage-Taken Bonus %</t>
        </is>
      </c>
      <c r="B712">
        <f>IF(Inputs!$B$3&gt;=82,15,0)+((C687=TRUE)*F687*IF(AND(Inputs!$B$39&lt;&gt;"pvp",Inputs!$B$44&gt;0),(((R687-1)*(Skills!Y16*(1+Inputs!$B$34/100))+MIN((Skills!Y16*(1+Inputs!$B$34/100)),MAX(0,Inputs!$B$44-((R687-1)*Skills!D16))))/Inputs!$B$44),IF(Inputs!$B$39="pvp",MIN((Skills!Y16*(1+Inputs!$B$34/100)),15)/15,(Skills!Y16*(1+Inputs!$B$34/100))/Skills!D16)))</f>
        <v/>
      </c>
    </row>
    <row r="713">
      <c r="A713" t="inlineStr">
        <is>
          <t>Shadow Partner Average Multiplier</t>
        </is>
      </c>
      <c r="B713">
        <f>1+((C682=TRUE)*F682*I682*Skills!J11/100)/100</f>
        <v/>
      </c>
    </row>
    <row r="714">
      <c r="A714" t="inlineStr">
        <is>
          <t>Global Critical Damage Bonus % (Frailty Curse Mastery Lv.111)</t>
        </is>
      </c>
      <c r="B714">
        <f>IF(Inputs!$B$3&gt;=111,30,0)*IF(AND(Inputs!$B$39&lt;&gt;"pvp",Inputs!$B$44&gt;0),(((R687-1)*(Skills!Y16*(1+Inputs!$B$34/100))+MIN((Skills!Y16*(1+Inputs!$B$34/100)),MAX(0,Inputs!$B$44-((R687-1)*Skills!D16))))/Inputs!$B$44),IF(Inputs!$B$39="pvp",MIN((Skills!Y16*(1+Inputs!$B$34/100)),15)/15,(Skills!Y16*(1+Inputs!$B$34/100))/Skills!D16))</f>
        <v/>
      </c>
    </row>
    <row r="715">
      <c r="A715" s="5" t="inlineStr">
        <is>
          <t>TOTAL DPS</t>
        </is>
      </c>
      <c r="B715" s="5">
        <f>SUM(O673:O702)</f>
        <v/>
      </c>
    </row>
    <row r="716">
      <c r="A716" t="inlineStr">
        <is>
          <t>Buff-Casting Startup Delay (s, fixed-duration only)</t>
        </is>
      </c>
      <c r="B716">
        <f>IF(AND(Inputs!$B$39&lt;&gt;"pvp",Inputs!$B$44&gt;0),SUMPRODUCT((Skills!Y2:Y31&gt;0)*(Skills!E2:E31=TRUE)*(C673:C702=TRUE))/B707,0)</f>
        <v/>
      </c>
    </row>
    <row r="717">
      <c r="A717" t="inlineStr">
        <is>
          <t>Boss-Only Total DPS (this block's swept value)</t>
        </is>
      </c>
      <c r="B717">
        <f>SUM(T673:T702)</f>
        <v/>
      </c>
    </row>
    <row r="718">
      <c r="A718" t="inlineStr">
        <is>
          <t>Normal-Only Total DPS (this block's swept value)</t>
        </is>
      </c>
      <c r="B718">
        <f>SUM(V673:V702)</f>
        <v/>
      </c>
    </row>
    <row r="720">
      <c r="A720" s="5" t="inlineStr">
        <is>
          <t>Stat: BASIC_ATTACK_DAMAGE %</t>
        </is>
      </c>
    </row>
    <row r="721">
      <c r="A721" s="9" t="inlineStr">
        <is>
          <t>Key</t>
        </is>
      </c>
      <c r="B721" s="9" t="inlineStr">
        <is>
          <t>Name</t>
        </is>
      </c>
      <c r="C721" s="9" t="inlineStr">
        <is>
          <t>Unlocked</t>
        </is>
      </c>
      <c r="D721" s="9" t="inlineStr">
        <is>
          <t>InputLevel</t>
        </is>
      </c>
      <c r="E721" s="9" t="inlineStr">
        <is>
          <t>Factor</t>
        </is>
      </c>
      <c r="F721" s="9" t="inlineStr">
        <is>
          <t>CoefficientPercent</t>
        </is>
      </c>
      <c r="G721" s="9" t="inlineStr">
        <is>
          <t>EffectiveHits</t>
        </is>
      </c>
      <c r="H721" s="9" t="inlineStr">
        <is>
          <t>ProcProbability</t>
        </is>
      </c>
      <c r="I721" s="9" t="inlineStr">
        <is>
          <t>MapleHeroMultiplier</t>
        </is>
      </c>
      <c r="J721" s="9" t="inlineStr">
        <is>
          <t>BaseDamage</t>
        </is>
      </c>
      <c r="K721" s="9" t="inlineStr">
        <is>
          <t>BaseHitDamage</t>
        </is>
      </c>
      <c r="L721" s="9" t="inlineStr">
        <is>
          <t>NonCritAvg</t>
        </is>
      </c>
      <c r="M721" s="9" t="inlineStr">
        <is>
          <t>CritAvg</t>
        </is>
      </c>
      <c r="N721" s="9" t="inlineStr">
        <is>
          <t>ExpectedDamage(perHit)</t>
        </is>
      </c>
      <c r="O721" s="9" t="inlineStr">
        <is>
          <t>DPS</t>
        </is>
      </c>
      <c r="P721" s="9" t="inlineStr">
        <is>
          <t>% of Total</t>
        </is>
      </c>
      <c r="Q721" s="9" t="inlineStr">
        <is>
          <t>InvCooldown</t>
        </is>
      </c>
      <c r="R721" s="9" t="inlineStr">
        <is>
          <t>CastsInFight</t>
        </is>
      </c>
      <c r="S721" s="9" t="inlineStr">
        <is>
          <t>HitRate(perSec)</t>
        </is>
      </c>
      <c r="U721" t="inlineStr">
        <is>
          <t>helpers</t>
        </is>
      </c>
    </row>
    <row r="722">
      <c r="A722">
        <f>Skills!A2</f>
        <v/>
      </c>
      <c r="B722">
        <f>Skills!B2</f>
        <v/>
      </c>
      <c r="C722">
        <f>Inputs!$B$3&gt;=100</f>
        <v/>
      </c>
      <c r="D722" t="inlineStr"/>
      <c r="E722" t="inlineStr"/>
      <c r="F722">
        <f>U726+Skills!O2</f>
        <v/>
      </c>
      <c r="G722">
        <f>Calc!G2</f>
        <v/>
      </c>
      <c r="H722">
        <f>Calc!H2</f>
        <v/>
      </c>
      <c r="I722">
        <f>IF(Skills!AA2&lt;&gt;"",1+(Skills!AA2/10)*(U723/1000)/100,1)</f>
        <v/>
      </c>
      <c r="J722">
        <f>((Inputs!$B$6*(1+Inputs!$B$7/100))+(((Inputs!$B$12*(1+Inputs!$B$13/100))-(Inputs!$B$12*(1+Inputs!$B$13/100)))+0.25*(Inputs!$B$14-Inputs!$B$14))*(1+Inputs!$B$7/100))*(F722/100)</f>
        <v/>
      </c>
      <c r="K722">
        <f>J722*(1+((Inputs!$B$12*(1+Inputs!$B$13/100))*0.01+Inputs!$B$14*0.0025)/100)*(1+Inputs!$B$15/100)*(1+Inputs!$B$16/100)*(5000/(6000+Inputs!$B$43*(1-Inputs!$B$19/100)))*(1+(Inputs!$B$24+((C750=TRUE)*(F750-Calc!F30)))/100)*(1+Skills!R2/100)*(1+(IF(Skills!A2="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722)</f>
        <v/>
      </c>
      <c r="L722">
        <f>K722*(MIN(Inputs!$B$22+((C744=TRUE)*(F744-Calc!F24)),Inputs!$B$23)/100+Inputs!$B$23/100)/2</f>
        <v/>
      </c>
      <c r="M722">
        <f>L722*(1+(Inputs!$B$10+((C746=TRUE)*(F746-Calc!F26))+B763)/100)</f>
        <v/>
      </c>
      <c r="N722">
        <f>L722*(1-MIN((Inputs!$B$9+((C745=TRUE)*(F745-Calc!F25))+B760),100)/100)+M722*(MIN((Inputs!$B$9+((C745=TRUE)*(F745-Calc!F25))+B760),100)/100)</f>
        <v/>
      </c>
      <c r="O722">
        <f>(1-Summary!$B$55)*T722+Summary!$B$55*V722</f>
        <v/>
      </c>
      <c r="P722">
        <f>IF(B764=0,0,O722/B764)</f>
        <v/>
      </c>
      <c r="Q722" t="n">
        <v>0</v>
      </c>
      <c r="R722" t="n">
        <v>0</v>
      </c>
      <c r="S722">
        <f>IFERROR(O722/N722,0)</f>
        <v/>
      </c>
      <c r="T722">
        <f>IF(C722,(Skills!G2*N722*B758)*IF(Inputs!$B$39="pvp",1,1+(Inputs!$B$20+((C747=TRUE)*(F747-Calc!F27))+Skills!P2+B761)/100),0)</f>
        <v/>
      </c>
      <c r="U722">
        <f>MAX(0,(Inputs!$B$3-100)*3)+Inputs!$B$28+Inputs!$B$29</f>
        <v/>
      </c>
      <c r="V722">
        <f>IF(C722,(Skills!G2*N722*B758)*IF(Inputs!$B$39="pvp",1,(1+(Inputs!$B$21+Skills!Q2+B761)/100)*(MIN((6+Inputs!$B$33),Inputs!$B$37))),0)</f>
        <v/>
      </c>
    </row>
    <row r="723">
      <c r="A723">
        <f>Skills!A3</f>
        <v/>
      </c>
      <c r="B723">
        <f>Skills!B3</f>
        <v/>
      </c>
      <c r="C723">
        <f>Inputs!$B$3&gt;=35</f>
        <v/>
      </c>
      <c r="D723">
        <f>IF(Skills!C3=1,60+Inputs!$B$25+Inputs!$B$29,IF(Skills!C3=2,90+Inputs!$B$26+Inputs!$B$29,IF(Skills!C3=3,120+Inputs!$B$27+Inputs!$B$29,MAX(0,(Inputs!$B$3-100)*3)+Inputs!$B$28+Inputs!$B$29)))</f>
        <v/>
      </c>
      <c r="E723">
        <f>INDEX(FactorTable!$B$2:$Y$301, MATCH(ROUND(MIN(300,MAX(1,D723)),0), FactorTable!$A$2:$A$301,0), Skills!M3+1)</f>
        <v/>
      </c>
      <c r="F723">
        <f>IF(Skills!N3=TRUE,(Skills!L3/10)*(E723/1000),Skills!L3/10)+Skills!O3</f>
        <v/>
      </c>
      <c r="G723">
        <f>Calc!G3</f>
        <v/>
      </c>
      <c r="H723">
        <f>Calc!H3</f>
        <v/>
      </c>
      <c r="I723">
        <f>IF(Skills!AA3&lt;&gt;"",1+(Skills!AA3/10)*(U723/1000)/100,1)</f>
        <v/>
      </c>
      <c r="J723">
        <f>((Inputs!$B$6*(1+Inputs!$B$7/100))+(((Inputs!$B$12*(1+Inputs!$B$13/100))-(Inputs!$B$12*(1+Inputs!$B$13/100)))+0.25*(Inputs!$B$14-Inputs!$B$14))*(1+Inputs!$B$7/100))*(F723/100)</f>
        <v/>
      </c>
      <c r="K723">
        <f>J723*(1+((Inputs!$B$12*(1+Inputs!$B$13/100))*0.01+Inputs!$B$14*0.0025)/100)*(1+Inputs!$B$15/100)*(1+Inputs!$B$16/100)*(5000/(6000+Inputs!$B$43*(1-Inputs!$B$19/100)))*(1+(Inputs!$B$24+((C750=TRUE)*(F750-Calc!F30)))/100)*(1+Skills!R3/100)*(1+(IF(Skills!A3="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723)</f>
        <v/>
      </c>
      <c r="L723">
        <f>K723*(MIN(Inputs!$B$22+((C744=TRUE)*(F744-Calc!F24)),Inputs!$B$23)/100+Inputs!$B$23/100)/2</f>
        <v/>
      </c>
      <c r="M723">
        <f>L723*(1+(Inputs!$B$10+((C746=TRUE)*(F746-Calc!F26))+B763)/100)</f>
        <v/>
      </c>
      <c r="N723">
        <f>L723*(1-MIN((Inputs!$B$9+((C745=TRUE)*(F745-Calc!F25))+B760),100)/100)+M723*(MIN((Inputs!$B$9+((C745=TRUE)*(F745-Calc!F25))+B760),100)/100)</f>
        <v/>
      </c>
      <c r="O723">
        <f>(1-Summary!$B$55)*T723+Summary!$B$55*V723</f>
        <v/>
      </c>
      <c r="P723">
        <f>IF(B764=0,0,O723/B764)</f>
        <v/>
      </c>
      <c r="Q723">
        <f>IFERROR(1/IF(Inputs!$B$39="pvp",15,MAX(0.1,Skills!D3-IF(Skills!E3=TRUE,Inputs!$B$32,0))),0)</f>
        <v/>
      </c>
      <c r="R723">
        <f>IF(AND(Inputs!$B$39&lt;&gt;"pvp",Inputs!$B$44&gt;0),IF(MAX(0,Inputs!$B$44-B765)&lt;=0,0,(INT(MAX(0,Inputs!$B$44-B765)/IF(Inputs!$B$39="pvp",15,MAX(0.1,Skills!D3-IF(Skills!E3=TRUE,Inputs!$B$32,0))))+1)),0)</f>
        <v/>
      </c>
      <c r="S723">
        <f>IFERROR(O723/N723,0)</f>
        <v/>
      </c>
      <c r="T723">
        <f>IF(C723,(H723*N723*IF(AND(Inputs!$B$39&lt;&gt;"pvp",Inputs!$B$44&gt;0),((Skills!G3*((R723-1)*IF(Skills!H3&gt;0,Skills!I3/Skills!H3,1)+IF(Skills!H3&gt;0,MIN(Skills!I3,MAX(0,MAX(0,Inputs!$B$44-B765)-((R723-1)*IF(Inputs!$B$39="pvp",15,MAX(0.1,Skills!D3-IF(Skills!E3=TRUE,Inputs!$B$32,0))))))/Skills!H3,1)))/Inputs!$B$44),G723*Q723))*IF(Inputs!$B$39="pvp",1,1+(Inputs!$B$20+((C747=TRUE)*(F747-Calc!F27))+Skills!P3+B761)/100),0)</f>
        <v/>
      </c>
      <c r="U723">
        <f>INDEX(FactorTable!$B$2:$Y$301, MATCH(ROUND(MIN(300,MAX(1,U722)),0), FactorTable!$A$2:$A$301,0), 24)</f>
        <v/>
      </c>
      <c r="V723">
        <f>IF(C723,(H723*N723*IF(AND(Inputs!$B$39&lt;&gt;"pvp",Inputs!$B$44&gt;0),((Skills!G3*((R723-1)*IF(Skills!H3&gt;0,Skills!I3/Skills!H3,1)+IF(Skills!H3&gt;0,MIN(Skills!I3,MAX(0,MAX(0,Inputs!$B$44-B765)-((R723-1)*IF(Inputs!$B$39="pvp",15,MAX(0.1,Skills!D3-IF(Skills!E3=TRUE,Inputs!$B$32,0))))))/Skills!H3,1)))/Inputs!$B$44),G723*Q723))*IF(Inputs!$B$39="pvp",1,(1+(Inputs!$B$21+Skills!Q3+B761)/100)*(MIN(Skills!W3,Inputs!$B$37))),0)</f>
        <v/>
      </c>
    </row>
    <row r="724">
      <c r="A724">
        <f>Skills!A4</f>
        <v/>
      </c>
      <c r="B724">
        <f>Skills!B4</f>
        <v/>
      </c>
      <c r="C724">
        <f>Inputs!$B$3&gt;=40</f>
        <v/>
      </c>
      <c r="D724">
        <f>IF(Skills!C4=1,60+Inputs!$B$25+Inputs!$B$29,IF(Skills!C4=2,90+Inputs!$B$26+Inputs!$B$29,IF(Skills!C4=3,120+Inputs!$B$27+Inputs!$B$29,MAX(0,(Inputs!$B$3-100)*3)+Inputs!$B$28+Inputs!$B$29)))</f>
        <v/>
      </c>
      <c r="E724">
        <f>INDEX(FactorTable!$B$2:$Y$301, MATCH(ROUND(MIN(300,MAX(1,D724)),0), FactorTable!$A$2:$A$301,0), Skills!M4+1)</f>
        <v/>
      </c>
      <c r="F724">
        <f>IF(Skills!N4=TRUE,(Skills!L4/10)*(E724/1000),Skills!L4/10)+Skills!O4</f>
        <v/>
      </c>
      <c r="G724">
        <f>Calc!G4</f>
        <v/>
      </c>
      <c r="H724">
        <f>Calc!H4</f>
        <v/>
      </c>
      <c r="I724">
        <f>IF(Skills!AA4&lt;&gt;"",1+(Skills!AA4/10)*(U723/1000)/100,1)</f>
        <v/>
      </c>
      <c r="J724">
        <f>((Inputs!$B$6*(1+Inputs!$B$7/100))+(((Inputs!$B$12*(1+Inputs!$B$13/100))-(Inputs!$B$12*(1+Inputs!$B$13/100)))+0.25*(Inputs!$B$14-Inputs!$B$14))*(1+Inputs!$B$7/100))*(F724/100)</f>
        <v/>
      </c>
      <c r="K724">
        <f>J724*(1+((Inputs!$B$12*(1+Inputs!$B$13/100))*0.01+Inputs!$B$14*0.0025)/100)*(1+Inputs!$B$15/100)*(1+Inputs!$B$16/100)*(5000/(6000+Inputs!$B$43*(1-Inputs!$B$19/100)))*(1+(Inputs!$B$24+((C750=TRUE)*(F750-Calc!F30)))/100)*(1+Skills!R4/100)*(1+(IF(Skills!A4="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724)</f>
        <v/>
      </c>
      <c r="L724">
        <f>K724*(MIN(Inputs!$B$22+((C744=TRUE)*(F744-Calc!F24)),Inputs!$B$23)/100+Inputs!$B$23/100)/2</f>
        <v/>
      </c>
      <c r="M724">
        <f>L724*(1+(Inputs!$B$10+((C746=TRUE)*(F746-Calc!F26))+B763)/100)</f>
        <v/>
      </c>
      <c r="N724">
        <f>L724*(1-MIN((Inputs!$B$9+((C745=TRUE)*(F745-Calc!F25))+B760),100)/100)+M724*(MIN((Inputs!$B$9+((C745=TRUE)*(F745-Calc!F25))+B760),100)/100)</f>
        <v/>
      </c>
      <c r="O724">
        <f>(1-Summary!$B$55)*T724+Summary!$B$55*V724</f>
        <v/>
      </c>
      <c r="P724">
        <f>IF(B764=0,0,O724/B764)</f>
        <v/>
      </c>
      <c r="Q724">
        <f>IFERROR(1/IF(Inputs!$B$39="pvp",15,MAX(0.1,Skills!D4-IF(Skills!E4=TRUE,Inputs!$B$32,0))),0)</f>
        <v/>
      </c>
      <c r="R724">
        <f>IF(AND(Inputs!$B$39&lt;&gt;"pvp",Inputs!$B$44&gt;0),IF(MAX(0,Inputs!$B$44-B765)&lt;=0,0,(INT(MAX(0,Inputs!$B$44-B765)/IF(Inputs!$B$39="pvp",15,MAX(0.1,Skills!D4-IF(Skills!E4=TRUE,Inputs!$B$32,0))))+1)),0)</f>
        <v/>
      </c>
      <c r="S724">
        <f>IFERROR(O724/N724,0)</f>
        <v/>
      </c>
      <c r="T724">
        <f>IF(C724,(H724*N724*IF(AND(Inputs!$B$39&lt;&gt;"pvp",Inputs!$B$44&gt;0),((Skills!G4*((R724-1)*IF(Skills!H4&gt;0,Skills!I4/Skills!H4,1)+IF(Skills!H4&gt;0,MIN(Skills!I4,MAX(0,MAX(0,Inputs!$B$44-B765)-((R724-1)*IF(Inputs!$B$39="pvp",15,MAX(0.1,Skills!D4-IF(Skills!E4=TRUE,Inputs!$B$32,0))))))/Skills!H4,1)))/Inputs!$B$44),G724*Q724))*IF(Inputs!$B$39="pvp",1,1+(Inputs!$B$20+((C747=TRUE)*(F747-Calc!F27))+Skills!P4+B761)/100),0)</f>
        <v/>
      </c>
      <c r="U724">
        <f>MAX(0,(Inputs!$B$3-100)*3)+Inputs!$B$28+Inputs!$B$29</f>
        <v/>
      </c>
      <c r="V724">
        <f>IF(C724,(H724*N724*IF(AND(Inputs!$B$39&lt;&gt;"pvp",Inputs!$B$44&gt;0),((Skills!G4*((R724-1)*IF(Skills!H4&gt;0,Skills!I4/Skills!H4,1)+IF(Skills!H4&gt;0,MIN(Skills!I4,MAX(0,MAX(0,Inputs!$B$44-B765)-((R724-1)*IF(Inputs!$B$39="pvp",15,MAX(0.1,Skills!D4-IF(Skills!E4=TRUE,Inputs!$B$32,0))))))/Skills!H4,1)))/Inputs!$B$44),G724*Q724))*IF(Inputs!$B$39="pvp",1,(1+(Inputs!$B$21+Skills!Q4+B761)/100)*(MIN(Skills!W4,Inputs!$B$37))),0)</f>
        <v/>
      </c>
    </row>
    <row r="725">
      <c r="A725">
        <f>Skills!A5</f>
        <v/>
      </c>
      <c r="B725">
        <f>Skills!B5</f>
        <v/>
      </c>
      <c r="C725">
        <f>Inputs!$B$3&gt;=63</f>
        <v/>
      </c>
      <c r="D725">
        <f>IF(Skills!C5=1,60+Inputs!$B$25+Inputs!$B$29,IF(Skills!C5=2,90+Inputs!$B$26+Inputs!$B$29,IF(Skills!C5=3,120+Inputs!$B$27+Inputs!$B$29,MAX(0,(Inputs!$B$3-100)*3)+Inputs!$B$28+Inputs!$B$29)))</f>
        <v/>
      </c>
      <c r="E725">
        <f>INDEX(FactorTable!$B$2:$Y$301, MATCH(ROUND(MIN(300,MAX(1,D725)),0), FactorTable!$A$2:$A$301,0), Skills!M5+1)</f>
        <v/>
      </c>
      <c r="F725">
        <f>IF(Skills!N5=TRUE,(Skills!L5/10)*(E725/1000),Skills!L5/10)+Skills!O5</f>
        <v/>
      </c>
      <c r="G725">
        <f>Calc!G5</f>
        <v/>
      </c>
      <c r="H725">
        <f>Calc!H5</f>
        <v/>
      </c>
      <c r="I725">
        <f>IF(Skills!AA5&lt;&gt;"",1+(Skills!AA5/10)*(U723/1000)/100,1)</f>
        <v/>
      </c>
      <c r="J725">
        <f>((Inputs!$B$6*(1+Inputs!$B$7/100))+(((Inputs!$B$12*(1+Inputs!$B$13/100))-(Inputs!$B$12*(1+Inputs!$B$13/100)))+0.25*(Inputs!$B$14-Inputs!$B$14))*(1+Inputs!$B$7/100))*(F725/100)</f>
        <v/>
      </c>
      <c r="K725">
        <f>J725*(1+((Inputs!$B$12*(1+Inputs!$B$13/100))*0.01+Inputs!$B$14*0.0025)/100)*(1+Inputs!$B$15/100)*(1+Inputs!$B$16/100)*(5000/(6000+Inputs!$B$43*(1-Inputs!$B$19/100)))*(1+(Inputs!$B$24+((C750=TRUE)*(F750-Calc!F30)))/100)*(1+Skills!R5/100)*(1+(IF(Skills!A5="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725)</f>
        <v/>
      </c>
      <c r="L725">
        <f>K725*(MIN(Inputs!$B$22+((C744=TRUE)*(F744-Calc!F24)),Inputs!$B$23)/100+Inputs!$B$23/100)/2</f>
        <v/>
      </c>
      <c r="M725">
        <f>L725*(1+(Inputs!$B$10+((C746=TRUE)*(F746-Calc!F26))+B763)/100)</f>
        <v/>
      </c>
      <c r="N725">
        <f>L725*(1-MIN((Inputs!$B$9+((C745=TRUE)*(F745-Calc!F25))+B760),100)/100)+M725*(MIN((Inputs!$B$9+((C745=TRUE)*(F745-Calc!F25))+B760),100)/100)</f>
        <v/>
      </c>
      <c r="O725">
        <f>(1-Summary!$B$55)*T725+Summary!$B$55*V725</f>
        <v/>
      </c>
      <c r="P725">
        <f>IF(B764=0,0,O725/B764)</f>
        <v/>
      </c>
      <c r="Q725">
        <f>IFERROR(1/IF(Inputs!$B$39="pvp",15,MAX(0.1,Skills!D5-IF(Skills!E5=TRUE,Inputs!$B$32,0))),0)</f>
        <v/>
      </c>
      <c r="R725">
        <f>IF(AND(Inputs!$B$39&lt;&gt;"pvp",Inputs!$B$44&gt;0),IF(MAX(0,Inputs!$B$44-B765)&lt;=0,0,(INT(MAX(0,Inputs!$B$44-B765)/IF(Inputs!$B$39="pvp",15,MAX(0.1,Skills!D5-IF(Skills!E5=TRUE,Inputs!$B$32,0))))+1)),0)</f>
        <v/>
      </c>
      <c r="S725">
        <f>IFERROR(O725/N725,0)</f>
        <v/>
      </c>
      <c r="T725">
        <f>IF(C725,(H725*N725*IF(AND(Inputs!$B$39&lt;&gt;"pvp",Inputs!$B$44&gt;0),((Skills!G5*((R725-1)*IF(Skills!H5&gt;0,Skills!I5/Skills!H5,1)+IF(Skills!H5&gt;0,MIN(Skills!I5,MAX(0,MAX(0,Inputs!$B$44-B765)-((R725-1)*IF(Inputs!$B$39="pvp",15,MAX(0.1,Skills!D5-IF(Skills!E5=TRUE,Inputs!$B$32,0))))))/Skills!H5,1)))/Inputs!$B$44),G725*Q725))*IF(Inputs!$B$39="pvp",1,1+(Inputs!$B$20+((C747=TRUE)*(F747-Calc!F27))+Skills!P5+B761)/100),0)</f>
        <v/>
      </c>
      <c r="U725">
        <f>INDEX(FactorTable!$B$2:$Y$301, MATCH(ROUND(MIN(300,MAX(1,U724)),0), FactorTable!$A$2:$A$301,0), 22)</f>
        <v/>
      </c>
      <c r="V725">
        <f>IF(C725,(H725*N725*IF(AND(Inputs!$B$39&lt;&gt;"pvp",Inputs!$B$44&gt;0),((Skills!G5*((R725-1)*IF(Skills!H5&gt;0,Skills!I5/Skills!H5,1)+IF(Skills!H5&gt;0,MIN(Skills!I5,MAX(0,MAX(0,Inputs!$B$44-B765)-((R725-1)*IF(Inputs!$B$39="pvp",15,MAX(0.1,Skills!D5-IF(Skills!E5=TRUE,Inputs!$B$32,0))))))/Skills!H5,1)))/Inputs!$B$44),G725*Q725))*IF(Inputs!$B$39="pvp",1,(1+(Inputs!$B$21+Skills!Q5+B761)/100)*(MIN(Skills!W5,Inputs!$B$37))),0)</f>
        <v/>
      </c>
    </row>
    <row r="726">
      <c r="A726">
        <f>Skills!A6</f>
        <v/>
      </c>
      <c r="B726">
        <f>Skills!B6</f>
        <v/>
      </c>
      <c r="C726">
        <f>Inputs!$B$3&gt;=66</f>
        <v/>
      </c>
      <c r="D726">
        <f>IF(Skills!C6=1,60+Inputs!$B$25+Inputs!$B$29,IF(Skills!C6=2,90+Inputs!$B$26+Inputs!$B$29,IF(Skills!C6=3,120+Inputs!$B$27+Inputs!$B$29,MAX(0,(Inputs!$B$3-100)*3)+Inputs!$B$28+Inputs!$B$29)))</f>
        <v/>
      </c>
      <c r="E726">
        <f>INDEX(FactorTable!$B$2:$Y$301, MATCH(ROUND(MIN(300,MAX(1,D726)),0), FactorTable!$A$2:$A$301,0), Skills!M6+1)</f>
        <v/>
      </c>
      <c r="F726">
        <f>IF(Skills!N6=TRUE,(Skills!L6/10)*(E726/1000),Skills!L6/10)+Skills!O6</f>
        <v/>
      </c>
      <c r="G726">
        <f>Calc!G6</f>
        <v/>
      </c>
      <c r="H726">
        <f>Calc!H6</f>
        <v/>
      </c>
      <c r="I726">
        <f>IF(Skills!AA6&lt;&gt;"",1+(Skills!AA6/10)*(U723/1000)/100,1)</f>
        <v/>
      </c>
      <c r="J726" t="inlineStr"/>
      <c r="K726" t="inlineStr"/>
      <c r="L726" t="inlineStr"/>
      <c r="M726" t="inlineStr"/>
      <c r="N726" t="inlineStr"/>
      <c r="O726">
        <f>(1-Summary!$B$55)*T726+Summary!$B$55*V726</f>
        <v/>
      </c>
      <c r="P726">
        <f>IF(B764=0,0,O726/B764)</f>
        <v/>
      </c>
      <c r="Q726" t="n">
        <v>0</v>
      </c>
      <c r="R726" t="n">
        <v>0</v>
      </c>
      <c r="S726">
        <f>IFERROR(O726/N726,0)</f>
        <v/>
      </c>
      <c r="T726" t="n">
        <v>0</v>
      </c>
      <c r="U726">
        <f>290*U725/1000</f>
        <v/>
      </c>
      <c r="V726" t="n">
        <v>0</v>
      </c>
    </row>
    <row r="727">
      <c r="A727">
        <f>Skills!A7</f>
        <v/>
      </c>
      <c r="B727">
        <f>Skills!B7</f>
        <v/>
      </c>
      <c r="C727">
        <f>Inputs!$B$3&gt;=66</f>
        <v/>
      </c>
      <c r="D727">
        <f>IF(Skills!C7=1,60+Inputs!$B$25+Inputs!$B$29,IF(Skills!C7=2,90+Inputs!$B$26+Inputs!$B$29,IF(Skills!C7=3,120+Inputs!$B$27+Inputs!$B$29,MAX(0,(Inputs!$B$3-100)*3)+Inputs!$B$28+Inputs!$B$29)))</f>
        <v/>
      </c>
      <c r="E727">
        <f>INDEX(FactorTable!$B$2:$Y$301, MATCH(ROUND(MIN(300,MAX(1,D727)),0), FactorTable!$A$2:$A$301,0), Skills!M7+1)</f>
        <v/>
      </c>
      <c r="F727">
        <f>IF(Skills!N7=TRUE,(Skills!L7/10)*(E727/1000),Skills!L7/10)+Skills!O7</f>
        <v/>
      </c>
      <c r="G727">
        <f>Calc!G7</f>
        <v/>
      </c>
      <c r="H727">
        <f>Calc!H7</f>
        <v/>
      </c>
      <c r="I727">
        <f>IF(Skills!AA7&lt;&gt;"",1+(Skills!AA7/10)*(U723/1000)/100,1)</f>
        <v/>
      </c>
      <c r="J727" t="inlineStr"/>
      <c r="K727" t="inlineStr"/>
      <c r="L727" t="inlineStr"/>
      <c r="M727" t="inlineStr"/>
      <c r="N727" t="inlineStr"/>
      <c r="O727">
        <f>(1-Summary!$B$55)*T727+Summary!$B$55*V727</f>
        <v/>
      </c>
      <c r="P727">
        <f>IF(B764=0,0,O727/B764)</f>
        <v/>
      </c>
      <c r="Q727" t="n">
        <v>0</v>
      </c>
      <c r="R727" t="n">
        <v>0</v>
      </c>
      <c r="S727">
        <f>IFERROR(O727/N727,0)</f>
        <v/>
      </c>
      <c r="T727" t="n">
        <v>0</v>
      </c>
      <c r="V727" t="n">
        <v>0</v>
      </c>
    </row>
    <row r="728">
      <c r="A728">
        <f>Skills!A8</f>
        <v/>
      </c>
      <c r="B728">
        <f>Skills!B8</f>
        <v/>
      </c>
      <c r="C728">
        <f>Inputs!$B$3&gt;=69</f>
        <v/>
      </c>
      <c r="D728">
        <f>IF(Skills!C8=1,60+Inputs!$B$25+Inputs!$B$29,IF(Skills!C8=2,90+Inputs!$B$26+Inputs!$B$29,IF(Skills!C8=3,120+Inputs!$B$27+Inputs!$B$29,MAX(0,(Inputs!$B$3-100)*3)+Inputs!$B$28+Inputs!$B$29)))</f>
        <v/>
      </c>
      <c r="E728">
        <f>INDEX(FactorTable!$B$2:$Y$301, MATCH(ROUND(MIN(300,MAX(1,D728)),0), FactorTable!$A$2:$A$301,0), Skills!M8+1)</f>
        <v/>
      </c>
      <c r="F728">
        <f>IF(Skills!N8=TRUE,(Skills!L8/10)*(E728/1000),Skills!L8/10)+Skills!O8</f>
        <v/>
      </c>
      <c r="G728">
        <f>Calc!G8</f>
        <v/>
      </c>
      <c r="H728">
        <f>Calc!H8</f>
        <v/>
      </c>
      <c r="I728">
        <f>IF(Skills!AA8&lt;&gt;"",1+(Skills!AA8/10)*(U723/1000)/100,1)</f>
        <v/>
      </c>
      <c r="J728">
        <f>((Inputs!$B$6*(1+Inputs!$B$7/100))+(((Inputs!$B$12*(1+Inputs!$B$13/100))-(Inputs!$B$12*(1+Inputs!$B$13/100)))+0.25*(Inputs!$B$14-Inputs!$B$14))*(1+Inputs!$B$7/100))*(F728/100)</f>
        <v/>
      </c>
      <c r="K728">
        <f>J728*(1+((Inputs!$B$12*(1+Inputs!$B$13/100))*0.01+Inputs!$B$14*0.0025)/100)*(1+Inputs!$B$15/100)*(1+Inputs!$B$16/100)*(5000/(6000+Inputs!$B$43*(1-Inputs!$B$19/100)))*(1+(Inputs!$B$24+((C750=TRUE)*(F750-Calc!F30)))/100)*(1+Skills!R8/100)*(1+(IF(Skills!A8="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728)</f>
        <v/>
      </c>
      <c r="L728">
        <f>K728*(MIN(Inputs!$B$22+((C744=TRUE)*(F744-Calc!F24)),Inputs!$B$23)/100+Inputs!$B$23/100)/2</f>
        <v/>
      </c>
      <c r="M728">
        <f>L728*(1+(Inputs!$B$10+((C746=TRUE)*(F746-Calc!F26))+B763)/100)</f>
        <v/>
      </c>
      <c r="N728">
        <f>L728*(1-MIN((Inputs!$B$9+((C745=TRUE)*(F745-Calc!F25))+B760),100)/100)+M728*(MIN((Inputs!$B$9+((C745=TRUE)*(F745-Calc!F25))+B760),100)/100)</f>
        <v/>
      </c>
      <c r="O728">
        <f>(1-Summary!$B$55)*T728+Summary!$B$55*V728</f>
        <v/>
      </c>
      <c r="P728">
        <f>IF(B764=0,0,O728/B764)</f>
        <v/>
      </c>
      <c r="Q728">
        <f>IFERROR(1/IF(Inputs!$B$39="pvp",15,MAX(0.1,Skills!D8-IF(Skills!E8=TRUE,Inputs!$B$32,0))),0)</f>
        <v/>
      </c>
      <c r="R728">
        <f>IF(AND(Inputs!$B$39&lt;&gt;"pvp",Inputs!$B$44&gt;0),IF(MAX(0,Inputs!$B$44-B765)&lt;=0,0,(INT(MAX(0,Inputs!$B$44-B765)/IF(Inputs!$B$39="pvp",15,MAX(0.1,Skills!D8-IF(Skills!E8=TRUE,Inputs!$B$32,0))))+1)),0)</f>
        <v/>
      </c>
      <c r="S728">
        <f>IFERROR(O728/N728,0)</f>
        <v/>
      </c>
      <c r="T728">
        <f>IF(C728,(H728*N728*IF(AND(Inputs!$B$39&lt;&gt;"pvp",Inputs!$B$44&gt;0),((Skills!G8*((R728-1)*IF(Skills!H8&gt;0,Skills!I8/Skills!H8,1)+IF(Skills!H8&gt;0,MIN(Skills!I8,MAX(0,MAX(0,Inputs!$B$44-B765)-((R728-1)*IF(Inputs!$B$39="pvp",15,MAX(0.1,Skills!D8-IF(Skills!E8=TRUE,Inputs!$B$32,0))))))/Skills!H8,1)))/Inputs!$B$44),G728*Q728))*IF(Inputs!$B$39="pvp",1,1+(Inputs!$B$20+((C747=TRUE)*(F747-Calc!F27))+Skills!P8+B761)/100),0)</f>
        <v/>
      </c>
      <c r="V728">
        <f>IF(C728,(H728*N728*IF(AND(Inputs!$B$39&lt;&gt;"pvp",Inputs!$B$44&gt;0),((Skills!G8*((R728-1)*IF(Skills!H8&gt;0,Skills!I8/Skills!H8,1)+IF(Skills!H8&gt;0,MIN(Skills!I8,MAX(0,MAX(0,Inputs!$B$44-B765)-((R728-1)*IF(Inputs!$B$39="pvp",15,MAX(0.1,Skills!D8-IF(Skills!E8=TRUE,Inputs!$B$32,0))))))/Skills!H8,1)))/Inputs!$B$44),G728*Q728))*IF(Inputs!$B$39="pvp",1,(1+(Inputs!$B$21+Skills!Q8+B761)/100)*(MIN(Skills!W8,Inputs!$B$37))),0)</f>
        <v/>
      </c>
    </row>
    <row r="729">
      <c r="A729">
        <f>Skills!A9</f>
        <v/>
      </c>
      <c r="B729">
        <f>Skills!B9</f>
        <v/>
      </c>
      <c r="C729">
        <f>Inputs!$B$3&gt;=72</f>
        <v/>
      </c>
      <c r="D729">
        <f>IF(Skills!C9=1,60+Inputs!$B$25+Inputs!$B$29,IF(Skills!C9=2,90+Inputs!$B$26+Inputs!$B$29,IF(Skills!C9=3,120+Inputs!$B$27+Inputs!$B$29,MAX(0,(Inputs!$B$3-100)*3)+Inputs!$B$28+Inputs!$B$29)))</f>
        <v/>
      </c>
      <c r="E729">
        <f>INDEX(FactorTable!$B$2:$Y$301, MATCH(ROUND(MIN(300,MAX(1,D729)),0), FactorTable!$A$2:$A$301,0), Skills!M9+1)</f>
        <v/>
      </c>
      <c r="F729">
        <f>IF(Skills!N9=TRUE,(Skills!L9/10)*(E729/1000),Skills!L9/10)+Skills!O9</f>
        <v/>
      </c>
      <c r="G729">
        <f>Calc!G9</f>
        <v/>
      </c>
      <c r="H729">
        <f>Calc!H9</f>
        <v/>
      </c>
      <c r="I729">
        <f>IF(Skills!AA9&lt;&gt;"",1+(Skills!AA9/10)*(U723/1000)/100,1)</f>
        <v/>
      </c>
      <c r="J729">
        <f>((Inputs!$B$6*(1+Inputs!$B$7/100))+(((Inputs!$B$12*(1+Inputs!$B$13/100))-(Inputs!$B$12*(1+Inputs!$B$13/100)))+0.25*(Inputs!$B$14-Inputs!$B$14))*(1+Inputs!$B$7/100))*(F729/100)</f>
        <v/>
      </c>
      <c r="K729">
        <f>J729*(1+((Inputs!$B$12*(1+Inputs!$B$13/100))*0.01+Inputs!$B$14*0.0025)/100)*(1+Inputs!$B$15/100)*(1+Inputs!$B$16/100)*(5000/(6000+Inputs!$B$43*(1-Inputs!$B$19/100)))*(1+(Inputs!$B$24+((C750=TRUE)*(F750-Calc!F30)))/100)*(1+Skills!R9/100)*(1+(IF(Skills!A9="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729)</f>
        <v/>
      </c>
      <c r="L729">
        <f>K729*(MIN(Inputs!$B$22+((C744=TRUE)*(F744-Calc!F24)),Inputs!$B$23)/100+Inputs!$B$23/100)/2</f>
        <v/>
      </c>
      <c r="M729">
        <f>L729*(1+(Inputs!$B$10+((C746=TRUE)*(F746-Calc!F26))+B763)/100)</f>
        <v/>
      </c>
      <c r="N729">
        <f>L729*(1-MIN((Inputs!$B$9+((C745=TRUE)*(F745-Calc!F25))+B760),100)/100)+M729*(MIN((Inputs!$B$9+((C745=TRUE)*(F745-Calc!F25))+B760),100)/100)</f>
        <v/>
      </c>
      <c r="O729">
        <f>(1-Summary!$B$55)*T729+Summary!$B$55*V729</f>
        <v/>
      </c>
      <c r="P729">
        <f>IF(B764=0,0,O729/B764)</f>
        <v/>
      </c>
      <c r="Q729">
        <f>IFERROR(1/IF(Inputs!$B$39="pvp",15,MAX(0.1,Skills!D9-IF(Skills!E9=TRUE,Inputs!$B$32,0))),0)</f>
        <v/>
      </c>
      <c r="R729">
        <f>IF(AND(Inputs!$B$39&lt;&gt;"pvp",Inputs!$B$44&gt;0),IF(MAX(0,Inputs!$B$44-B765)&lt;=0,0,(INT(MAX(0,Inputs!$B$44-B765)/IF(Inputs!$B$39="pvp",15,MAX(0.1,Skills!D9-IF(Skills!E9=TRUE,Inputs!$B$32,0))))+1)),0)</f>
        <v/>
      </c>
      <c r="S729">
        <f>IFERROR(O729/N729,0)</f>
        <v/>
      </c>
      <c r="T729">
        <f>IF(C729,(H729*N729*IF(AND(Inputs!$B$39&lt;&gt;"pvp",Inputs!$B$44&gt;0),((Skills!G9*((R729-1)*IF(Skills!H9&gt;0,Skills!I9/Skills!H9,1)+IF(Skills!H9&gt;0,MIN(Skills!I9,MAX(0,MAX(0,Inputs!$B$44-B765)-((R729-1)*IF(Inputs!$B$39="pvp",15,MAX(0.1,Skills!D9-IF(Skills!E9=TRUE,Inputs!$B$32,0))))))/Skills!H9,1)))/Inputs!$B$44),G729*Q729))*IF(Inputs!$B$39="pvp",1,1+(Inputs!$B$20+((C747=TRUE)*(F747-Calc!F27))+Skills!P9+B761)/100),0)</f>
        <v/>
      </c>
      <c r="V729">
        <f>IF(C729,(H729*N729*IF(AND(Inputs!$B$39&lt;&gt;"pvp",Inputs!$B$44&gt;0),((Skills!G9*((R729-1)*IF(Skills!H9&gt;0,Skills!I9/Skills!H9,1)+IF(Skills!H9&gt;0,MIN(Skills!I9,MAX(0,MAX(0,Inputs!$B$44-B765)-((R729-1)*IF(Inputs!$B$39="pvp",15,MAX(0.1,Skills!D9-IF(Skills!E9=TRUE,Inputs!$B$32,0))))))/Skills!H9,1)))/Inputs!$B$44),G729*Q729))*IF(Inputs!$B$39="pvp",1,(1+(Inputs!$B$21+Skills!Q9+B761)/100)*(MIN(Skills!W9,Inputs!$B$37))),0)</f>
        <v/>
      </c>
    </row>
    <row r="730">
      <c r="A730">
        <f>Skills!A10</f>
        <v/>
      </c>
      <c r="B730">
        <f>Skills!B10</f>
        <v/>
      </c>
      <c r="C730">
        <f>Inputs!$B$3&gt;=117</f>
        <v/>
      </c>
      <c r="D730">
        <f>IF(Skills!C10=1,60+Inputs!$B$25+Inputs!$B$29,IF(Skills!C10=2,90+Inputs!$B$26+Inputs!$B$29,IF(Skills!C10=3,120+Inputs!$B$27+Inputs!$B$29,MAX(0,(Inputs!$B$3-100)*3)+Inputs!$B$28+Inputs!$B$29)))</f>
        <v/>
      </c>
      <c r="E730">
        <f>INDEX(FactorTable!$B$2:$Y$301, MATCH(ROUND(MIN(300,MAX(1,D730)),0), FactorTable!$A$2:$A$301,0), Skills!M10+1)</f>
        <v/>
      </c>
      <c r="F730">
        <f>IF(Skills!N10=TRUE,(Skills!L10/10)*(E730/1000),Skills!L10/10)+Skills!O10</f>
        <v/>
      </c>
      <c r="G730">
        <f>Calc!G10</f>
        <v/>
      </c>
      <c r="H730">
        <f>Calc!H10</f>
        <v/>
      </c>
      <c r="I730">
        <f>IF(Skills!AA10&lt;&gt;"",1+(Skills!AA10/10)*(U723/1000)/100,1)</f>
        <v/>
      </c>
      <c r="J730">
        <f>((Inputs!$B$6*(1+Inputs!$B$7/100))+(((Inputs!$B$12*(1+Inputs!$B$13/100))-(Inputs!$B$12*(1+Inputs!$B$13/100)))+0.25*(Inputs!$B$14-Inputs!$B$14))*(1+Inputs!$B$7/100))*(F730/100)</f>
        <v/>
      </c>
      <c r="K730">
        <f>J730*(1+((Inputs!$B$12*(1+Inputs!$B$13/100))*0.01+Inputs!$B$14*0.0025)/100)*(1+Inputs!$B$15/100)*(1+Inputs!$B$16/100)*(5000/(6000+Inputs!$B$43*(1-Inputs!$B$19/100)))*(1+(Inputs!$B$24+((C750=TRUE)*(F750-Calc!F30)))/100)*(1+Skills!R10/100)*(1+(IF(Skills!A10="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730)</f>
        <v/>
      </c>
      <c r="L730">
        <f>K730*(MIN(Inputs!$B$22+((C744=TRUE)*(F744-Calc!F24)),Inputs!$B$23)/100+Inputs!$B$23/100)/2</f>
        <v/>
      </c>
      <c r="M730">
        <f>L730*(1+(Inputs!$B$10+((C746=TRUE)*(F746-Calc!F26))+B763)/100)</f>
        <v/>
      </c>
      <c r="N730">
        <f>L730*(1-MIN((Inputs!$B$9+((C745=TRUE)*(F745-Calc!F25))+B760),100)/100)+M730*(MIN((Inputs!$B$9+((C745=TRUE)*(F745-Calc!F25))+B760),100)/100)</f>
        <v/>
      </c>
      <c r="O730">
        <f>(1-Summary!$B$55)*T730+Summary!$B$55*V730</f>
        <v/>
      </c>
      <c r="P730">
        <f>IF(B764=0,0,O730/B764)</f>
        <v/>
      </c>
      <c r="Q730" t="n">
        <v>0</v>
      </c>
      <c r="R730" t="n">
        <v>0</v>
      </c>
      <c r="S730" t="n">
        <v>0</v>
      </c>
      <c r="T730">
        <f>IF(C730,(0.2*SUMPRODUCT((Skills!Z2:Z31=TRUE)*(C722:C751=TRUE)*S722:S751)*N730)*IF(Inputs!$B$39="pvp",1,1+(Inputs!$B$20+((C747=TRUE)*(F747-Calc!F27))+Skills!P10+B761)/100),0)</f>
        <v/>
      </c>
      <c r="V730">
        <f>IF(C730,(0.2*SUMPRODUCT((Skills!Z2:Z31=TRUE)*(C722:C751=TRUE)*S722:S751)*N730)*IF(Inputs!$B$39="pvp",1,(1+(Inputs!$B$21+Skills!Q10+B761)/100)*(MIN(Skills!W10,Inputs!$B$37))),0)</f>
        <v/>
      </c>
    </row>
    <row r="731">
      <c r="A731">
        <f>Skills!A11</f>
        <v/>
      </c>
      <c r="B731">
        <f>Skills!B11</f>
        <v/>
      </c>
      <c r="C731">
        <f>Inputs!$B$3&gt;=60</f>
        <v/>
      </c>
      <c r="D731">
        <f>IF(Skills!C11=1,60+Inputs!$B$25+Inputs!$B$29,IF(Skills!C11=2,90+Inputs!$B$26+Inputs!$B$29,IF(Skills!C11=3,120+Inputs!$B$27+Inputs!$B$29,MAX(0,(Inputs!$B$3-100)*3)+Inputs!$B$28+Inputs!$B$29)))</f>
        <v/>
      </c>
      <c r="E731">
        <f>INDEX(FactorTable!$B$2:$Y$301, MATCH(ROUND(MIN(300,MAX(1,D731)),0), FactorTable!$A$2:$A$301,0), Skills!M11+1)</f>
        <v/>
      </c>
      <c r="F731">
        <f>IF(Skills!N11=TRUE,(Skills!L11/10)*(E731/1000),Skills!L11/10)+Skills!O11</f>
        <v/>
      </c>
      <c r="G731">
        <f>Calc!G11</f>
        <v/>
      </c>
      <c r="H731">
        <f>Calc!H11</f>
        <v/>
      </c>
      <c r="I731">
        <f>IF(Skills!AA11&lt;&gt;"",1+(Skills!AA11/10)*(U723/1000)/100,1)</f>
        <v/>
      </c>
      <c r="J731" t="inlineStr"/>
      <c r="K731" t="inlineStr"/>
      <c r="L731" t="inlineStr"/>
      <c r="M731" t="inlineStr"/>
      <c r="N731" t="inlineStr"/>
      <c r="O731">
        <f>(1-Summary!$B$55)*T731+Summary!$B$55*V731</f>
        <v/>
      </c>
      <c r="P731">
        <f>IF(B764=0,0,O731/B764)</f>
        <v/>
      </c>
      <c r="Q731" t="n">
        <v>0</v>
      </c>
      <c r="R731" t="n">
        <v>0</v>
      </c>
      <c r="S731">
        <f>IFERROR(O731/N731,0)</f>
        <v/>
      </c>
      <c r="T731" t="n">
        <v>0</v>
      </c>
      <c r="V731" t="n">
        <v>0</v>
      </c>
    </row>
    <row r="732">
      <c r="A732">
        <f>Skills!A12</f>
        <v/>
      </c>
      <c r="B732">
        <f>Skills!B12</f>
        <v/>
      </c>
      <c r="C732">
        <f>Inputs!$B$3&gt;=103</f>
        <v/>
      </c>
      <c r="D732">
        <f>IF(Skills!C12=1,60+Inputs!$B$25+Inputs!$B$29,IF(Skills!C12=2,90+Inputs!$B$26+Inputs!$B$29,IF(Skills!C12=3,120+Inputs!$B$27+Inputs!$B$29,MAX(0,(Inputs!$B$3-100)*3)+Inputs!$B$28+Inputs!$B$29)))</f>
        <v/>
      </c>
      <c r="E732">
        <f>INDEX(FactorTable!$B$2:$Y$301, MATCH(ROUND(MIN(300,MAX(1,D732)),0), FactorTable!$A$2:$A$301,0), Skills!M12+1)</f>
        <v/>
      </c>
      <c r="F732">
        <f>IF(Skills!N12=TRUE,(Skills!L12/10)*(E732/1000),Skills!L12/10)+Skills!O12</f>
        <v/>
      </c>
      <c r="G732">
        <f>Calc!G12</f>
        <v/>
      </c>
      <c r="H732">
        <f>Calc!H12</f>
        <v/>
      </c>
      <c r="I732">
        <f>IF(Skills!AA12&lt;&gt;"",1+(Skills!AA12/10)*(U723/1000)/100,1)</f>
        <v/>
      </c>
      <c r="J732">
        <f>((Inputs!$B$6*(1+Inputs!$B$7/100))+(((Inputs!$B$12*(1+Inputs!$B$13/100))-(Inputs!$B$12*(1+Inputs!$B$13/100)))+0.25*(Inputs!$B$14-Inputs!$B$14))*(1+Inputs!$B$7/100))*(F732/100)</f>
        <v/>
      </c>
      <c r="K732">
        <f>J732*(1+((Inputs!$B$12*(1+Inputs!$B$13/100))*0.01+Inputs!$B$14*0.0025)/100)*(1+Inputs!$B$15/100)*(1+Inputs!$B$16/100)*(5000/(6000+Inputs!$B$43*(1-Inputs!$B$19/100)))*(1+(Inputs!$B$24+((C750=TRUE)*(F750-Calc!F30)))/100)*(1+Skills!R12/100)*(1+(IF(Skills!A12="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732)</f>
        <v/>
      </c>
      <c r="L732">
        <f>K732*(MIN(Inputs!$B$22+((C744=TRUE)*(F744-Calc!F24)),Inputs!$B$23)/100+Inputs!$B$23/100)/2</f>
        <v/>
      </c>
      <c r="M732">
        <f>L732*(1+(Inputs!$B$10+((C746=TRUE)*(F746-Calc!F26))+B763)/100)</f>
        <v/>
      </c>
      <c r="N732">
        <f>L732*(1-MIN((Inputs!$B$9+((C745=TRUE)*(F745-Calc!F25))+B760),100)/100)+M732*(MIN((Inputs!$B$9+((C745=TRUE)*(F745-Calc!F25))+B760),100)/100)</f>
        <v/>
      </c>
      <c r="O732">
        <f>(1-Summary!$B$55)*T732+Summary!$B$55*V732</f>
        <v/>
      </c>
      <c r="P732">
        <f>IF(B764=0,0,O732/B764)</f>
        <v/>
      </c>
      <c r="Q732">
        <f>IFERROR(1/IF(Inputs!$B$39="pvp",15,MAX(0.1,Skills!D12-IF(Skills!E12=TRUE,Inputs!$B$32,0))),0)</f>
        <v/>
      </c>
      <c r="R732">
        <f>IF(AND(Inputs!$B$39&lt;&gt;"pvp",Inputs!$B$44&gt;0),IF(MAX(0,Inputs!$B$44-B765)&lt;=0,0,(INT(MAX(0,Inputs!$B$44-B765)/IF(Inputs!$B$39="pvp",15,MAX(0.1,Skills!D12-IF(Skills!E12=TRUE,Inputs!$B$32,0))))+1)),0)</f>
        <v/>
      </c>
      <c r="S732">
        <f>IFERROR(O732/N732,0)</f>
        <v/>
      </c>
      <c r="T732">
        <f>IF(C732,(H732*N732*IF(AND(Inputs!$B$39&lt;&gt;"pvp",Inputs!$B$44&gt;0),((Skills!G12*((R732-1)*IF(Skills!H12&gt;0,Skills!I12/Skills!H12,1)+IF(Skills!H12&gt;0,MIN(Skills!I12,MAX(0,MAX(0,Inputs!$B$44-B765)-((R732-1)*IF(Inputs!$B$39="pvp",15,MAX(0.1,Skills!D12-IF(Skills!E12=TRUE,Inputs!$B$32,0))))))/Skills!H12,1)))/Inputs!$B$44),G732*Q732))*IF(Inputs!$B$39="pvp",1,1+(Inputs!$B$20+((C747=TRUE)*(F747-Calc!F27))+Skills!P12+B761)/100),0)</f>
        <v/>
      </c>
      <c r="V732">
        <f>IF(C732,(H732*N732*IF(AND(Inputs!$B$39&lt;&gt;"pvp",Inputs!$B$44&gt;0),((Skills!G12*((R732-1)*IF(Skills!H12&gt;0,Skills!I12/Skills!H12,1)+IF(Skills!H12&gt;0,MIN(Skills!I12,MAX(0,MAX(0,Inputs!$B$44-B765)-((R732-1)*IF(Inputs!$B$39="pvp",15,MAX(0.1,Skills!D12-IF(Skills!E12=TRUE,Inputs!$B$32,0))))))/Skills!H12,1)))/Inputs!$B$44),G732*Q732))*IF(Inputs!$B$39="pvp",1,(1+(Inputs!$B$21+Skills!Q12+B761)/100)*(MIN(Skills!W12,Inputs!$B$37))),0)</f>
        <v/>
      </c>
    </row>
    <row r="733">
      <c r="A733">
        <f>Skills!A13</f>
        <v/>
      </c>
      <c r="B733">
        <f>Skills!B13</f>
        <v/>
      </c>
      <c r="C733">
        <f>Inputs!$B$3&gt;=105</f>
        <v/>
      </c>
      <c r="D733">
        <f>IF(Skills!C13=1,60+Inputs!$B$25+Inputs!$B$29,IF(Skills!C13=2,90+Inputs!$B$26+Inputs!$B$29,IF(Skills!C13=3,120+Inputs!$B$27+Inputs!$B$29,MAX(0,(Inputs!$B$3-100)*3)+Inputs!$B$28+Inputs!$B$29)))</f>
        <v/>
      </c>
      <c r="E733">
        <f>INDEX(FactorTable!$B$2:$Y$301, MATCH(ROUND(MIN(300,MAX(1,D733)),0), FactorTable!$A$2:$A$301,0), Skills!M13+1)</f>
        <v/>
      </c>
      <c r="F733">
        <f>IF(Skills!N13=TRUE,(Skills!L13/10)*(E733/1000),Skills!L13/10)+Skills!O13</f>
        <v/>
      </c>
      <c r="G733">
        <f>Calc!G13</f>
        <v/>
      </c>
      <c r="H733">
        <f>Calc!H13</f>
        <v/>
      </c>
      <c r="I733">
        <f>IF(Skills!AA13&lt;&gt;"",1+(Skills!AA13/10)*(U723/1000)/100,1)</f>
        <v/>
      </c>
      <c r="J733">
        <f>((Inputs!$B$6*(1+Inputs!$B$7/100))+(((Inputs!$B$12*(1+Inputs!$B$13/100))-(Inputs!$B$12*(1+Inputs!$B$13/100)))+0.25*(Inputs!$B$14-Inputs!$B$14))*(1+Inputs!$B$7/100))*(F733/100)</f>
        <v/>
      </c>
      <c r="K733">
        <f>J733*(1+((Inputs!$B$12*(1+Inputs!$B$13/100))*0.01+Inputs!$B$14*0.0025)/100)*(1+Inputs!$B$15/100)*(1+Inputs!$B$16/100)*(5000/(6000+Inputs!$B$43*(1-Inputs!$B$19/100)))*(1+(Inputs!$B$24+((C750=TRUE)*(F750-Calc!F30)))/100)*(1+Skills!R13/100)*(1+(IF(Skills!A13="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733)</f>
        <v/>
      </c>
      <c r="L733">
        <f>K733*(MIN(Inputs!$B$22+((C744=TRUE)*(F744-Calc!F24)),Inputs!$B$23)/100+Inputs!$B$23/100)/2</f>
        <v/>
      </c>
      <c r="M733">
        <f>L733*(1+(Inputs!$B$10+((C746=TRUE)*(F746-Calc!F26))+B763)/100)</f>
        <v/>
      </c>
      <c r="N733">
        <f>L733*(1-MIN((Inputs!$B$9+((C745=TRUE)*(F745-Calc!F25))+B760),100)/100)+M733*(MIN((Inputs!$B$9+((C745=TRUE)*(F745-Calc!F25))+B760),100)/100)</f>
        <v/>
      </c>
      <c r="O733">
        <f>(1-Summary!$B$55)*T733+Summary!$B$55*V733</f>
        <v/>
      </c>
      <c r="P733">
        <f>IF(B764=0,0,O733/B764)</f>
        <v/>
      </c>
      <c r="Q733">
        <f>IFERROR(1/IF(Inputs!$B$39="pvp",15,MAX(0.1,Skills!D13-IF(Skills!E13=TRUE,Inputs!$B$32,0))),0)</f>
        <v/>
      </c>
      <c r="R733">
        <f>IF(AND(Inputs!$B$39&lt;&gt;"pvp",Inputs!$B$44&gt;0),IF(MAX(0,Inputs!$B$44-B765)&lt;=0,0,(INT(MAX(0,Inputs!$B$44-B765)/IF(Inputs!$B$39="pvp",15,MAX(0.1,Skills!D13-IF(Skills!E13=TRUE,Inputs!$B$32,0))))+1)),0)</f>
        <v/>
      </c>
      <c r="S733">
        <f>IFERROR(O733/N733,0)</f>
        <v/>
      </c>
      <c r="T733">
        <f>IF(C733,(H733*N733*IF(AND(Inputs!$B$39&lt;&gt;"pvp",Inputs!$B$44&gt;0),((Skills!G13*((R733-1)*IF(Skills!H13&gt;0,Skills!I13/Skills!H13,1)+IF(Skills!H13&gt;0,MIN(Skills!I13,MAX(0,MAX(0,Inputs!$B$44-B765)-((R733-1)*IF(Inputs!$B$39="pvp",15,MAX(0.1,Skills!D13-IF(Skills!E13=TRUE,Inputs!$B$32,0))))))/Skills!H13,1)))/Inputs!$B$44),G733*Q733))*IF(Inputs!$B$39="pvp",1,1+(Inputs!$B$20+((C747=TRUE)*(F747-Calc!F27))+Skills!P13+B761)/100),0)</f>
        <v/>
      </c>
      <c r="V733">
        <f>IF(C733,(H733*N733*IF(AND(Inputs!$B$39&lt;&gt;"pvp",Inputs!$B$44&gt;0),((Skills!G13*((R733-1)*IF(Skills!H13&gt;0,Skills!I13/Skills!H13,1)+IF(Skills!H13&gt;0,MIN(Skills!I13,MAX(0,MAX(0,Inputs!$B$44-B765)-((R733-1)*IF(Inputs!$B$39="pvp",15,MAX(0.1,Skills!D13-IF(Skills!E13=TRUE,Inputs!$B$32,0))))))/Skills!H13,1)))/Inputs!$B$44),G733*Q733))*IF(Inputs!$B$39="pvp",1,(1+(Inputs!$B$21+Skills!Q13+B761)/100)*(MIN(Skills!W13,Inputs!$B$37))),0)</f>
        <v/>
      </c>
    </row>
    <row r="734">
      <c r="A734">
        <f>Skills!A14</f>
        <v/>
      </c>
      <c r="B734">
        <f>Skills!B14</f>
        <v/>
      </c>
      <c r="C734">
        <f>Inputs!$B$3&gt;=105</f>
        <v/>
      </c>
      <c r="D734">
        <f>IF(Skills!C14=1,60+Inputs!$B$25+Inputs!$B$29,IF(Skills!C14=2,90+Inputs!$B$26+Inputs!$B$29,IF(Skills!C14=3,120+Inputs!$B$27+Inputs!$B$29,MAX(0,(Inputs!$B$3-100)*3)+Inputs!$B$28+Inputs!$B$29)))</f>
        <v/>
      </c>
      <c r="E734">
        <f>INDEX(FactorTable!$B$2:$Y$301, MATCH(ROUND(MIN(300,MAX(1,D734)),0), FactorTable!$A$2:$A$301,0), Skills!M14+1)</f>
        <v/>
      </c>
      <c r="F734">
        <f>IF(Skills!N14=TRUE,(Skills!L14/10)*(E734/1000),Skills!L14/10)+Skills!O14</f>
        <v/>
      </c>
      <c r="G734">
        <f>Calc!G14</f>
        <v/>
      </c>
      <c r="H734">
        <f>Calc!H14</f>
        <v/>
      </c>
      <c r="I734">
        <f>IF(Skills!AA14&lt;&gt;"",1+(Skills!AA14/10)*(U723/1000)/100,1)</f>
        <v/>
      </c>
      <c r="J734">
        <f>((Inputs!$B$6*(1+Inputs!$B$7/100))+(((Inputs!$B$12*(1+Inputs!$B$13/100))-(Inputs!$B$12*(1+Inputs!$B$13/100)))+0.25*(Inputs!$B$14-Inputs!$B$14))*(1+Inputs!$B$7/100))*(F734/100)</f>
        <v/>
      </c>
      <c r="K734">
        <f>J734*(1+((Inputs!$B$12*(1+Inputs!$B$13/100))*0.01+Inputs!$B$14*0.0025)/100)*(1+Inputs!$B$15/100)*(1+Inputs!$B$16/100)*(5000/(6000+Inputs!$B$43*(1-Inputs!$B$19/100)))*(1+(Inputs!$B$24+((C750=TRUE)*(F750-Calc!F30)))/100)*(1+Skills!R14/100)*(1+(IF(Skills!A14="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734)</f>
        <v/>
      </c>
      <c r="L734">
        <f>K734*(MIN(Inputs!$B$22+((C744=TRUE)*(F744-Calc!F24)),Inputs!$B$23)/100+Inputs!$B$23/100)/2</f>
        <v/>
      </c>
      <c r="M734">
        <f>L734*(1+(Inputs!$B$10+((C746=TRUE)*(F746-Calc!F26))+B763)/100)</f>
        <v/>
      </c>
      <c r="N734">
        <f>L734*(1-MIN((Inputs!$B$9+((C745=TRUE)*(F745-Calc!F25))+B760),100)/100)+M734*(MIN((Inputs!$B$9+((C745=TRUE)*(F745-Calc!F25))+B760),100)/100)</f>
        <v/>
      </c>
      <c r="O734">
        <f>(1-Summary!$B$55)*T734+Summary!$B$55*V734</f>
        <v/>
      </c>
      <c r="P734">
        <f>IF(B764=0,0,O734/B764)</f>
        <v/>
      </c>
      <c r="Q734">
        <f>IFERROR(1/IF(Inputs!$B$39="pvp",15,MAX(0.1,Skills!D14-IF(Skills!E14=TRUE,Inputs!$B$32,0))),0)</f>
        <v/>
      </c>
      <c r="R734">
        <f>IF(AND(Inputs!$B$39&lt;&gt;"pvp",Inputs!$B$44&gt;0),IF(MAX(0,Inputs!$B$44-B765)&lt;=0,0,(INT(MAX(0,Inputs!$B$44-B765)/IF(Inputs!$B$39="pvp",15,MAX(0.1,Skills!D14-IF(Skills!E14=TRUE,Inputs!$B$32,0))))+1)),0)</f>
        <v/>
      </c>
      <c r="S734">
        <f>IFERROR(O734/N734,0)</f>
        <v/>
      </c>
      <c r="T734">
        <f>IF(C734,(H734*N734*IF(AND(Inputs!$B$39&lt;&gt;"pvp",Inputs!$B$44&gt;0),((Skills!G14*((R734-1)*IF(Skills!H14&gt;0,Skills!I14/Skills!H14,1)+IF(Skills!H14&gt;0,MIN(Skills!I14,MAX(0,MAX(0,Inputs!$B$44-B765)-((R734-1)*IF(Inputs!$B$39="pvp",15,MAX(0.1,Skills!D14-IF(Skills!E14=TRUE,Inputs!$B$32,0))))))/Skills!H14,1)))/Inputs!$B$44),G734*Q734))*IF(Inputs!$B$39="pvp",1,1+(Inputs!$B$20+((C747=TRUE)*(F747-Calc!F27))+Skills!P14+B761)/100),0)</f>
        <v/>
      </c>
      <c r="V734">
        <f>IF(C734,(H734*N734*IF(AND(Inputs!$B$39&lt;&gt;"pvp",Inputs!$B$44&gt;0),((Skills!G14*((R734-1)*IF(Skills!H14&gt;0,Skills!I14/Skills!H14,1)+IF(Skills!H14&gt;0,MIN(Skills!I14,MAX(0,MAX(0,Inputs!$B$44-B765)-((R734-1)*IF(Inputs!$B$39="pvp",15,MAX(0.1,Skills!D14-IF(Skills!E14=TRUE,Inputs!$B$32,0))))))/Skills!H14,1)))/Inputs!$B$44),G734*Q734))*IF(Inputs!$B$39="pvp",1,(1+(Inputs!$B$21+Skills!Q14+B761)/100)*(MIN(Skills!W14,Inputs!$B$37))),0)</f>
        <v/>
      </c>
    </row>
    <row r="735">
      <c r="A735">
        <f>Skills!A15</f>
        <v/>
      </c>
      <c r="B735">
        <f>Skills!B15</f>
        <v/>
      </c>
      <c r="C735">
        <f>Inputs!$B$3&gt;=110</f>
        <v/>
      </c>
      <c r="D735">
        <f>IF(Skills!C15=1,60+Inputs!$B$25+Inputs!$B$29,IF(Skills!C15=2,90+Inputs!$B$26+Inputs!$B$29,IF(Skills!C15=3,120+Inputs!$B$27+Inputs!$B$29,MAX(0,(Inputs!$B$3-100)*3)+Inputs!$B$28+Inputs!$B$29)))</f>
        <v/>
      </c>
      <c r="E735">
        <f>INDEX(FactorTable!$B$2:$Y$301, MATCH(ROUND(MIN(300,MAX(1,D735)),0), FactorTable!$A$2:$A$301,0), Skills!M15+1)</f>
        <v/>
      </c>
      <c r="F735">
        <f>IF(Skills!N15=TRUE,(Skills!L15/10)*(E735/1000),Skills!L15/10)+Skills!O15</f>
        <v/>
      </c>
      <c r="G735">
        <f>Calc!G15</f>
        <v/>
      </c>
      <c r="H735">
        <f>Calc!H15</f>
        <v/>
      </c>
      <c r="I735">
        <f>IF(Skills!AA15&lt;&gt;"",1+(Skills!AA15/10)*(U723/1000)/100,1)</f>
        <v/>
      </c>
      <c r="J735" t="inlineStr"/>
      <c r="K735" t="inlineStr"/>
      <c r="L735" t="inlineStr"/>
      <c r="M735" t="inlineStr"/>
      <c r="N735" t="inlineStr"/>
      <c r="O735">
        <f>(1-Summary!$B$55)*T735+Summary!$B$55*V735</f>
        <v/>
      </c>
      <c r="P735">
        <f>IF(B764=0,0,O735/B764)</f>
        <v/>
      </c>
      <c r="Q735">
        <f>IFERROR(1/IF(Inputs!$B$39="pvp",15,MAX(0.1,Skills!D15-IF(Skills!E15=TRUE,Inputs!$B$32,0))),0)</f>
        <v/>
      </c>
      <c r="R735">
        <f>IF(AND(Inputs!$B$39&lt;&gt;"pvp",Inputs!$B$44&gt;0),IF(Inputs!$B$44&lt;=0,0,(INT(Inputs!$B$44/IF(Inputs!$B$39="pvp",15,MAX(0.1,Skills!D15-IF(Skills!E15=TRUE,Inputs!$B$32,0))))+1)),0)</f>
        <v/>
      </c>
      <c r="S735">
        <f>IFERROR(O735/N735,0)</f>
        <v/>
      </c>
      <c r="T735" t="n">
        <v>0</v>
      </c>
      <c r="V735" t="n">
        <v>0</v>
      </c>
    </row>
    <row r="736">
      <c r="A736">
        <f>Skills!A16</f>
        <v/>
      </c>
      <c r="B736">
        <f>Skills!B16</f>
        <v/>
      </c>
      <c r="C736">
        <f>Inputs!$B$3&gt;=110</f>
        <v/>
      </c>
      <c r="D736">
        <f>IF(Skills!C16=1,60+Inputs!$B$25+Inputs!$B$29,IF(Skills!C16=2,90+Inputs!$B$26+Inputs!$B$29,IF(Skills!C16=3,120+Inputs!$B$27+Inputs!$B$29,MAX(0,(Inputs!$B$3-100)*3)+Inputs!$B$28+Inputs!$B$29)))</f>
        <v/>
      </c>
      <c r="E736">
        <f>INDEX(FactorTable!$B$2:$Y$301, MATCH(ROUND(MIN(300,MAX(1,D736)),0), FactorTable!$A$2:$A$301,0), Skills!M16+1)</f>
        <v/>
      </c>
      <c r="F736">
        <f>IF(Skills!N16=TRUE,(Skills!L16/10)*(E736/1000),Skills!L16/10)+Skills!O16</f>
        <v/>
      </c>
      <c r="G736">
        <f>Calc!G16</f>
        <v/>
      </c>
      <c r="H736">
        <f>Calc!H16</f>
        <v/>
      </c>
      <c r="I736">
        <f>IF(Skills!AA16&lt;&gt;"",1+(Skills!AA16/10)*(U723/1000)/100,1)</f>
        <v/>
      </c>
      <c r="J736" t="inlineStr"/>
      <c r="K736" t="inlineStr"/>
      <c r="L736" t="inlineStr"/>
      <c r="M736" t="inlineStr"/>
      <c r="N736" t="inlineStr"/>
      <c r="O736">
        <f>(1-Summary!$B$55)*T736+Summary!$B$55*V736</f>
        <v/>
      </c>
      <c r="P736">
        <f>IF(B764=0,0,O736/B764)</f>
        <v/>
      </c>
      <c r="Q736">
        <f>IFERROR(1/IF(Inputs!$B$39="pvp",15,MAX(0.1,Skills!D16-IF(Skills!E16=TRUE,Inputs!$B$32,0))),0)</f>
        <v/>
      </c>
      <c r="R736">
        <f>IF(AND(Inputs!$B$39&lt;&gt;"pvp",Inputs!$B$44&gt;0),IF(Inputs!$B$44&lt;=0,0,(INT(Inputs!$B$44/IF(Inputs!$B$39="pvp",15,MAX(0.1,Skills!D16-IF(Skills!E16=TRUE,Inputs!$B$32,0))))+1)),0)</f>
        <v/>
      </c>
      <c r="S736">
        <f>IFERROR(O736/N736,0)</f>
        <v/>
      </c>
      <c r="T736" t="n">
        <v>0</v>
      </c>
      <c r="V736" t="n">
        <v>0</v>
      </c>
    </row>
    <row r="737">
      <c r="A737">
        <f>Skills!A17</f>
        <v/>
      </c>
      <c r="B737">
        <f>Skills!B17</f>
        <v/>
      </c>
      <c r="C737">
        <f>Inputs!$B$3&gt;=115</f>
        <v/>
      </c>
      <c r="D737">
        <f>IF(Skills!C17=1,60+Inputs!$B$25+Inputs!$B$29,IF(Skills!C17=2,90+Inputs!$B$26+Inputs!$B$29,IF(Skills!C17=3,120+Inputs!$B$27+Inputs!$B$29,MAX(0,(Inputs!$B$3-100)*3)+Inputs!$B$28+Inputs!$B$29)))</f>
        <v/>
      </c>
      <c r="E737">
        <f>INDEX(FactorTable!$B$2:$Y$301, MATCH(ROUND(MIN(300,MAX(1,D737)),0), FactorTable!$A$2:$A$301,0), Skills!M17+1)</f>
        <v/>
      </c>
      <c r="F737">
        <f>IF(Skills!N17=TRUE,(Skills!L17/10)*(E737/1000),Skills!L17/10)+Skills!O17</f>
        <v/>
      </c>
      <c r="G737">
        <f>Calc!G17</f>
        <v/>
      </c>
      <c r="H737">
        <f>Calc!H17</f>
        <v/>
      </c>
      <c r="I737">
        <f>IF(Skills!AA17&lt;&gt;"",1+(Skills!AA17/10)*(U723/1000)/100,1)</f>
        <v/>
      </c>
      <c r="J737">
        <f>((Inputs!$B$6*(1+Inputs!$B$7/100))+(((Inputs!$B$12*(1+Inputs!$B$13/100))-(Inputs!$B$12*(1+Inputs!$B$13/100)))+0.25*(Inputs!$B$14-Inputs!$B$14))*(1+Inputs!$B$7/100))*(F737/100)</f>
        <v/>
      </c>
      <c r="K737">
        <f>J737*(1+((Inputs!$B$12*(1+Inputs!$B$13/100))*0.01+Inputs!$B$14*0.0025)/100)*(1+Inputs!$B$15/100)*(1+Inputs!$B$16/100)*(5000/(6000+Inputs!$B$43*(1-Inputs!$B$19/100)))*(1+(Inputs!$B$24+((C750=TRUE)*(F750-Calc!F30)))/100)*(1+Skills!R17/100)*(1+(IF(Skills!A17="SHOWDOWN",(Inputs!$B$17+1)+((C743=TRUE)*(F743-Calc!F23)),Inputs!$B$18+((C749=TRUE)*(F749-Calc!F29))))/100)*(((1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B762*I737)</f>
        <v/>
      </c>
      <c r="L737">
        <f>K737*(MIN(Inputs!$B$22+((C744=TRUE)*(F744-Calc!F24)),Inputs!$B$23)/100+Inputs!$B$23/100)/2</f>
        <v/>
      </c>
      <c r="M737">
        <f>L737*(1+(Inputs!$B$10+((C746=TRUE)*(F746-Calc!F26))+B763)/100)</f>
        <v/>
      </c>
      <c r="N737">
        <f>L737*(1-MIN((Inputs!$B$9+((C745=TRUE)*(F745-Calc!F25))+B760),100)/100)+M737*(MIN((Inputs!$B$9+((C745=TRUE)*(F745-Calc!F25))+B760),100)/100)</f>
        <v/>
      </c>
      <c r="O737">
        <f>(1-Summary!$B$55)*T737+Summary!$B$55*V737</f>
        <v/>
      </c>
      <c r="P737">
        <f>IF(B764=0,0,O737/B764)</f>
        <v/>
      </c>
      <c r="Q737" t="n">
        <v>0</v>
      </c>
      <c r="R737" t="n">
        <v>0</v>
      </c>
      <c r="S737">
        <f>IFERROR(O737/N737,0)</f>
        <v/>
      </c>
      <c r="T737">
        <f>IF(C737,(Inputs!$B$38*0.2*N737)*IF(Inputs!$B$39="pvp",1,1+(Inputs!$B$20+((C747=TRUE)*(F747-Calc!F27))+Skills!P17+B761)/100),0)</f>
        <v/>
      </c>
      <c r="V737">
        <f>IF(C737,(Inputs!$B$38*0.2*N737)*IF(Inputs!$B$39="pvp",1,(1+(Inputs!$B$21+Skills!Q17+B761)/100)*(MIN(Skills!W17,Inputs!$B$37))),0)</f>
        <v/>
      </c>
    </row>
    <row r="738">
      <c r="A738">
        <f>Skills!A18</f>
        <v/>
      </c>
      <c r="B738">
        <f>Skills!B18</f>
        <v/>
      </c>
      <c r="C738">
        <f>Inputs!$B$3&gt;=115</f>
        <v/>
      </c>
      <c r="D738">
        <f>IF(Skills!C18=1,60+Inputs!$B$25+Inputs!$B$29,IF(Skills!C18=2,90+Inputs!$B$26+Inputs!$B$29,IF(Skills!C18=3,120+Inputs!$B$27+Inputs!$B$29,MAX(0,(Inputs!$B$3-100)*3)+Inputs!$B$28+Inputs!$B$29)))</f>
        <v/>
      </c>
      <c r="E738">
        <f>INDEX(FactorTable!$B$2:$Y$301, MATCH(ROUND(MIN(300,MAX(1,D738)),0), FactorTable!$A$2:$A$301,0), Skills!M18+1)</f>
        <v/>
      </c>
      <c r="F738">
        <f>IF(Skills!N18=TRUE,(Skills!L18/10)*(E738/1000),Skills!L18/10)+Skills!O18</f>
        <v/>
      </c>
      <c r="G738">
        <f>Calc!G18</f>
        <v/>
      </c>
      <c r="H738">
        <f>Calc!H18</f>
        <v/>
      </c>
      <c r="I738">
        <f>IF(Skills!AA18&lt;&gt;"",1+(Skills!AA18/10)*(U723/1000)/100,1)</f>
        <v/>
      </c>
      <c r="J738" t="inlineStr"/>
      <c r="K738" t="inlineStr"/>
      <c r="L738" t="inlineStr"/>
      <c r="M738" t="inlineStr"/>
      <c r="N738" t="inlineStr"/>
      <c r="O738">
        <f>(1-Summary!$B$55)*T738+Summary!$B$55*V738</f>
        <v/>
      </c>
      <c r="P738">
        <f>IF(B764=0,0,O738/B764)</f>
        <v/>
      </c>
      <c r="Q738" t="n">
        <v>0</v>
      </c>
      <c r="R738" t="n">
        <v>0</v>
      </c>
      <c r="S738">
        <f>IFERROR(O738/N738,0)</f>
        <v/>
      </c>
      <c r="T738" t="n">
        <v>0</v>
      </c>
      <c r="V738" t="n">
        <v>0</v>
      </c>
    </row>
    <row r="739">
      <c r="A739">
        <f>Skills!A19</f>
        <v/>
      </c>
      <c r="B739">
        <f>Skills!B19</f>
        <v/>
      </c>
      <c r="C739">
        <f>TRUE</f>
        <v/>
      </c>
      <c r="D739">
        <f>IF(Skills!C19=1,60+Inputs!$B$25+Inputs!$B$29,IF(Skills!C19=2,90+Inputs!$B$26+Inputs!$B$29,IF(Skills!C19=3,120+Inputs!$B$27+Inputs!$B$29,MAX(0,(Inputs!$B$3-100)*3)+Inputs!$B$28+Inputs!$B$29)))</f>
        <v/>
      </c>
      <c r="E739">
        <f>INDEX(FactorTable!$B$2:$Y$301, MATCH(ROUND(MIN(300,MAX(1,D739)),0), FactorTable!$A$2:$A$301,0), Skills!M19+1)</f>
        <v/>
      </c>
      <c r="F739">
        <f>IF(Skills!N19=TRUE,(Skills!L19/10)*(E739/1000),Skills!L19/10)+Skills!O19</f>
        <v/>
      </c>
      <c r="G739">
        <f>Calc!G19</f>
        <v/>
      </c>
      <c r="H739">
        <f>Calc!H19</f>
        <v/>
      </c>
      <c r="I739">
        <f>IF(Skills!AA19&lt;&gt;"",1+(Skills!AA19/10)*(U723/1000)/100,1)</f>
        <v/>
      </c>
      <c r="J739" t="inlineStr"/>
      <c r="K739" t="inlineStr"/>
      <c r="L739" t="inlineStr"/>
      <c r="M739" t="inlineStr"/>
      <c r="N739" t="inlineStr"/>
      <c r="O739">
        <f>(1-Summary!$B$55)*T739+Summary!$B$55*V739</f>
        <v/>
      </c>
      <c r="P739">
        <f>IF(B764=0,0,O739/B764)</f>
        <v/>
      </c>
      <c r="Q739">
        <f>IFERROR(1/IF(Inputs!$B$39="pvp",15,MAX(0.1,Skills!D19-IF(Skills!E19=TRUE,Inputs!$B$32,0))),0)</f>
        <v/>
      </c>
      <c r="R739">
        <f>IF(AND(Inputs!$B$39&lt;&gt;"pvp",Inputs!$B$44&gt;0),IF(Inputs!$B$44&lt;=0,0,(INT(Inputs!$B$44/IF(Inputs!$B$39="pvp",15,MAX(0.1,Skills!D19-IF(Skills!E19=TRUE,Inputs!$B$32,0))))+1)),0)</f>
        <v/>
      </c>
      <c r="S739">
        <f>IFERROR(O739/N739,0)</f>
        <v/>
      </c>
      <c r="T739" t="n">
        <v>0</v>
      </c>
      <c r="V739" t="n">
        <v>0</v>
      </c>
    </row>
    <row r="740">
      <c r="A740">
        <f>Skills!A20</f>
        <v/>
      </c>
      <c r="B740">
        <f>Skills!B20</f>
        <v/>
      </c>
      <c r="C740">
        <f>Inputs!$B$3&gt;=15</f>
        <v/>
      </c>
      <c r="D740">
        <f>IF(Skills!C20=1,60+Inputs!$B$25+Inputs!$B$29,IF(Skills!C20=2,90+Inputs!$B$26+Inputs!$B$29,IF(Skills!C20=3,120+Inputs!$B$27+Inputs!$B$29,MAX(0,(Inputs!$B$3-100)*3)+Inputs!$B$28+Inputs!$B$29)))</f>
        <v/>
      </c>
      <c r="E740">
        <f>INDEX(FactorTable!$B$2:$Y$301, MATCH(ROUND(MIN(300,MAX(1,D740)),0), FactorTable!$A$2:$A$301,0), Skills!M20+1)</f>
        <v/>
      </c>
      <c r="F740">
        <f>IF(Skills!N20=TRUE,(Skills!L20/10)*(E740/1000),Skills!L20/10)+Skills!O20</f>
        <v/>
      </c>
      <c r="G740">
        <f>Calc!G20</f>
        <v/>
      </c>
      <c r="H740">
        <f>Calc!H20</f>
        <v/>
      </c>
      <c r="I740">
        <f>IF(Skills!AA20&lt;&gt;"",1+(Skills!AA20/10)*(U723/1000)/100,1)</f>
        <v/>
      </c>
      <c r="J740" t="inlineStr"/>
      <c r="K740" t="inlineStr"/>
      <c r="L740" t="inlineStr"/>
      <c r="M740" t="inlineStr"/>
      <c r="N740" t="inlineStr"/>
      <c r="O740">
        <f>(1-Summary!$B$55)*T740+Summary!$B$55*V740</f>
        <v/>
      </c>
      <c r="P740">
        <f>IF(B764=0,0,O740/B764)</f>
        <v/>
      </c>
      <c r="Q740">
        <f>IFERROR(1/IF(Inputs!$B$39="pvp",15,MAX(0.1,Skills!D20-IF(Skills!E20=TRUE,Inputs!$B$32,0))),0)</f>
        <v/>
      </c>
      <c r="R740">
        <f>IF(AND(Inputs!$B$39&lt;&gt;"pvp",Inputs!$B$44&gt;0),IF(Inputs!$B$44&lt;=0,0,(INT(Inputs!$B$44/IF(Inputs!$B$39="pvp",15,MAX(0.1,Skills!D20-IF(Skills!E20=TRUE,Inputs!$B$32,0))))+1)),0)</f>
        <v/>
      </c>
      <c r="S740">
        <f>IFERROR(O740/N740,0)</f>
        <v/>
      </c>
      <c r="T740" t="n">
        <v>0</v>
      </c>
      <c r="V740" t="n">
        <v>0</v>
      </c>
    </row>
    <row r="741">
      <c r="A741">
        <f>Skills!A21</f>
        <v/>
      </c>
      <c r="B741">
        <f>Skills!B21</f>
        <v/>
      </c>
      <c r="C741">
        <f>Inputs!$B$3&gt;=15</f>
        <v/>
      </c>
      <c r="D741">
        <f>IF(Skills!C21=1,60+Inputs!$B$25+Inputs!$B$29,IF(Skills!C21=2,90+Inputs!$B$26+Inputs!$B$29,IF(Skills!C21=3,120+Inputs!$B$27+Inputs!$B$29,MAX(0,(Inputs!$B$3-100)*3)+Inputs!$B$28+Inputs!$B$29)))</f>
        <v/>
      </c>
      <c r="E741">
        <f>INDEX(FactorTable!$B$2:$Y$301, MATCH(ROUND(MIN(300,MAX(1,D741)),0), FactorTable!$A$2:$A$301,0), Skills!M21+1)</f>
        <v/>
      </c>
      <c r="F741">
        <f>IF(Skills!N21=TRUE,(Skills!L21/10)*(E741/1000),Skills!L21/10)+Skills!O21</f>
        <v/>
      </c>
      <c r="G741">
        <f>Calc!G21</f>
        <v/>
      </c>
      <c r="H741">
        <f>Calc!H21</f>
        <v/>
      </c>
      <c r="I741">
        <f>IF(Skills!AA21&lt;&gt;"",1+(Skills!AA21/10)*(U723/1000)/100,1)</f>
        <v/>
      </c>
      <c r="J741" t="inlineStr"/>
      <c r="K741" t="inlineStr"/>
      <c r="L741" t="inlineStr"/>
      <c r="M741" t="inlineStr"/>
      <c r="N741" t="inlineStr"/>
      <c r="O741">
        <f>(1-Summary!$B$55)*T741+Summary!$B$55*V741</f>
        <v/>
      </c>
      <c r="P741">
        <f>IF(B764=0,0,O741/B764)</f>
        <v/>
      </c>
      <c r="Q741">
        <f>IFERROR(1/IF(Inputs!$B$39="pvp",15,MAX(0.1,Skills!D21-IF(Skills!E21=TRUE,Inputs!$B$32,0))),0)</f>
        <v/>
      </c>
      <c r="R741">
        <f>IF(AND(Inputs!$B$39&lt;&gt;"pvp",Inputs!$B$44&gt;0),IF(Inputs!$B$44&lt;=0,0,(INT(Inputs!$B$44/IF(Inputs!$B$39="pvp",15,MAX(0.1,Skills!D21-IF(Skills!E21=TRUE,Inputs!$B$32,0))))+1)),0)</f>
        <v/>
      </c>
      <c r="S741">
        <f>IFERROR(O741/N741,0)</f>
        <v/>
      </c>
      <c r="T741" t="n">
        <v>0</v>
      </c>
      <c r="V741" t="n">
        <v>0</v>
      </c>
    </row>
    <row r="742">
      <c r="A742">
        <f>Skills!A22</f>
        <v/>
      </c>
      <c r="B742">
        <f>Skills!B22</f>
        <v/>
      </c>
      <c r="C742">
        <f>Inputs!$B$3&gt;=33</f>
        <v/>
      </c>
      <c r="D742">
        <f>IF(Skills!C22=1,60+Inputs!$B$25+Inputs!$B$29,IF(Skills!C22=2,90+Inputs!$B$26+Inputs!$B$29,IF(Skills!C22=3,120+Inputs!$B$27+Inputs!$B$29,MAX(0,(Inputs!$B$3-100)*3)+Inputs!$B$28+Inputs!$B$29)))</f>
        <v/>
      </c>
      <c r="E742">
        <f>INDEX(FactorTable!$B$2:$Y$301, MATCH(ROUND(MIN(300,MAX(1,D742)),0), FactorTable!$A$2:$A$301,0), Skills!M22+1)</f>
        <v/>
      </c>
      <c r="F742">
        <f>IF(Skills!N22=TRUE,(Skills!L22/10)*(E742/1000),Skills!L22/10)+Skills!O22</f>
        <v/>
      </c>
      <c r="G742">
        <f>Calc!G22</f>
        <v/>
      </c>
      <c r="H742">
        <f>Calc!H22</f>
        <v/>
      </c>
      <c r="I742">
        <f>IF(Skills!AA22&lt;&gt;"",1+(Skills!AA22/10)*(U723/1000)/100,1)</f>
        <v/>
      </c>
      <c r="J742" t="inlineStr"/>
      <c r="K742" t="inlineStr"/>
      <c r="L742" t="inlineStr"/>
      <c r="M742" t="inlineStr"/>
      <c r="N742" t="inlineStr"/>
      <c r="O742">
        <f>(1-Summary!$B$55)*T742+Summary!$B$55*V742</f>
        <v/>
      </c>
      <c r="P742">
        <f>IF(B764=0,0,O742/B764)</f>
        <v/>
      </c>
      <c r="Q742" t="n">
        <v>0</v>
      </c>
      <c r="R742" t="n">
        <v>0</v>
      </c>
      <c r="S742">
        <f>IFERROR(O742/N742,0)</f>
        <v/>
      </c>
      <c r="T742" t="n">
        <v>0</v>
      </c>
      <c r="V742" t="n">
        <v>0</v>
      </c>
    </row>
    <row r="743">
      <c r="A743">
        <f>Skills!A23</f>
        <v/>
      </c>
      <c r="B743">
        <f>Skills!B23</f>
        <v/>
      </c>
      <c r="C743">
        <f>Inputs!$B$3&gt;=38</f>
        <v/>
      </c>
      <c r="D743">
        <f>IF(Skills!C23=1,60+Inputs!$B$25+Inputs!$B$29,IF(Skills!C23=2,90+Inputs!$B$26+Inputs!$B$29,IF(Skills!C23=3,120+Inputs!$B$27+Inputs!$B$29,MAX(0,(Inputs!$B$3-100)*3)+Inputs!$B$28+Inputs!$B$29)))</f>
        <v/>
      </c>
      <c r="E743">
        <f>INDEX(FactorTable!$B$2:$Y$301, MATCH(ROUND(MIN(300,MAX(1,D743)),0), FactorTable!$A$2:$A$301,0), Skills!M23+1)</f>
        <v/>
      </c>
      <c r="F743">
        <f>IF(Skills!N23=TRUE,(Skills!L23/10)*(E743/1000),Skills!L23/10)+Skills!O23</f>
        <v/>
      </c>
      <c r="G743">
        <f>Calc!G23</f>
        <v/>
      </c>
      <c r="H743">
        <f>Calc!H23</f>
        <v/>
      </c>
      <c r="I743">
        <f>IF(Skills!AA23&lt;&gt;"",1+(Skills!AA23/10)*(U723/1000)/100,1)</f>
        <v/>
      </c>
      <c r="J743" t="inlineStr"/>
      <c r="K743" t="inlineStr"/>
      <c r="L743" t="inlineStr"/>
      <c r="M743" t="inlineStr"/>
      <c r="N743" t="inlineStr"/>
      <c r="O743">
        <f>(1-Summary!$B$55)*T743+Summary!$B$55*V743</f>
        <v/>
      </c>
      <c r="P743">
        <f>IF(B764=0,0,O743/B764)</f>
        <v/>
      </c>
      <c r="Q743" t="n">
        <v>0</v>
      </c>
      <c r="R743" t="n">
        <v>0</v>
      </c>
      <c r="S743">
        <f>IFERROR(O743/N743,0)</f>
        <v/>
      </c>
      <c r="T743" t="n">
        <v>0</v>
      </c>
      <c r="V743" t="n">
        <v>0</v>
      </c>
    </row>
    <row r="744">
      <c r="A744">
        <f>Skills!A24</f>
        <v/>
      </c>
      <c r="B744">
        <f>Skills!B24</f>
        <v/>
      </c>
      <c r="C744">
        <f>Inputs!$B$3&gt;=40</f>
        <v/>
      </c>
      <c r="D744">
        <f>IF(Skills!C24=1,60+Inputs!$B$25+Inputs!$B$29,IF(Skills!C24=2,90+Inputs!$B$26+Inputs!$B$29,IF(Skills!C24=3,120+Inputs!$B$27+Inputs!$B$29,MAX(0,(Inputs!$B$3-100)*3)+Inputs!$B$28+Inputs!$B$29)))</f>
        <v/>
      </c>
      <c r="E744">
        <f>INDEX(FactorTable!$B$2:$Y$301, MATCH(ROUND(MIN(300,MAX(1,D744)),0), FactorTable!$A$2:$A$301,0), Skills!M24+1)</f>
        <v/>
      </c>
      <c r="F744">
        <f>IF(Skills!N24=TRUE,(Skills!L24/10)*(E744/1000),Skills!L24/10)+Skills!O24</f>
        <v/>
      </c>
      <c r="G744">
        <f>Calc!G24</f>
        <v/>
      </c>
      <c r="H744">
        <f>Calc!H24</f>
        <v/>
      </c>
      <c r="I744">
        <f>IF(Skills!AA24&lt;&gt;"",1+(Skills!AA24/10)*(U723/1000)/100,1)</f>
        <v/>
      </c>
      <c r="J744" t="inlineStr"/>
      <c r="K744" t="inlineStr"/>
      <c r="L744" t="inlineStr"/>
      <c r="M744" t="inlineStr"/>
      <c r="N744" t="inlineStr"/>
      <c r="O744">
        <f>(1-Summary!$B$55)*T744+Summary!$B$55*V744</f>
        <v/>
      </c>
      <c r="P744">
        <f>IF(B764=0,0,O744/B764)</f>
        <v/>
      </c>
      <c r="Q744" t="n">
        <v>0</v>
      </c>
      <c r="R744" t="n">
        <v>0</v>
      </c>
      <c r="S744">
        <f>IFERROR(O744/N744,0)</f>
        <v/>
      </c>
      <c r="T744" t="n">
        <v>0</v>
      </c>
      <c r="V744" t="n">
        <v>0</v>
      </c>
    </row>
    <row r="745">
      <c r="A745">
        <f>Skills!A25</f>
        <v/>
      </c>
      <c r="B745">
        <f>Skills!B25</f>
        <v/>
      </c>
      <c r="C745">
        <f>Inputs!$B$3&gt;=45</f>
        <v/>
      </c>
      <c r="D745">
        <f>IF(Skills!C25=1,60+Inputs!$B$25+Inputs!$B$29,IF(Skills!C25=2,90+Inputs!$B$26+Inputs!$B$29,IF(Skills!C25=3,120+Inputs!$B$27+Inputs!$B$29,MAX(0,(Inputs!$B$3-100)*3)+Inputs!$B$28+Inputs!$B$29)))</f>
        <v/>
      </c>
      <c r="E745">
        <f>INDEX(FactorTable!$B$2:$Y$301, MATCH(ROUND(MIN(300,MAX(1,D745)),0), FactorTable!$A$2:$A$301,0), Skills!M25+1)</f>
        <v/>
      </c>
      <c r="F745">
        <f>IF(Skills!N25=TRUE,(Skills!L25/10)*(E745/1000),Skills!L25/10)+Skills!O25</f>
        <v/>
      </c>
      <c r="G745">
        <f>Calc!G25</f>
        <v/>
      </c>
      <c r="H745">
        <f>Calc!H25</f>
        <v/>
      </c>
      <c r="I745">
        <f>IF(Skills!AA25&lt;&gt;"",1+(Skills!AA25/10)*(U723/1000)/100,1)</f>
        <v/>
      </c>
      <c r="J745" t="inlineStr"/>
      <c r="K745" t="inlineStr"/>
      <c r="L745" t="inlineStr"/>
      <c r="M745" t="inlineStr"/>
      <c r="N745" t="inlineStr"/>
      <c r="O745">
        <f>(1-Summary!$B$55)*T745+Summary!$B$55*V745</f>
        <v/>
      </c>
      <c r="P745">
        <f>IF(B764=0,0,O745/B764)</f>
        <v/>
      </c>
      <c r="Q745" t="n">
        <v>0</v>
      </c>
      <c r="R745" t="n">
        <v>0</v>
      </c>
      <c r="S745">
        <f>IFERROR(O745/N745,0)</f>
        <v/>
      </c>
      <c r="T745" t="n">
        <v>0</v>
      </c>
      <c r="V745" t="n">
        <v>0</v>
      </c>
    </row>
    <row r="746">
      <c r="A746">
        <f>Skills!A26</f>
        <v/>
      </c>
      <c r="B746">
        <f>Skills!B26</f>
        <v/>
      </c>
      <c r="C746">
        <f>Inputs!$B$3&gt;=45</f>
        <v/>
      </c>
      <c r="D746">
        <f>IF(Skills!C26=1,60+Inputs!$B$25+Inputs!$B$29,IF(Skills!C26=2,90+Inputs!$B$26+Inputs!$B$29,IF(Skills!C26=3,120+Inputs!$B$27+Inputs!$B$29,MAX(0,(Inputs!$B$3-100)*3)+Inputs!$B$28+Inputs!$B$29)))</f>
        <v/>
      </c>
      <c r="E746">
        <f>INDEX(FactorTable!$B$2:$Y$301, MATCH(ROUND(MIN(300,MAX(1,D746)),0), FactorTable!$A$2:$A$301,0), Skills!M26+1)</f>
        <v/>
      </c>
      <c r="F746">
        <f>IF(Skills!N26=TRUE,(Skills!L26/10)*(E746/1000),Skills!L26/10)+Skills!O26</f>
        <v/>
      </c>
      <c r="G746">
        <f>Calc!G26</f>
        <v/>
      </c>
      <c r="H746">
        <f>Calc!H26</f>
        <v/>
      </c>
      <c r="I746">
        <f>IF(Skills!AA26&lt;&gt;"",1+(Skills!AA26/10)*(U723/1000)/100,1)</f>
        <v/>
      </c>
      <c r="J746" t="inlineStr"/>
      <c r="K746" t="inlineStr"/>
      <c r="L746" t="inlineStr"/>
      <c r="M746" t="inlineStr"/>
      <c r="N746" t="inlineStr"/>
      <c r="O746">
        <f>(1-Summary!$B$55)*T746+Summary!$B$55*V746</f>
        <v/>
      </c>
      <c r="P746">
        <f>IF(B764=0,0,O746/B764)</f>
        <v/>
      </c>
      <c r="Q746" t="n">
        <v>0</v>
      </c>
      <c r="R746" t="n">
        <v>0</v>
      </c>
      <c r="S746">
        <f>IFERROR(O746/N746,0)</f>
        <v/>
      </c>
      <c r="T746" t="n">
        <v>0</v>
      </c>
      <c r="V746" t="n">
        <v>0</v>
      </c>
    </row>
    <row r="747">
      <c r="A747">
        <f>Skills!A27</f>
        <v/>
      </c>
      <c r="B747">
        <f>Skills!B27</f>
        <v/>
      </c>
      <c r="C747">
        <f>Inputs!$B$3&gt;=72</f>
        <v/>
      </c>
      <c r="D747">
        <f>IF(Skills!C27=1,60+Inputs!$B$25+Inputs!$B$29,IF(Skills!C27=2,90+Inputs!$B$26+Inputs!$B$29,IF(Skills!C27=3,120+Inputs!$B$27+Inputs!$B$29,MAX(0,(Inputs!$B$3-100)*3)+Inputs!$B$28+Inputs!$B$29)))</f>
        <v/>
      </c>
      <c r="E747">
        <f>INDEX(FactorTable!$B$2:$Y$301, MATCH(ROUND(MIN(300,MAX(1,D747)),0), FactorTable!$A$2:$A$301,0), Skills!M27+1)</f>
        <v/>
      </c>
      <c r="F747">
        <f>IF(Skills!N27=TRUE,(Skills!L27/10)*(E747/1000),Skills!L27/10)+Skills!O27</f>
        <v/>
      </c>
      <c r="G747">
        <f>Calc!G27</f>
        <v/>
      </c>
      <c r="H747">
        <f>Calc!H27</f>
        <v/>
      </c>
      <c r="I747">
        <f>IF(Skills!AA27&lt;&gt;"",1+(Skills!AA27/10)*(U723/1000)/100,1)</f>
        <v/>
      </c>
      <c r="J747" t="inlineStr"/>
      <c r="K747" t="inlineStr"/>
      <c r="L747" t="inlineStr"/>
      <c r="M747" t="inlineStr"/>
      <c r="N747" t="inlineStr"/>
      <c r="O747">
        <f>(1-Summary!$B$55)*T747+Summary!$B$55*V747</f>
        <v/>
      </c>
      <c r="P747">
        <f>IF(B764=0,0,O747/B764)</f>
        <v/>
      </c>
      <c r="Q747" t="n">
        <v>0</v>
      </c>
      <c r="R747" t="n">
        <v>0</v>
      </c>
      <c r="S747">
        <f>IFERROR(O747/N747,0)</f>
        <v/>
      </c>
      <c r="T747" t="n">
        <v>0</v>
      </c>
      <c r="V747" t="n">
        <v>0</v>
      </c>
    </row>
    <row r="748">
      <c r="A748">
        <f>Skills!A28</f>
        <v/>
      </c>
      <c r="B748">
        <f>Skills!B28</f>
        <v/>
      </c>
      <c r="C748">
        <f>Inputs!$B$3&gt;=75</f>
        <v/>
      </c>
      <c r="D748">
        <f>IF(Skills!C28=1,60+Inputs!$B$25+Inputs!$B$29,IF(Skills!C28=2,90+Inputs!$B$26+Inputs!$B$29,IF(Skills!C28=3,120+Inputs!$B$27+Inputs!$B$29,MAX(0,(Inputs!$B$3-100)*3)+Inputs!$B$28+Inputs!$B$29)))</f>
        <v/>
      </c>
      <c r="E748">
        <f>INDEX(FactorTable!$B$2:$Y$301, MATCH(ROUND(MIN(300,MAX(1,D748)),0), FactorTable!$A$2:$A$301,0), Skills!M28+1)</f>
        <v/>
      </c>
      <c r="F748">
        <f>IF(Skills!N28=TRUE,(Skills!L28/10)*(E748/1000),Skills!L28/10)+Skills!O28</f>
        <v/>
      </c>
      <c r="G748">
        <f>Calc!G28</f>
        <v/>
      </c>
      <c r="H748">
        <f>Calc!H28</f>
        <v/>
      </c>
      <c r="I748">
        <f>IF(Skills!AA28&lt;&gt;"",1+(Skills!AA28/10)*(U723/1000)/100,1)</f>
        <v/>
      </c>
      <c r="J748" t="inlineStr"/>
      <c r="K748" t="inlineStr"/>
      <c r="L748" t="inlineStr"/>
      <c r="M748" t="inlineStr"/>
      <c r="N748" t="inlineStr"/>
      <c r="O748">
        <f>(1-Summary!$B$55)*T748+Summary!$B$55*V748</f>
        <v/>
      </c>
      <c r="P748">
        <f>IF(B764=0,0,O748/B764)</f>
        <v/>
      </c>
      <c r="Q748" t="n">
        <v>0</v>
      </c>
      <c r="R748" t="n">
        <v>0</v>
      </c>
      <c r="S748">
        <f>IFERROR(O748/N748,0)</f>
        <v/>
      </c>
      <c r="T748" t="n">
        <v>0</v>
      </c>
      <c r="V748" t="n">
        <v>0</v>
      </c>
    </row>
    <row r="749">
      <c r="A749">
        <f>Skills!A29</f>
        <v/>
      </c>
      <c r="B749">
        <f>Skills!B29</f>
        <v/>
      </c>
      <c r="C749">
        <f>Inputs!$B$3&gt;=120</f>
        <v/>
      </c>
      <c r="D749">
        <f>IF(Skills!C29=1,60+Inputs!$B$25+Inputs!$B$29,IF(Skills!C29=2,90+Inputs!$B$26+Inputs!$B$29,IF(Skills!C29=3,120+Inputs!$B$27+Inputs!$B$29,MAX(0,(Inputs!$B$3-100)*3)+Inputs!$B$28+Inputs!$B$29)))</f>
        <v/>
      </c>
      <c r="E749">
        <f>INDEX(FactorTable!$B$2:$Y$301, MATCH(ROUND(MIN(300,MAX(1,D749)),0), FactorTable!$A$2:$A$301,0), Skills!M29+1)</f>
        <v/>
      </c>
      <c r="F749">
        <f>IF(Skills!N29=TRUE,(Skills!L29/10)*(E749/1000),Skills!L29/10)+Skills!O29</f>
        <v/>
      </c>
      <c r="G749">
        <f>Calc!G29</f>
        <v/>
      </c>
      <c r="H749">
        <f>Calc!H29</f>
        <v/>
      </c>
      <c r="I749">
        <f>IF(Skills!AA29&lt;&gt;"",1+(Skills!AA29/10)*(U723/1000)/100,1)</f>
        <v/>
      </c>
      <c r="J749" t="inlineStr"/>
      <c r="K749" t="inlineStr"/>
      <c r="L749" t="inlineStr"/>
      <c r="M749" t="inlineStr"/>
      <c r="N749" t="inlineStr"/>
      <c r="O749">
        <f>(1-Summary!$B$55)*T749+Summary!$B$55*V749</f>
        <v/>
      </c>
      <c r="P749">
        <f>IF(B764=0,0,O749/B764)</f>
        <v/>
      </c>
      <c r="Q749" t="n">
        <v>0</v>
      </c>
      <c r="R749" t="n">
        <v>0</v>
      </c>
      <c r="S749">
        <f>IFERROR(O749/N749,0)</f>
        <v/>
      </c>
      <c r="T749" t="n">
        <v>0</v>
      </c>
      <c r="V749" t="n">
        <v>0</v>
      </c>
    </row>
    <row r="750">
      <c r="A750">
        <f>Skills!A30</f>
        <v/>
      </c>
      <c r="B750">
        <f>Skills!B30</f>
        <v/>
      </c>
      <c r="C750">
        <f>Inputs!$B$3&gt;=125</f>
        <v/>
      </c>
      <c r="D750">
        <f>IF(Skills!C30=1,60+Inputs!$B$25+Inputs!$B$29,IF(Skills!C30=2,90+Inputs!$B$26+Inputs!$B$29,IF(Skills!C30=3,120+Inputs!$B$27+Inputs!$B$29,MAX(0,(Inputs!$B$3-100)*3)+Inputs!$B$28+Inputs!$B$29)))</f>
        <v/>
      </c>
      <c r="E750">
        <f>INDEX(FactorTable!$B$2:$Y$301, MATCH(ROUND(MIN(300,MAX(1,D750)),0), FactorTable!$A$2:$A$301,0), Skills!M30+1)</f>
        <v/>
      </c>
      <c r="F750">
        <f>IF(Skills!N30=TRUE,(Skills!L30/10)*(E750/1000),Skills!L30/10)+Skills!O30</f>
        <v/>
      </c>
      <c r="G750">
        <f>Calc!G30</f>
        <v/>
      </c>
      <c r="H750">
        <f>Calc!H30</f>
        <v/>
      </c>
      <c r="I750">
        <f>IF(Skills!AA30&lt;&gt;"",1+(Skills!AA30/10)*(U723/1000)/100,1)</f>
        <v/>
      </c>
      <c r="J750" t="inlineStr"/>
      <c r="K750" t="inlineStr"/>
      <c r="L750" t="inlineStr"/>
      <c r="M750" t="inlineStr"/>
      <c r="N750" t="inlineStr"/>
      <c r="O750">
        <f>(1-Summary!$B$55)*T750+Summary!$B$55*V750</f>
        <v/>
      </c>
      <c r="P750">
        <f>IF(B764=0,0,O750/B764)</f>
        <v/>
      </c>
      <c r="Q750" t="n">
        <v>0</v>
      </c>
      <c r="R750" t="n">
        <v>0</v>
      </c>
      <c r="S750">
        <f>IFERROR(O750/N750,0)</f>
        <v/>
      </c>
      <c r="T750" t="n">
        <v>0</v>
      </c>
      <c r="V750" t="n">
        <v>0</v>
      </c>
    </row>
    <row r="751">
      <c r="A751">
        <f>Skills!A31</f>
        <v/>
      </c>
      <c r="B751">
        <f>Skills!B31</f>
        <v/>
      </c>
      <c r="C751">
        <f>Inputs!$B$3&gt;=107</f>
        <v/>
      </c>
      <c r="D751">
        <f>IF(Skills!C31=1,60+Inputs!$B$25+Inputs!$B$29,IF(Skills!C31=2,90+Inputs!$B$26+Inputs!$B$29,IF(Skills!C31=3,120+Inputs!$B$27+Inputs!$B$29,MAX(0,(Inputs!$B$3-100)*3)+Inputs!$B$28+Inputs!$B$29)))</f>
        <v/>
      </c>
      <c r="E751">
        <f>INDEX(FactorTable!$B$2:$Y$301, MATCH(ROUND(MIN(300,MAX(1,D751)),0), FactorTable!$A$2:$A$301,0), Skills!M31+1)</f>
        <v/>
      </c>
      <c r="F751">
        <f>IF(Skills!N31=TRUE,(Skills!L31/10)*(E751/1000),Skills!L31/10)+Skills!O31</f>
        <v/>
      </c>
      <c r="G751">
        <f>Calc!G31</f>
        <v/>
      </c>
      <c r="H751">
        <f>Calc!H31</f>
        <v/>
      </c>
      <c r="I751">
        <f>IF(Skills!AA31&lt;&gt;"",1+(Skills!AA31/10)*(U723/1000)/100,1)</f>
        <v/>
      </c>
      <c r="J751" t="inlineStr"/>
      <c r="K751" t="inlineStr"/>
      <c r="L751" t="inlineStr"/>
      <c r="M751" t="inlineStr"/>
      <c r="N751" t="inlineStr"/>
      <c r="O751">
        <f>(1-Summary!$B$55)*T751+Summary!$B$55*V751</f>
        <v/>
      </c>
      <c r="P751">
        <f>IF(B764=0,0,O751/B764)</f>
        <v/>
      </c>
      <c r="Q751" t="n">
        <v>0</v>
      </c>
      <c r="R751" t="n">
        <v>0</v>
      </c>
      <c r="S751">
        <f>IFERROR(O751/N751,0)</f>
        <v/>
      </c>
      <c r="T751" t="n">
        <v>0</v>
      </c>
      <c r="V751" t="n">
        <v>0</v>
      </c>
    </row>
    <row r="753">
      <c r="A753" t="inlineStr">
        <is>
          <t>Actions Per Second (pre-Adrenalin)</t>
        </is>
      </c>
      <c r="B753">
        <f>1+MIN(150,150*(1-(1-(Inputs!$B$11+((C742=TRUE)*(F742-Calc!F22)))/150)*(1-((C739=TRUE)*F739*IF(AND(Inputs!$B$39&lt;&gt;"pvp",Inputs!$B$44&gt;0),(((R739-1)*(Skills!Y19*(1+Inputs!$B$34/100))+MIN((Skills!Y19*(1+Inputs!$B$34/100)),MAX(0,Inputs!$B$44-((R739-1)*Skills!D19))))/Inputs!$B$44),IF(Inputs!$B$39="pvp",MIN((Skills!Y19*(1+Inputs!$B$34/100)),15)/15,(Skills!Y19*(1+Inputs!$B$34/100))/Skills!D19)))/150)))/100</f>
        <v/>
      </c>
    </row>
    <row r="754">
      <c r="A754" t="inlineStr">
        <is>
          <t>Alchemic Adrenaline Uptime</t>
        </is>
      </c>
      <c r="B754">
        <f>(Skills!Y6*(1+Inputs!$B$34/100))/((Skills!Y6*(1+Inputs!$B$34/100))+(5/B753))</f>
        <v/>
      </c>
    </row>
    <row r="755">
      <c r="A755" t="inlineStr">
        <is>
          <t>Attack Speed Buff Bonus %</t>
        </is>
      </c>
      <c r="B755">
        <f>((C739=TRUE)*F739*IF(AND(Inputs!$B$39&lt;&gt;"pvp",Inputs!$B$44&gt;0),(((R739-1)*(Skills!Y19*(1+Inputs!$B$34/100))+MIN((Skills!Y19*(1+Inputs!$B$34/100)),MAX(0,Inputs!$B$44-((R739-1)*Skills!D19))))/Inputs!$B$44),IF(Inputs!$B$39="pvp",MIN((Skills!Y19*(1+Inputs!$B$34/100)),15)/15,(Skills!Y19*(1+Inputs!$B$34/100))/Skills!D19)))+((C727=TRUE)*F727*B754)</f>
        <v/>
      </c>
    </row>
    <row r="756">
      <c r="A756" t="inlineStr">
        <is>
          <t>Actions Per Second (final)</t>
        </is>
      </c>
      <c r="B756">
        <f>1+MIN(150,150*(1-(1-(Inputs!$B$11+((C742=TRUE)*(F742-Calc!F22)))/150)*(1-B755/150)))/100</f>
        <v/>
      </c>
    </row>
    <row r="757">
      <c r="A757" t="inlineStr">
        <is>
          <t>Skill + Buff Cast Rate</t>
        </is>
      </c>
      <c r="B757">
        <f>IF(AND(Inputs!$B$39&lt;&gt;"pvp",Inputs!$B$44&gt;0),SUMPRODUCT((Skills!E2:E31=TRUE)*(C722:C751=TRUE)*R722:R751*Skills!F2:F31)/Inputs!$B$44,SUMPRODUCT((Skills!E2:E31=TRUE)*(C722:C751=TRUE)*Q722:Q751*Skills!F2:F31))</f>
        <v/>
      </c>
    </row>
    <row r="758">
      <c r="A758" t="inlineStr">
        <is>
          <t>Showdown Casts Per Second</t>
        </is>
      </c>
      <c r="B758">
        <f>MAX(0,B756-B757)</f>
        <v/>
      </c>
    </row>
    <row r="759">
      <c r="A759" t="inlineStr">
        <is>
          <t>Average Buff Multiplier</t>
        </is>
      </c>
      <c r="B759">
        <f>(1+(((C741=TRUE)*F741*IF(AND(Inputs!$B$39&lt;&gt;"pvp",Inputs!$B$44&gt;0),(((R741-1)*(Skills!Y21*(1+Inputs!$B$34/100))+MIN((Skills!Y21*(1+Inputs!$B$34/100)),MAX(0,Inputs!$B$44-((R741-1)*Skills!D21))))/Inputs!$B$44),IF(Inputs!$B$39="pvp",MIN((Skills!Y21*(1+Inputs!$B$34/100)),15)/15,(Skills!Y21*(1+Inputs!$B$34/100))/Skills!D21)))+((C748=TRUE)*(F748-Calc!F28))+((C738=TRUE)*(F738-Calc!F18)))/100)*(1+((C735=TRUE)*F735*IF(AND(Inputs!$B$39&lt;&gt;"pvp",Inputs!$B$44&gt;0),(((R735-1)*(Skills!Y15*(1+Inputs!$B$34/100))+MIN((Skills!Y15*(1+Inputs!$B$34/100)),MAX(0,Inputs!$B$44-((R735-1)*Skills!D15))))/Inputs!$B$44),IF(Inputs!$B$39="pvp",MIN((Skills!Y15*(1+Inputs!$B$34/100)),15)/15,(Skills!Y15*(1+Inputs!$B$34/100))/Skills!D15)))/100)*(1+((C726=TRUE)*F726*B754)/100)</f>
        <v/>
      </c>
    </row>
    <row r="760">
      <c r="A760" t="inlineStr">
        <is>
          <t>Global Crit Rate Bonus %</t>
        </is>
      </c>
      <c r="B760">
        <f>IF(Inputs!$B$3&gt;=47,8,0)+((C740=TRUE)*F740*IF(AND(Inputs!$B$39&lt;&gt;"pvp",Inputs!$B$44&gt;0),(((R740-1)*(Skills!Y20*(1+Inputs!$B$34/100))+MIN((Skills!Y20*(1+Inputs!$B$34/100)),MAX(0,Inputs!$B$44-((R740-1)*Skills!D20))))/Inputs!$B$44),IF(Inputs!$B$39="pvp",MIN((Skills!Y20*(1+Inputs!$B$34/100)),15)/15,(Skills!Y20*(1+Inputs!$B$34/100))/Skills!D20)))</f>
        <v/>
      </c>
    </row>
    <row r="761">
      <c r="A761" t="inlineStr">
        <is>
          <t>Global Monster Damage-Taken Bonus %</t>
        </is>
      </c>
      <c r="B761">
        <f>IF(Inputs!$B$3&gt;=82,15,0)+((C736=TRUE)*F736*IF(AND(Inputs!$B$39&lt;&gt;"pvp",Inputs!$B$44&gt;0),(((R736-1)*(Skills!Y16*(1+Inputs!$B$34/100))+MIN((Skills!Y16*(1+Inputs!$B$34/100)),MAX(0,Inputs!$B$44-((R736-1)*Skills!D16))))/Inputs!$B$44),IF(Inputs!$B$39="pvp",MIN((Skills!Y16*(1+Inputs!$B$34/100)),15)/15,(Skills!Y16*(1+Inputs!$B$34/100))/Skills!D16)))</f>
        <v/>
      </c>
    </row>
    <row r="762">
      <c r="A762" t="inlineStr">
        <is>
          <t>Shadow Partner Average Multiplier</t>
        </is>
      </c>
      <c r="B762">
        <f>1+((C731=TRUE)*F731*I731*Skills!J11/100)/100</f>
        <v/>
      </c>
    </row>
    <row r="763">
      <c r="A763" t="inlineStr">
        <is>
          <t>Global Critical Damage Bonus % (Frailty Curse Mastery Lv.111)</t>
        </is>
      </c>
      <c r="B763">
        <f>IF(Inputs!$B$3&gt;=111,30,0)*IF(AND(Inputs!$B$39&lt;&gt;"pvp",Inputs!$B$44&gt;0),(((R736-1)*(Skills!Y16*(1+Inputs!$B$34/100))+MIN((Skills!Y16*(1+Inputs!$B$34/100)),MAX(0,Inputs!$B$44-((R736-1)*Skills!D16))))/Inputs!$B$44),IF(Inputs!$B$39="pvp",MIN((Skills!Y16*(1+Inputs!$B$34/100)),15)/15,(Skills!Y16*(1+Inputs!$B$34/100))/Skills!D16))</f>
        <v/>
      </c>
    </row>
    <row r="764">
      <c r="A764" s="5" t="inlineStr">
        <is>
          <t>TOTAL DPS</t>
        </is>
      </c>
      <c r="B764" s="5">
        <f>SUM(O722:O751)</f>
        <v/>
      </c>
    </row>
    <row r="765">
      <c r="A765" t="inlineStr">
        <is>
          <t>Buff-Casting Startup Delay (s, fixed-duration only)</t>
        </is>
      </c>
      <c r="B765">
        <f>IF(AND(Inputs!$B$39&lt;&gt;"pvp",Inputs!$B$44&gt;0),SUMPRODUCT((Skills!Y2:Y31&gt;0)*(Skills!E2:E31=TRUE)*(C722:C751=TRUE))/B756,0)</f>
        <v/>
      </c>
    </row>
    <row r="766">
      <c r="A766" t="inlineStr">
        <is>
          <t>Boss-Only Total DPS (this block's swept value)</t>
        </is>
      </c>
      <c r="B766">
        <f>SUM(T722:T751)</f>
        <v/>
      </c>
    </row>
    <row r="767">
      <c r="A767" t="inlineStr">
        <is>
          <t>Normal-Only Total DPS (this block's swept value)</t>
        </is>
      </c>
      <c r="B767">
        <f>SUM(V722:V751)</f>
        <v/>
      </c>
    </row>
    <row r="769">
      <c r="A769" s="5" t="inlineStr">
        <is>
          <t>Stat: SKILL_DAMAGE %</t>
        </is>
      </c>
    </row>
    <row r="770">
      <c r="A770" s="9" t="inlineStr">
        <is>
          <t>Key</t>
        </is>
      </c>
      <c r="B770" s="9" t="inlineStr">
        <is>
          <t>Name</t>
        </is>
      </c>
      <c r="C770" s="9" t="inlineStr">
        <is>
          <t>Unlocked</t>
        </is>
      </c>
      <c r="D770" s="9" t="inlineStr">
        <is>
          <t>InputLevel</t>
        </is>
      </c>
      <c r="E770" s="9" t="inlineStr">
        <is>
          <t>Factor</t>
        </is>
      </c>
      <c r="F770" s="9" t="inlineStr">
        <is>
          <t>CoefficientPercent</t>
        </is>
      </c>
      <c r="G770" s="9" t="inlineStr">
        <is>
          <t>EffectiveHits</t>
        </is>
      </c>
      <c r="H770" s="9" t="inlineStr">
        <is>
          <t>ProcProbability</t>
        </is>
      </c>
      <c r="I770" s="9" t="inlineStr">
        <is>
          <t>MapleHeroMultiplier</t>
        </is>
      </c>
      <c r="J770" s="9" t="inlineStr">
        <is>
          <t>BaseDamage</t>
        </is>
      </c>
      <c r="K770" s="9" t="inlineStr">
        <is>
          <t>BaseHitDamage</t>
        </is>
      </c>
      <c r="L770" s="9" t="inlineStr">
        <is>
          <t>NonCritAvg</t>
        </is>
      </c>
      <c r="M770" s="9" t="inlineStr">
        <is>
          <t>CritAvg</t>
        </is>
      </c>
      <c r="N770" s="9" t="inlineStr">
        <is>
          <t>ExpectedDamage(perHit)</t>
        </is>
      </c>
      <c r="O770" s="9" t="inlineStr">
        <is>
          <t>DPS</t>
        </is>
      </c>
      <c r="P770" s="9" t="inlineStr">
        <is>
          <t>% of Total</t>
        </is>
      </c>
      <c r="Q770" s="9" t="inlineStr">
        <is>
          <t>InvCooldown</t>
        </is>
      </c>
      <c r="R770" s="9" t="inlineStr">
        <is>
          <t>CastsInFight</t>
        </is>
      </c>
      <c r="S770" s="9" t="inlineStr">
        <is>
          <t>HitRate(perSec)</t>
        </is>
      </c>
      <c r="U770" t="inlineStr">
        <is>
          <t>helpers</t>
        </is>
      </c>
    </row>
    <row r="771">
      <c r="A771">
        <f>Skills!A2</f>
        <v/>
      </c>
      <c r="B771">
        <f>Skills!B2</f>
        <v/>
      </c>
      <c r="C771">
        <f>Inputs!$B$3&gt;=100</f>
        <v/>
      </c>
      <c r="D771" t="inlineStr"/>
      <c r="E771" t="inlineStr"/>
      <c r="F771">
        <f>U775+Skills!O2</f>
        <v/>
      </c>
      <c r="G771">
        <f>Calc!G2</f>
        <v/>
      </c>
      <c r="H771">
        <f>Calc!H2</f>
        <v/>
      </c>
      <c r="I771">
        <f>IF(Skills!AA2&lt;&gt;"",1+(Skills!AA2/10)*(U772/1000)/100,1)</f>
        <v/>
      </c>
      <c r="J771">
        <f>((Inputs!$B$6*(1+Inputs!$B$7/100))+(((Inputs!$B$12*(1+Inputs!$B$13/100))-(Inputs!$B$12*(1+Inputs!$B$13/100)))+0.25*(Inputs!$B$14-Inputs!$B$14))*(1+Inputs!$B$7/100))*(F771/100)</f>
        <v/>
      </c>
      <c r="K771">
        <f>J771*(1+((Inputs!$B$12*(1+Inputs!$B$13/100))*0.01+Inputs!$B$14*0.0025)/100)*(1+Inputs!$B$15/100)*(1+Inputs!$B$16/100)*(5000/(6000+Inputs!$B$43*(1-Inputs!$B$19/100)))*(1+(Inputs!$B$24+((C799=TRUE)*(F799-Calc!F30)))/100)*(1+Skills!R2/100)*(1+(IF(Skills!A2="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771)</f>
        <v/>
      </c>
      <c r="L771">
        <f>K771*(MIN(Inputs!$B$22+((C793=TRUE)*(F793-Calc!F24)),Inputs!$B$23)/100+Inputs!$B$23/100)/2</f>
        <v/>
      </c>
      <c r="M771">
        <f>L771*(1+(Inputs!$B$10+((C795=TRUE)*(F795-Calc!F26))+B812)/100)</f>
        <v/>
      </c>
      <c r="N771">
        <f>L771*(1-MIN((Inputs!$B$9+((C794=TRUE)*(F794-Calc!F25))+B809),100)/100)+M771*(MIN((Inputs!$B$9+((C794=TRUE)*(F794-Calc!F25))+B809),100)/100)</f>
        <v/>
      </c>
      <c r="O771">
        <f>(1-Summary!$B$55)*T771+Summary!$B$55*V771</f>
        <v/>
      </c>
      <c r="P771">
        <f>IF(B813=0,0,O771/B813)</f>
        <v/>
      </c>
      <c r="Q771" t="n">
        <v>0</v>
      </c>
      <c r="R771" t="n">
        <v>0</v>
      </c>
      <c r="S771">
        <f>IFERROR(O771/N771,0)</f>
        <v/>
      </c>
      <c r="T771">
        <f>IF(C771,(Skills!G2*N771*B807)*IF(Inputs!$B$39="pvp",1,1+(Inputs!$B$20+((C796=TRUE)*(F796-Calc!F27))+Skills!P2+B810)/100),0)</f>
        <v/>
      </c>
      <c r="U771">
        <f>MAX(0,(Inputs!$B$3-100)*3)+Inputs!$B$28+Inputs!$B$29</f>
        <v/>
      </c>
      <c r="V771">
        <f>IF(C771,(Skills!G2*N771*B807)*IF(Inputs!$B$39="pvp",1,(1+(Inputs!$B$21+Skills!Q2+B810)/100)*(MIN((6+Inputs!$B$33),Inputs!$B$37))),0)</f>
        <v/>
      </c>
    </row>
    <row r="772">
      <c r="A772">
        <f>Skills!A3</f>
        <v/>
      </c>
      <c r="B772">
        <f>Skills!B3</f>
        <v/>
      </c>
      <c r="C772">
        <f>Inputs!$B$3&gt;=35</f>
        <v/>
      </c>
      <c r="D772">
        <f>IF(Skills!C3=1,60+Inputs!$B$25+Inputs!$B$29,IF(Skills!C3=2,90+Inputs!$B$26+Inputs!$B$29,IF(Skills!C3=3,120+Inputs!$B$27+Inputs!$B$29,MAX(0,(Inputs!$B$3-100)*3)+Inputs!$B$28+Inputs!$B$29)))</f>
        <v/>
      </c>
      <c r="E772">
        <f>INDEX(FactorTable!$B$2:$Y$301, MATCH(ROUND(MIN(300,MAX(1,D772)),0), FactorTable!$A$2:$A$301,0), Skills!M3+1)</f>
        <v/>
      </c>
      <c r="F772">
        <f>IF(Skills!N3=TRUE,(Skills!L3/10)*(E772/1000),Skills!L3/10)+Skills!O3</f>
        <v/>
      </c>
      <c r="G772">
        <f>Calc!G3</f>
        <v/>
      </c>
      <c r="H772">
        <f>Calc!H3</f>
        <v/>
      </c>
      <c r="I772">
        <f>IF(Skills!AA3&lt;&gt;"",1+(Skills!AA3/10)*(U772/1000)/100,1)</f>
        <v/>
      </c>
      <c r="J772">
        <f>((Inputs!$B$6*(1+Inputs!$B$7/100))+(((Inputs!$B$12*(1+Inputs!$B$13/100))-(Inputs!$B$12*(1+Inputs!$B$13/100)))+0.25*(Inputs!$B$14-Inputs!$B$14))*(1+Inputs!$B$7/100))*(F772/100)</f>
        <v/>
      </c>
      <c r="K772">
        <f>J772*(1+((Inputs!$B$12*(1+Inputs!$B$13/100))*0.01+Inputs!$B$14*0.0025)/100)*(1+Inputs!$B$15/100)*(1+Inputs!$B$16/100)*(5000/(6000+Inputs!$B$43*(1-Inputs!$B$19/100)))*(1+(Inputs!$B$24+((C799=TRUE)*(F799-Calc!F30)))/100)*(1+Skills!R3/100)*(1+(IF(Skills!A3="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772)</f>
        <v/>
      </c>
      <c r="L772">
        <f>K772*(MIN(Inputs!$B$22+((C793=TRUE)*(F793-Calc!F24)),Inputs!$B$23)/100+Inputs!$B$23/100)/2</f>
        <v/>
      </c>
      <c r="M772">
        <f>L772*(1+(Inputs!$B$10+((C795=TRUE)*(F795-Calc!F26))+B812)/100)</f>
        <v/>
      </c>
      <c r="N772">
        <f>L772*(1-MIN((Inputs!$B$9+((C794=TRUE)*(F794-Calc!F25))+B809),100)/100)+M772*(MIN((Inputs!$B$9+((C794=TRUE)*(F794-Calc!F25))+B809),100)/100)</f>
        <v/>
      </c>
      <c r="O772">
        <f>(1-Summary!$B$55)*T772+Summary!$B$55*V772</f>
        <v/>
      </c>
      <c r="P772">
        <f>IF(B813=0,0,O772/B813)</f>
        <v/>
      </c>
      <c r="Q772">
        <f>IFERROR(1/IF(Inputs!$B$39="pvp",15,MAX(0.1,Skills!D3-IF(Skills!E3=TRUE,Inputs!$B$32,0))),0)</f>
        <v/>
      </c>
      <c r="R772">
        <f>IF(AND(Inputs!$B$39&lt;&gt;"pvp",Inputs!$B$44&gt;0),IF(MAX(0,Inputs!$B$44-B814)&lt;=0,0,(INT(MAX(0,Inputs!$B$44-B814)/IF(Inputs!$B$39="pvp",15,MAX(0.1,Skills!D3-IF(Skills!E3=TRUE,Inputs!$B$32,0))))+1)),0)</f>
        <v/>
      </c>
      <c r="S772">
        <f>IFERROR(O772/N772,0)</f>
        <v/>
      </c>
      <c r="T772">
        <f>IF(C772,(H772*N772*IF(AND(Inputs!$B$39&lt;&gt;"pvp",Inputs!$B$44&gt;0),((Skills!G3*((R772-1)*IF(Skills!H3&gt;0,Skills!I3/Skills!H3,1)+IF(Skills!H3&gt;0,MIN(Skills!I3,MAX(0,MAX(0,Inputs!$B$44-B814)-((R772-1)*IF(Inputs!$B$39="pvp",15,MAX(0.1,Skills!D3-IF(Skills!E3=TRUE,Inputs!$B$32,0))))))/Skills!H3,1)))/Inputs!$B$44),G772*Q772))*IF(Inputs!$B$39="pvp",1,1+(Inputs!$B$20+((C796=TRUE)*(F796-Calc!F27))+Skills!P3+B810)/100),0)</f>
        <v/>
      </c>
      <c r="U772">
        <f>INDEX(FactorTable!$B$2:$Y$301, MATCH(ROUND(MIN(300,MAX(1,U771)),0), FactorTable!$A$2:$A$301,0), 24)</f>
        <v/>
      </c>
      <c r="V772">
        <f>IF(C772,(H772*N772*IF(AND(Inputs!$B$39&lt;&gt;"pvp",Inputs!$B$44&gt;0),((Skills!G3*((R772-1)*IF(Skills!H3&gt;0,Skills!I3/Skills!H3,1)+IF(Skills!H3&gt;0,MIN(Skills!I3,MAX(0,MAX(0,Inputs!$B$44-B814)-((R772-1)*IF(Inputs!$B$39="pvp",15,MAX(0.1,Skills!D3-IF(Skills!E3=TRUE,Inputs!$B$32,0))))))/Skills!H3,1)))/Inputs!$B$44),G772*Q772))*IF(Inputs!$B$39="pvp",1,(1+(Inputs!$B$21+Skills!Q3+B810)/100)*(MIN(Skills!W3,Inputs!$B$37))),0)</f>
        <v/>
      </c>
    </row>
    <row r="773">
      <c r="A773">
        <f>Skills!A4</f>
        <v/>
      </c>
      <c r="B773">
        <f>Skills!B4</f>
        <v/>
      </c>
      <c r="C773">
        <f>Inputs!$B$3&gt;=40</f>
        <v/>
      </c>
      <c r="D773">
        <f>IF(Skills!C4=1,60+Inputs!$B$25+Inputs!$B$29,IF(Skills!C4=2,90+Inputs!$B$26+Inputs!$B$29,IF(Skills!C4=3,120+Inputs!$B$27+Inputs!$B$29,MAX(0,(Inputs!$B$3-100)*3)+Inputs!$B$28+Inputs!$B$29)))</f>
        <v/>
      </c>
      <c r="E773">
        <f>INDEX(FactorTable!$B$2:$Y$301, MATCH(ROUND(MIN(300,MAX(1,D773)),0), FactorTable!$A$2:$A$301,0), Skills!M4+1)</f>
        <v/>
      </c>
      <c r="F773">
        <f>IF(Skills!N4=TRUE,(Skills!L4/10)*(E773/1000),Skills!L4/10)+Skills!O4</f>
        <v/>
      </c>
      <c r="G773">
        <f>Calc!G4</f>
        <v/>
      </c>
      <c r="H773">
        <f>Calc!H4</f>
        <v/>
      </c>
      <c r="I773">
        <f>IF(Skills!AA4&lt;&gt;"",1+(Skills!AA4/10)*(U772/1000)/100,1)</f>
        <v/>
      </c>
      <c r="J773">
        <f>((Inputs!$B$6*(1+Inputs!$B$7/100))+(((Inputs!$B$12*(1+Inputs!$B$13/100))-(Inputs!$B$12*(1+Inputs!$B$13/100)))+0.25*(Inputs!$B$14-Inputs!$B$14))*(1+Inputs!$B$7/100))*(F773/100)</f>
        <v/>
      </c>
      <c r="K773">
        <f>J773*(1+((Inputs!$B$12*(1+Inputs!$B$13/100))*0.01+Inputs!$B$14*0.0025)/100)*(1+Inputs!$B$15/100)*(1+Inputs!$B$16/100)*(5000/(6000+Inputs!$B$43*(1-Inputs!$B$19/100)))*(1+(Inputs!$B$24+((C799=TRUE)*(F799-Calc!F30)))/100)*(1+Skills!R4/100)*(1+(IF(Skills!A4="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773)</f>
        <v/>
      </c>
      <c r="L773">
        <f>K773*(MIN(Inputs!$B$22+((C793=TRUE)*(F793-Calc!F24)),Inputs!$B$23)/100+Inputs!$B$23/100)/2</f>
        <v/>
      </c>
      <c r="M773">
        <f>L773*(1+(Inputs!$B$10+((C795=TRUE)*(F795-Calc!F26))+B812)/100)</f>
        <v/>
      </c>
      <c r="N773">
        <f>L773*(1-MIN((Inputs!$B$9+((C794=TRUE)*(F794-Calc!F25))+B809),100)/100)+M773*(MIN((Inputs!$B$9+((C794=TRUE)*(F794-Calc!F25))+B809),100)/100)</f>
        <v/>
      </c>
      <c r="O773">
        <f>(1-Summary!$B$55)*T773+Summary!$B$55*V773</f>
        <v/>
      </c>
      <c r="P773">
        <f>IF(B813=0,0,O773/B813)</f>
        <v/>
      </c>
      <c r="Q773">
        <f>IFERROR(1/IF(Inputs!$B$39="pvp",15,MAX(0.1,Skills!D4-IF(Skills!E4=TRUE,Inputs!$B$32,0))),0)</f>
        <v/>
      </c>
      <c r="R773">
        <f>IF(AND(Inputs!$B$39&lt;&gt;"pvp",Inputs!$B$44&gt;0),IF(MAX(0,Inputs!$B$44-B814)&lt;=0,0,(INT(MAX(0,Inputs!$B$44-B814)/IF(Inputs!$B$39="pvp",15,MAX(0.1,Skills!D4-IF(Skills!E4=TRUE,Inputs!$B$32,0))))+1)),0)</f>
        <v/>
      </c>
      <c r="S773">
        <f>IFERROR(O773/N773,0)</f>
        <v/>
      </c>
      <c r="T773">
        <f>IF(C773,(H773*N773*IF(AND(Inputs!$B$39&lt;&gt;"pvp",Inputs!$B$44&gt;0),((Skills!G4*((R773-1)*IF(Skills!H4&gt;0,Skills!I4/Skills!H4,1)+IF(Skills!H4&gt;0,MIN(Skills!I4,MAX(0,MAX(0,Inputs!$B$44-B814)-((R773-1)*IF(Inputs!$B$39="pvp",15,MAX(0.1,Skills!D4-IF(Skills!E4=TRUE,Inputs!$B$32,0))))))/Skills!H4,1)))/Inputs!$B$44),G773*Q773))*IF(Inputs!$B$39="pvp",1,1+(Inputs!$B$20+((C796=TRUE)*(F796-Calc!F27))+Skills!P4+B810)/100),0)</f>
        <v/>
      </c>
      <c r="U773">
        <f>MAX(0,(Inputs!$B$3-100)*3)+Inputs!$B$28+Inputs!$B$29</f>
        <v/>
      </c>
      <c r="V773">
        <f>IF(C773,(H773*N773*IF(AND(Inputs!$B$39&lt;&gt;"pvp",Inputs!$B$44&gt;0),((Skills!G4*((R773-1)*IF(Skills!H4&gt;0,Skills!I4/Skills!H4,1)+IF(Skills!H4&gt;0,MIN(Skills!I4,MAX(0,MAX(0,Inputs!$B$44-B814)-((R773-1)*IF(Inputs!$B$39="pvp",15,MAX(0.1,Skills!D4-IF(Skills!E4=TRUE,Inputs!$B$32,0))))))/Skills!H4,1)))/Inputs!$B$44),G773*Q773))*IF(Inputs!$B$39="pvp",1,(1+(Inputs!$B$21+Skills!Q4+B810)/100)*(MIN(Skills!W4,Inputs!$B$37))),0)</f>
        <v/>
      </c>
    </row>
    <row r="774">
      <c r="A774">
        <f>Skills!A5</f>
        <v/>
      </c>
      <c r="B774">
        <f>Skills!B5</f>
        <v/>
      </c>
      <c r="C774">
        <f>Inputs!$B$3&gt;=63</f>
        <v/>
      </c>
      <c r="D774">
        <f>IF(Skills!C5=1,60+Inputs!$B$25+Inputs!$B$29,IF(Skills!C5=2,90+Inputs!$B$26+Inputs!$B$29,IF(Skills!C5=3,120+Inputs!$B$27+Inputs!$B$29,MAX(0,(Inputs!$B$3-100)*3)+Inputs!$B$28+Inputs!$B$29)))</f>
        <v/>
      </c>
      <c r="E774">
        <f>INDEX(FactorTable!$B$2:$Y$301, MATCH(ROUND(MIN(300,MAX(1,D774)),0), FactorTable!$A$2:$A$301,0), Skills!M5+1)</f>
        <v/>
      </c>
      <c r="F774">
        <f>IF(Skills!N5=TRUE,(Skills!L5/10)*(E774/1000),Skills!L5/10)+Skills!O5</f>
        <v/>
      </c>
      <c r="G774">
        <f>Calc!G5</f>
        <v/>
      </c>
      <c r="H774">
        <f>Calc!H5</f>
        <v/>
      </c>
      <c r="I774">
        <f>IF(Skills!AA5&lt;&gt;"",1+(Skills!AA5/10)*(U772/1000)/100,1)</f>
        <v/>
      </c>
      <c r="J774">
        <f>((Inputs!$B$6*(1+Inputs!$B$7/100))+(((Inputs!$B$12*(1+Inputs!$B$13/100))-(Inputs!$B$12*(1+Inputs!$B$13/100)))+0.25*(Inputs!$B$14-Inputs!$B$14))*(1+Inputs!$B$7/100))*(F774/100)</f>
        <v/>
      </c>
      <c r="K774">
        <f>J774*(1+((Inputs!$B$12*(1+Inputs!$B$13/100))*0.01+Inputs!$B$14*0.0025)/100)*(1+Inputs!$B$15/100)*(1+Inputs!$B$16/100)*(5000/(6000+Inputs!$B$43*(1-Inputs!$B$19/100)))*(1+(Inputs!$B$24+((C799=TRUE)*(F799-Calc!F30)))/100)*(1+Skills!R5/100)*(1+(IF(Skills!A5="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774)</f>
        <v/>
      </c>
      <c r="L774">
        <f>K774*(MIN(Inputs!$B$22+((C793=TRUE)*(F793-Calc!F24)),Inputs!$B$23)/100+Inputs!$B$23/100)/2</f>
        <v/>
      </c>
      <c r="M774">
        <f>L774*(1+(Inputs!$B$10+((C795=TRUE)*(F795-Calc!F26))+B812)/100)</f>
        <v/>
      </c>
      <c r="N774">
        <f>L774*(1-MIN((Inputs!$B$9+((C794=TRUE)*(F794-Calc!F25))+B809),100)/100)+M774*(MIN((Inputs!$B$9+((C794=TRUE)*(F794-Calc!F25))+B809),100)/100)</f>
        <v/>
      </c>
      <c r="O774">
        <f>(1-Summary!$B$55)*T774+Summary!$B$55*V774</f>
        <v/>
      </c>
      <c r="P774">
        <f>IF(B813=0,0,O774/B813)</f>
        <v/>
      </c>
      <c r="Q774">
        <f>IFERROR(1/IF(Inputs!$B$39="pvp",15,MAX(0.1,Skills!D5-IF(Skills!E5=TRUE,Inputs!$B$32,0))),0)</f>
        <v/>
      </c>
      <c r="R774">
        <f>IF(AND(Inputs!$B$39&lt;&gt;"pvp",Inputs!$B$44&gt;0),IF(MAX(0,Inputs!$B$44-B814)&lt;=0,0,(INT(MAX(0,Inputs!$B$44-B814)/IF(Inputs!$B$39="pvp",15,MAX(0.1,Skills!D5-IF(Skills!E5=TRUE,Inputs!$B$32,0))))+1)),0)</f>
        <v/>
      </c>
      <c r="S774">
        <f>IFERROR(O774/N774,0)</f>
        <v/>
      </c>
      <c r="T774">
        <f>IF(C774,(H774*N774*IF(AND(Inputs!$B$39&lt;&gt;"pvp",Inputs!$B$44&gt;0),((Skills!G5*((R774-1)*IF(Skills!H5&gt;0,Skills!I5/Skills!H5,1)+IF(Skills!H5&gt;0,MIN(Skills!I5,MAX(0,MAX(0,Inputs!$B$44-B814)-((R774-1)*IF(Inputs!$B$39="pvp",15,MAX(0.1,Skills!D5-IF(Skills!E5=TRUE,Inputs!$B$32,0))))))/Skills!H5,1)))/Inputs!$B$44),G774*Q774))*IF(Inputs!$B$39="pvp",1,1+(Inputs!$B$20+((C796=TRUE)*(F796-Calc!F27))+Skills!P5+B810)/100),0)</f>
        <v/>
      </c>
      <c r="U774">
        <f>INDEX(FactorTable!$B$2:$Y$301, MATCH(ROUND(MIN(300,MAX(1,U773)),0), FactorTable!$A$2:$A$301,0), 22)</f>
        <v/>
      </c>
      <c r="V774">
        <f>IF(C774,(H774*N774*IF(AND(Inputs!$B$39&lt;&gt;"pvp",Inputs!$B$44&gt;0),((Skills!G5*((R774-1)*IF(Skills!H5&gt;0,Skills!I5/Skills!H5,1)+IF(Skills!H5&gt;0,MIN(Skills!I5,MAX(0,MAX(0,Inputs!$B$44-B814)-((R774-1)*IF(Inputs!$B$39="pvp",15,MAX(0.1,Skills!D5-IF(Skills!E5=TRUE,Inputs!$B$32,0))))))/Skills!H5,1)))/Inputs!$B$44),G774*Q774))*IF(Inputs!$B$39="pvp",1,(1+(Inputs!$B$21+Skills!Q5+B810)/100)*(MIN(Skills!W5,Inputs!$B$37))),0)</f>
        <v/>
      </c>
    </row>
    <row r="775">
      <c r="A775">
        <f>Skills!A6</f>
        <v/>
      </c>
      <c r="B775">
        <f>Skills!B6</f>
        <v/>
      </c>
      <c r="C775">
        <f>Inputs!$B$3&gt;=66</f>
        <v/>
      </c>
      <c r="D775">
        <f>IF(Skills!C6=1,60+Inputs!$B$25+Inputs!$B$29,IF(Skills!C6=2,90+Inputs!$B$26+Inputs!$B$29,IF(Skills!C6=3,120+Inputs!$B$27+Inputs!$B$29,MAX(0,(Inputs!$B$3-100)*3)+Inputs!$B$28+Inputs!$B$29)))</f>
        <v/>
      </c>
      <c r="E775">
        <f>INDEX(FactorTable!$B$2:$Y$301, MATCH(ROUND(MIN(300,MAX(1,D775)),0), FactorTable!$A$2:$A$301,0), Skills!M6+1)</f>
        <v/>
      </c>
      <c r="F775">
        <f>IF(Skills!N6=TRUE,(Skills!L6/10)*(E775/1000),Skills!L6/10)+Skills!O6</f>
        <v/>
      </c>
      <c r="G775">
        <f>Calc!G6</f>
        <v/>
      </c>
      <c r="H775">
        <f>Calc!H6</f>
        <v/>
      </c>
      <c r="I775">
        <f>IF(Skills!AA6&lt;&gt;"",1+(Skills!AA6/10)*(U772/1000)/100,1)</f>
        <v/>
      </c>
      <c r="J775" t="inlineStr"/>
      <c r="K775" t="inlineStr"/>
      <c r="L775" t="inlineStr"/>
      <c r="M775" t="inlineStr"/>
      <c r="N775" t="inlineStr"/>
      <c r="O775">
        <f>(1-Summary!$B$55)*T775+Summary!$B$55*V775</f>
        <v/>
      </c>
      <c r="P775">
        <f>IF(B813=0,0,O775/B813)</f>
        <v/>
      </c>
      <c r="Q775" t="n">
        <v>0</v>
      </c>
      <c r="R775" t="n">
        <v>0</v>
      </c>
      <c r="S775">
        <f>IFERROR(O775/N775,0)</f>
        <v/>
      </c>
      <c r="T775" t="n">
        <v>0</v>
      </c>
      <c r="U775">
        <f>290*U774/1000</f>
        <v/>
      </c>
      <c r="V775" t="n">
        <v>0</v>
      </c>
    </row>
    <row r="776">
      <c r="A776">
        <f>Skills!A7</f>
        <v/>
      </c>
      <c r="B776">
        <f>Skills!B7</f>
        <v/>
      </c>
      <c r="C776">
        <f>Inputs!$B$3&gt;=66</f>
        <v/>
      </c>
      <c r="D776">
        <f>IF(Skills!C7=1,60+Inputs!$B$25+Inputs!$B$29,IF(Skills!C7=2,90+Inputs!$B$26+Inputs!$B$29,IF(Skills!C7=3,120+Inputs!$B$27+Inputs!$B$29,MAX(0,(Inputs!$B$3-100)*3)+Inputs!$B$28+Inputs!$B$29)))</f>
        <v/>
      </c>
      <c r="E776">
        <f>INDEX(FactorTable!$B$2:$Y$301, MATCH(ROUND(MIN(300,MAX(1,D776)),0), FactorTable!$A$2:$A$301,0), Skills!M7+1)</f>
        <v/>
      </c>
      <c r="F776">
        <f>IF(Skills!N7=TRUE,(Skills!L7/10)*(E776/1000),Skills!L7/10)+Skills!O7</f>
        <v/>
      </c>
      <c r="G776">
        <f>Calc!G7</f>
        <v/>
      </c>
      <c r="H776">
        <f>Calc!H7</f>
        <v/>
      </c>
      <c r="I776">
        <f>IF(Skills!AA7&lt;&gt;"",1+(Skills!AA7/10)*(U772/1000)/100,1)</f>
        <v/>
      </c>
      <c r="J776" t="inlineStr"/>
      <c r="K776" t="inlineStr"/>
      <c r="L776" t="inlineStr"/>
      <c r="M776" t="inlineStr"/>
      <c r="N776" t="inlineStr"/>
      <c r="O776">
        <f>(1-Summary!$B$55)*T776+Summary!$B$55*V776</f>
        <v/>
      </c>
      <c r="P776">
        <f>IF(B813=0,0,O776/B813)</f>
        <v/>
      </c>
      <c r="Q776" t="n">
        <v>0</v>
      </c>
      <c r="R776" t="n">
        <v>0</v>
      </c>
      <c r="S776">
        <f>IFERROR(O776/N776,0)</f>
        <v/>
      </c>
      <c r="T776" t="n">
        <v>0</v>
      </c>
      <c r="V776" t="n">
        <v>0</v>
      </c>
    </row>
    <row r="777">
      <c r="A777">
        <f>Skills!A8</f>
        <v/>
      </c>
      <c r="B777">
        <f>Skills!B8</f>
        <v/>
      </c>
      <c r="C777">
        <f>Inputs!$B$3&gt;=69</f>
        <v/>
      </c>
      <c r="D777">
        <f>IF(Skills!C8=1,60+Inputs!$B$25+Inputs!$B$29,IF(Skills!C8=2,90+Inputs!$B$26+Inputs!$B$29,IF(Skills!C8=3,120+Inputs!$B$27+Inputs!$B$29,MAX(0,(Inputs!$B$3-100)*3)+Inputs!$B$28+Inputs!$B$29)))</f>
        <v/>
      </c>
      <c r="E777">
        <f>INDEX(FactorTable!$B$2:$Y$301, MATCH(ROUND(MIN(300,MAX(1,D777)),0), FactorTable!$A$2:$A$301,0), Skills!M8+1)</f>
        <v/>
      </c>
      <c r="F777">
        <f>IF(Skills!N8=TRUE,(Skills!L8/10)*(E777/1000),Skills!L8/10)+Skills!O8</f>
        <v/>
      </c>
      <c r="G777">
        <f>Calc!G8</f>
        <v/>
      </c>
      <c r="H777">
        <f>Calc!H8</f>
        <v/>
      </c>
      <c r="I777">
        <f>IF(Skills!AA8&lt;&gt;"",1+(Skills!AA8/10)*(U772/1000)/100,1)</f>
        <v/>
      </c>
      <c r="J777">
        <f>((Inputs!$B$6*(1+Inputs!$B$7/100))+(((Inputs!$B$12*(1+Inputs!$B$13/100))-(Inputs!$B$12*(1+Inputs!$B$13/100)))+0.25*(Inputs!$B$14-Inputs!$B$14))*(1+Inputs!$B$7/100))*(F777/100)</f>
        <v/>
      </c>
      <c r="K777">
        <f>J777*(1+((Inputs!$B$12*(1+Inputs!$B$13/100))*0.01+Inputs!$B$14*0.0025)/100)*(1+Inputs!$B$15/100)*(1+Inputs!$B$16/100)*(5000/(6000+Inputs!$B$43*(1-Inputs!$B$19/100)))*(1+(Inputs!$B$24+((C799=TRUE)*(F799-Calc!F30)))/100)*(1+Skills!R8/100)*(1+(IF(Skills!A8="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777)</f>
        <v/>
      </c>
      <c r="L777">
        <f>K777*(MIN(Inputs!$B$22+((C793=TRUE)*(F793-Calc!F24)),Inputs!$B$23)/100+Inputs!$B$23/100)/2</f>
        <v/>
      </c>
      <c r="M777">
        <f>L777*(1+(Inputs!$B$10+((C795=TRUE)*(F795-Calc!F26))+B812)/100)</f>
        <v/>
      </c>
      <c r="N777">
        <f>L777*(1-MIN((Inputs!$B$9+((C794=TRUE)*(F794-Calc!F25))+B809),100)/100)+M777*(MIN((Inputs!$B$9+((C794=TRUE)*(F794-Calc!F25))+B809),100)/100)</f>
        <v/>
      </c>
      <c r="O777">
        <f>(1-Summary!$B$55)*T777+Summary!$B$55*V777</f>
        <v/>
      </c>
      <c r="P777">
        <f>IF(B813=0,0,O777/B813)</f>
        <v/>
      </c>
      <c r="Q777">
        <f>IFERROR(1/IF(Inputs!$B$39="pvp",15,MAX(0.1,Skills!D8-IF(Skills!E8=TRUE,Inputs!$B$32,0))),0)</f>
        <v/>
      </c>
      <c r="R777">
        <f>IF(AND(Inputs!$B$39&lt;&gt;"pvp",Inputs!$B$44&gt;0),IF(MAX(0,Inputs!$B$44-B814)&lt;=0,0,(INT(MAX(0,Inputs!$B$44-B814)/IF(Inputs!$B$39="pvp",15,MAX(0.1,Skills!D8-IF(Skills!E8=TRUE,Inputs!$B$32,0))))+1)),0)</f>
        <v/>
      </c>
      <c r="S777">
        <f>IFERROR(O777/N777,0)</f>
        <v/>
      </c>
      <c r="T777">
        <f>IF(C777,(H777*N777*IF(AND(Inputs!$B$39&lt;&gt;"pvp",Inputs!$B$44&gt;0),((Skills!G8*((R777-1)*IF(Skills!H8&gt;0,Skills!I8/Skills!H8,1)+IF(Skills!H8&gt;0,MIN(Skills!I8,MAX(0,MAX(0,Inputs!$B$44-B814)-((R777-1)*IF(Inputs!$B$39="pvp",15,MAX(0.1,Skills!D8-IF(Skills!E8=TRUE,Inputs!$B$32,0))))))/Skills!H8,1)))/Inputs!$B$44),G777*Q777))*IF(Inputs!$B$39="pvp",1,1+(Inputs!$B$20+((C796=TRUE)*(F796-Calc!F27))+Skills!P8+B810)/100),0)</f>
        <v/>
      </c>
      <c r="V777">
        <f>IF(C777,(H777*N777*IF(AND(Inputs!$B$39&lt;&gt;"pvp",Inputs!$B$44&gt;0),((Skills!G8*((R777-1)*IF(Skills!H8&gt;0,Skills!I8/Skills!H8,1)+IF(Skills!H8&gt;0,MIN(Skills!I8,MAX(0,MAX(0,Inputs!$B$44-B814)-((R777-1)*IF(Inputs!$B$39="pvp",15,MAX(0.1,Skills!D8-IF(Skills!E8=TRUE,Inputs!$B$32,0))))))/Skills!H8,1)))/Inputs!$B$44),G777*Q777))*IF(Inputs!$B$39="pvp",1,(1+(Inputs!$B$21+Skills!Q8+B810)/100)*(MIN(Skills!W8,Inputs!$B$37))),0)</f>
        <v/>
      </c>
    </row>
    <row r="778">
      <c r="A778">
        <f>Skills!A9</f>
        <v/>
      </c>
      <c r="B778">
        <f>Skills!B9</f>
        <v/>
      </c>
      <c r="C778">
        <f>Inputs!$B$3&gt;=72</f>
        <v/>
      </c>
      <c r="D778">
        <f>IF(Skills!C9=1,60+Inputs!$B$25+Inputs!$B$29,IF(Skills!C9=2,90+Inputs!$B$26+Inputs!$B$29,IF(Skills!C9=3,120+Inputs!$B$27+Inputs!$B$29,MAX(0,(Inputs!$B$3-100)*3)+Inputs!$B$28+Inputs!$B$29)))</f>
        <v/>
      </c>
      <c r="E778">
        <f>INDEX(FactorTable!$B$2:$Y$301, MATCH(ROUND(MIN(300,MAX(1,D778)),0), FactorTable!$A$2:$A$301,0), Skills!M9+1)</f>
        <v/>
      </c>
      <c r="F778">
        <f>IF(Skills!N9=TRUE,(Skills!L9/10)*(E778/1000),Skills!L9/10)+Skills!O9</f>
        <v/>
      </c>
      <c r="G778">
        <f>Calc!G9</f>
        <v/>
      </c>
      <c r="H778">
        <f>Calc!H9</f>
        <v/>
      </c>
      <c r="I778">
        <f>IF(Skills!AA9&lt;&gt;"",1+(Skills!AA9/10)*(U772/1000)/100,1)</f>
        <v/>
      </c>
      <c r="J778">
        <f>((Inputs!$B$6*(1+Inputs!$B$7/100))+(((Inputs!$B$12*(1+Inputs!$B$13/100))-(Inputs!$B$12*(1+Inputs!$B$13/100)))+0.25*(Inputs!$B$14-Inputs!$B$14))*(1+Inputs!$B$7/100))*(F778/100)</f>
        <v/>
      </c>
      <c r="K778">
        <f>J778*(1+((Inputs!$B$12*(1+Inputs!$B$13/100))*0.01+Inputs!$B$14*0.0025)/100)*(1+Inputs!$B$15/100)*(1+Inputs!$B$16/100)*(5000/(6000+Inputs!$B$43*(1-Inputs!$B$19/100)))*(1+(Inputs!$B$24+((C799=TRUE)*(F799-Calc!F30)))/100)*(1+Skills!R9/100)*(1+(IF(Skills!A9="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778)</f>
        <v/>
      </c>
      <c r="L778">
        <f>K778*(MIN(Inputs!$B$22+((C793=TRUE)*(F793-Calc!F24)),Inputs!$B$23)/100+Inputs!$B$23/100)/2</f>
        <v/>
      </c>
      <c r="M778">
        <f>L778*(1+(Inputs!$B$10+((C795=TRUE)*(F795-Calc!F26))+B812)/100)</f>
        <v/>
      </c>
      <c r="N778">
        <f>L778*(1-MIN((Inputs!$B$9+((C794=TRUE)*(F794-Calc!F25))+B809),100)/100)+M778*(MIN((Inputs!$B$9+((C794=TRUE)*(F794-Calc!F25))+B809),100)/100)</f>
        <v/>
      </c>
      <c r="O778">
        <f>(1-Summary!$B$55)*T778+Summary!$B$55*V778</f>
        <v/>
      </c>
      <c r="P778">
        <f>IF(B813=0,0,O778/B813)</f>
        <v/>
      </c>
      <c r="Q778">
        <f>IFERROR(1/IF(Inputs!$B$39="pvp",15,MAX(0.1,Skills!D9-IF(Skills!E9=TRUE,Inputs!$B$32,0))),0)</f>
        <v/>
      </c>
      <c r="R778">
        <f>IF(AND(Inputs!$B$39&lt;&gt;"pvp",Inputs!$B$44&gt;0),IF(MAX(0,Inputs!$B$44-B814)&lt;=0,0,(INT(MAX(0,Inputs!$B$44-B814)/IF(Inputs!$B$39="pvp",15,MAX(0.1,Skills!D9-IF(Skills!E9=TRUE,Inputs!$B$32,0))))+1)),0)</f>
        <v/>
      </c>
      <c r="S778">
        <f>IFERROR(O778/N778,0)</f>
        <v/>
      </c>
      <c r="T778">
        <f>IF(C778,(H778*N778*IF(AND(Inputs!$B$39&lt;&gt;"pvp",Inputs!$B$44&gt;0),((Skills!G9*((R778-1)*IF(Skills!H9&gt;0,Skills!I9/Skills!H9,1)+IF(Skills!H9&gt;0,MIN(Skills!I9,MAX(0,MAX(0,Inputs!$B$44-B814)-((R778-1)*IF(Inputs!$B$39="pvp",15,MAX(0.1,Skills!D9-IF(Skills!E9=TRUE,Inputs!$B$32,0))))))/Skills!H9,1)))/Inputs!$B$44),G778*Q778))*IF(Inputs!$B$39="pvp",1,1+(Inputs!$B$20+((C796=TRUE)*(F796-Calc!F27))+Skills!P9+B810)/100),0)</f>
        <v/>
      </c>
      <c r="V778">
        <f>IF(C778,(H778*N778*IF(AND(Inputs!$B$39&lt;&gt;"pvp",Inputs!$B$44&gt;0),((Skills!G9*((R778-1)*IF(Skills!H9&gt;0,Skills!I9/Skills!H9,1)+IF(Skills!H9&gt;0,MIN(Skills!I9,MAX(0,MAX(0,Inputs!$B$44-B814)-((R778-1)*IF(Inputs!$B$39="pvp",15,MAX(0.1,Skills!D9-IF(Skills!E9=TRUE,Inputs!$B$32,0))))))/Skills!H9,1)))/Inputs!$B$44),G778*Q778))*IF(Inputs!$B$39="pvp",1,(1+(Inputs!$B$21+Skills!Q9+B810)/100)*(MIN(Skills!W9,Inputs!$B$37))),0)</f>
        <v/>
      </c>
    </row>
    <row r="779">
      <c r="A779">
        <f>Skills!A10</f>
        <v/>
      </c>
      <c r="B779">
        <f>Skills!B10</f>
        <v/>
      </c>
      <c r="C779">
        <f>Inputs!$B$3&gt;=117</f>
        <v/>
      </c>
      <c r="D779">
        <f>IF(Skills!C10=1,60+Inputs!$B$25+Inputs!$B$29,IF(Skills!C10=2,90+Inputs!$B$26+Inputs!$B$29,IF(Skills!C10=3,120+Inputs!$B$27+Inputs!$B$29,MAX(0,(Inputs!$B$3-100)*3)+Inputs!$B$28+Inputs!$B$29)))</f>
        <v/>
      </c>
      <c r="E779">
        <f>INDEX(FactorTable!$B$2:$Y$301, MATCH(ROUND(MIN(300,MAX(1,D779)),0), FactorTable!$A$2:$A$301,0), Skills!M10+1)</f>
        <v/>
      </c>
      <c r="F779">
        <f>IF(Skills!N10=TRUE,(Skills!L10/10)*(E779/1000),Skills!L10/10)+Skills!O10</f>
        <v/>
      </c>
      <c r="G779">
        <f>Calc!G10</f>
        <v/>
      </c>
      <c r="H779">
        <f>Calc!H10</f>
        <v/>
      </c>
      <c r="I779">
        <f>IF(Skills!AA10&lt;&gt;"",1+(Skills!AA10/10)*(U772/1000)/100,1)</f>
        <v/>
      </c>
      <c r="J779">
        <f>((Inputs!$B$6*(1+Inputs!$B$7/100))+(((Inputs!$B$12*(1+Inputs!$B$13/100))-(Inputs!$B$12*(1+Inputs!$B$13/100)))+0.25*(Inputs!$B$14-Inputs!$B$14))*(1+Inputs!$B$7/100))*(F779/100)</f>
        <v/>
      </c>
      <c r="K779">
        <f>J779*(1+((Inputs!$B$12*(1+Inputs!$B$13/100))*0.01+Inputs!$B$14*0.0025)/100)*(1+Inputs!$B$15/100)*(1+Inputs!$B$16/100)*(5000/(6000+Inputs!$B$43*(1-Inputs!$B$19/100)))*(1+(Inputs!$B$24+((C799=TRUE)*(F799-Calc!F30)))/100)*(1+Skills!R10/100)*(1+(IF(Skills!A10="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779)</f>
        <v/>
      </c>
      <c r="L779">
        <f>K779*(MIN(Inputs!$B$22+((C793=TRUE)*(F793-Calc!F24)),Inputs!$B$23)/100+Inputs!$B$23/100)/2</f>
        <v/>
      </c>
      <c r="M779">
        <f>L779*(1+(Inputs!$B$10+((C795=TRUE)*(F795-Calc!F26))+B812)/100)</f>
        <v/>
      </c>
      <c r="N779">
        <f>L779*(1-MIN((Inputs!$B$9+((C794=TRUE)*(F794-Calc!F25))+B809),100)/100)+M779*(MIN((Inputs!$B$9+((C794=TRUE)*(F794-Calc!F25))+B809),100)/100)</f>
        <v/>
      </c>
      <c r="O779">
        <f>(1-Summary!$B$55)*T779+Summary!$B$55*V779</f>
        <v/>
      </c>
      <c r="P779">
        <f>IF(B813=0,0,O779/B813)</f>
        <v/>
      </c>
      <c r="Q779" t="n">
        <v>0</v>
      </c>
      <c r="R779" t="n">
        <v>0</v>
      </c>
      <c r="S779" t="n">
        <v>0</v>
      </c>
      <c r="T779">
        <f>IF(C779,(0.2*SUMPRODUCT((Skills!Z2:Z31=TRUE)*(C771:C800=TRUE)*S771:S800)*N779)*IF(Inputs!$B$39="pvp",1,1+(Inputs!$B$20+((C796=TRUE)*(F796-Calc!F27))+Skills!P10+B810)/100),0)</f>
        <v/>
      </c>
      <c r="V779">
        <f>IF(C779,(0.2*SUMPRODUCT((Skills!Z2:Z31=TRUE)*(C771:C800=TRUE)*S771:S800)*N779)*IF(Inputs!$B$39="pvp",1,(1+(Inputs!$B$21+Skills!Q10+B810)/100)*(MIN(Skills!W10,Inputs!$B$37))),0)</f>
        <v/>
      </c>
    </row>
    <row r="780">
      <c r="A780">
        <f>Skills!A11</f>
        <v/>
      </c>
      <c r="B780">
        <f>Skills!B11</f>
        <v/>
      </c>
      <c r="C780">
        <f>Inputs!$B$3&gt;=60</f>
        <v/>
      </c>
      <c r="D780">
        <f>IF(Skills!C11=1,60+Inputs!$B$25+Inputs!$B$29,IF(Skills!C11=2,90+Inputs!$B$26+Inputs!$B$29,IF(Skills!C11=3,120+Inputs!$B$27+Inputs!$B$29,MAX(0,(Inputs!$B$3-100)*3)+Inputs!$B$28+Inputs!$B$29)))</f>
        <v/>
      </c>
      <c r="E780">
        <f>INDEX(FactorTable!$B$2:$Y$301, MATCH(ROUND(MIN(300,MAX(1,D780)),0), FactorTable!$A$2:$A$301,0), Skills!M11+1)</f>
        <v/>
      </c>
      <c r="F780">
        <f>IF(Skills!N11=TRUE,(Skills!L11/10)*(E780/1000),Skills!L11/10)+Skills!O11</f>
        <v/>
      </c>
      <c r="G780">
        <f>Calc!G11</f>
        <v/>
      </c>
      <c r="H780">
        <f>Calc!H11</f>
        <v/>
      </c>
      <c r="I780">
        <f>IF(Skills!AA11&lt;&gt;"",1+(Skills!AA11/10)*(U772/1000)/100,1)</f>
        <v/>
      </c>
      <c r="J780" t="inlineStr"/>
      <c r="K780" t="inlineStr"/>
      <c r="L780" t="inlineStr"/>
      <c r="M780" t="inlineStr"/>
      <c r="N780" t="inlineStr"/>
      <c r="O780">
        <f>(1-Summary!$B$55)*T780+Summary!$B$55*V780</f>
        <v/>
      </c>
      <c r="P780">
        <f>IF(B813=0,0,O780/B813)</f>
        <v/>
      </c>
      <c r="Q780" t="n">
        <v>0</v>
      </c>
      <c r="R780" t="n">
        <v>0</v>
      </c>
      <c r="S780">
        <f>IFERROR(O780/N780,0)</f>
        <v/>
      </c>
      <c r="T780" t="n">
        <v>0</v>
      </c>
      <c r="V780" t="n">
        <v>0</v>
      </c>
    </row>
    <row r="781">
      <c r="A781">
        <f>Skills!A12</f>
        <v/>
      </c>
      <c r="B781">
        <f>Skills!B12</f>
        <v/>
      </c>
      <c r="C781">
        <f>Inputs!$B$3&gt;=103</f>
        <v/>
      </c>
      <c r="D781">
        <f>IF(Skills!C12=1,60+Inputs!$B$25+Inputs!$B$29,IF(Skills!C12=2,90+Inputs!$B$26+Inputs!$B$29,IF(Skills!C12=3,120+Inputs!$B$27+Inputs!$B$29,MAX(0,(Inputs!$B$3-100)*3)+Inputs!$B$28+Inputs!$B$29)))</f>
        <v/>
      </c>
      <c r="E781">
        <f>INDEX(FactorTable!$B$2:$Y$301, MATCH(ROUND(MIN(300,MAX(1,D781)),0), FactorTable!$A$2:$A$301,0), Skills!M12+1)</f>
        <v/>
      </c>
      <c r="F781">
        <f>IF(Skills!N12=TRUE,(Skills!L12/10)*(E781/1000),Skills!L12/10)+Skills!O12</f>
        <v/>
      </c>
      <c r="G781">
        <f>Calc!G12</f>
        <v/>
      </c>
      <c r="H781">
        <f>Calc!H12</f>
        <v/>
      </c>
      <c r="I781">
        <f>IF(Skills!AA12&lt;&gt;"",1+(Skills!AA12/10)*(U772/1000)/100,1)</f>
        <v/>
      </c>
      <c r="J781">
        <f>((Inputs!$B$6*(1+Inputs!$B$7/100))+(((Inputs!$B$12*(1+Inputs!$B$13/100))-(Inputs!$B$12*(1+Inputs!$B$13/100)))+0.25*(Inputs!$B$14-Inputs!$B$14))*(1+Inputs!$B$7/100))*(F781/100)</f>
        <v/>
      </c>
      <c r="K781">
        <f>J781*(1+((Inputs!$B$12*(1+Inputs!$B$13/100))*0.01+Inputs!$B$14*0.0025)/100)*(1+Inputs!$B$15/100)*(1+Inputs!$B$16/100)*(5000/(6000+Inputs!$B$43*(1-Inputs!$B$19/100)))*(1+(Inputs!$B$24+((C799=TRUE)*(F799-Calc!F30)))/100)*(1+Skills!R12/100)*(1+(IF(Skills!A12="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781)</f>
        <v/>
      </c>
      <c r="L781">
        <f>K781*(MIN(Inputs!$B$22+((C793=TRUE)*(F793-Calc!F24)),Inputs!$B$23)/100+Inputs!$B$23/100)/2</f>
        <v/>
      </c>
      <c r="M781">
        <f>L781*(1+(Inputs!$B$10+((C795=TRUE)*(F795-Calc!F26))+B812)/100)</f>
        <v/>
      </c>
      <c r="N781">
        <f>L781*(1-MIN((Inputs!$B$9+((C794=TRUE)*(F794-Calc!F25))+B809),100)/100)+M781*(MIN((Inputs!$B$9+((C794=TRUE)*(F794-Calc!F25))+B809),100)/100)</f>
        <v/>
      </c>
      <c r="O781">
        <f>(1-Summary!$B$55)*T781+Summary!$B$55*V781</f>
        <v/>
      </c>
      <c r="P781">
        <f>IF(B813=0,0,O781/B813)</f>
        <v/>
      </c>
      <c r="Q781">
        <f>IFERROR(1/IF(Inputs!$B$39="pvp",15,MAX(0.1,Skills!D12-IF(Skills!E12=TRUE,Inputs!$B$32,0))),0)</f>
        <v/>
      </c>
      <c r="R781">
        <f>IF(AND(Inputs!$B$39&lt;&gt;"pvp",Inputs!$B$44&gt;0),IF(MAX(0,Inputs!$B$44-B814)&lt;=0,0,(INT(MAX(0,Inputs!$B$44-B814)/IF(Inputs!$B$39="pvp",15,MAX(0.1,Skills!D12-IF(Skills!E12=TRUE,Inputs!$B$32,0))))+1)),0)</f>
        <v/>
      </c>
      <c r="S781">
        <f>IFERROR(O781/N781,0)</f>
        <v/>
      </c>
      <c r="T781">
        <f>IF(C781,(H781*N781*IF(AND(Inputs!$B$39&lt;&gt;"pvp",Inputs!$B$44&gt;0),((Skills!G12*((R781-1)*IF(Skills!H12&gt;0,Skills!I12/Skills!H12,1)+IF(Skills!H12&gt;0,MIN(Skills!I12,MAX(0,MAX(0,Inputs!$B$44-B814)-((R781-1)*IF(Inputs!$B$39="pvp",15,MAX(0.1,Skills!D12-IF(Skills!E12=TRUE,Inputs!$B$32,0))))))/Skills!H12,1)))/Inputs!$B$44),G781*Q781))*IF(Inputs!$B$39="pvp",1,1+(Inputs!$B$20+((C796=TRUE)*(F796-Calc!F27))+Skills!P12+B810)/100),0)</f>
        <v/>
      </c>
      <c r="V781">
        <f>IF(C781,(H781*N781*IF(AND(Inputs!$B$39&lt;&gt;"pvp",Inputs!$B$44&gt;0),((Skills!G12*((R781-1)*IF(Skills!H12&gt;0,Skills!I12/Skills!H12,1)+IF(Skills!H12&gt;0,MIN(Skills!I12,MAX(0,MAX(0,Inputs!$B$44-B814)-((R781-1)*IF(Inputs!$B$39="pvp",15,MAX(0.1,Skills!D12-IF(Skills!E12=TRUE,Inputs!$B$32,0))))))/Skills!H12,1)))/Inputs!$B$44),G781*Q781))*IF(Inputs!$B$39="pvp",1,(1+(Inputs!$B$21+Skills!Q12+B810)/100)*(MIN(Skills!W12,Inputs!$B$37))),0)</f>
        <v/>
      </c>
    </row>
    <row r="782">
      <c r="A782">
        <f>Skills!A13</f>
        <v/>
      </c>
      <c r="B782">
        <f>Skills!B13</f>
        <v/>
      </c>
      <c r="C782">
        <f>Inputs!$B$3&gt;=105</f>
        <v/>
      </c>
      <c r="D782">
        <f>IF(Skills!C13=1,60+Inputs!$B$25+Inputs!$B$29,IF(Skills!C13=2,90+Inputs!$B$26+Inputs!$B$29,IF(Skills!C13=3,120+Inputs!$B$27+Inputs!$B$29,MAX(0,(Inputs!$B$3-100)*3)+Inputs!$B$28+Inputs!$B$29)))</f>
        <v/>
      </c>
      <c r="E782">
        <f>INDEX(FactorTable!$B$2:$Y$301, MATCH(ROUND(MIN(300,MAX(1,D782)),0), FactorTable!$A$2:$A$301,0), Skills!M13+1)</f>
        <v/>
      </c>
      <c r="F782">
        <f>IF(Skills!N13=TRUE,(Skills!L13/10)*(E782/1000),Skills!L13/10)+Skills!O13</f>
        <v/>
      </c>
      <c r="G782">
        <f>Calc!G13</f>
        <v/>
      </c>
      <c r="H782">
        <f>Calc!H13</f>
        <v/>
      </c>
      <c r="I782">
        <f>IF(Skills!AA13&lt;&gt;"",1+(Skills!AA13/10)*(U772/1000)/100,1)</f>
        <v/>
      </c>
      <c r="J782">
        <f>((Inputs!$B$6*(1+Inputs!$B$7/100))+(((Inputs!$B$12*(1+Inputs!$B$13/100))-(Inputs!$B$12*(1+Inputs!$B$13/100)))+0.25*(Inputs!$B$14-Inputs!$B$14))*(1+Inputs!$B$7/100))*(F782/100)</f>
        <v/>
      </c>
      <c r="K782">
        <f>J782*(1+((Inputs!$B$12*(1+Inputs!$B$13/100))*0.01+Inputs!$B$14*0.0025)/100)*(1+Inputs!$B$15/100)*(1+Inputs!$B$16/100)*(5000/(6000+Inputs!$B$43*(1-Inputs!$B$19/100)))*(1+(Inputs!$B$24+((C799=TRUE)*(F799-Calc!F30)))/100)*(1+Skills!R13/100)*(1+(IF(Skills!A13="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782)</f>
        <v/>
      </c>
      <c r="L782">
        <f>K782*(MIN(Inputs!$B$22+((C793=TRUE)*(F793-Calc!F24)),Inputs!$B$23)/100+Inputs!$B$23/100)/2</f>
        <v/>
      </c>
      <c r="M782">
        <f>L782*(1+(Inputs!$B$10+((C795=TRUE)*(F795-Calc!F26))+B812)/100)</f>
        <v/>
      </c>
      <c r="N782">
        <f>L782*(1-MIN((Inputs!$B$9+((C794=TRUE)*(F794-Calc!F25))+B809),100)/100)+M782*(MIN((Inputs!$B$9+((C794=TRUE)*(F794-Calc!F25))+B809),100)/100)</f>
        <v/>
      </c>
      <c r="O782">
        <f>(1-Summary!$B$55)*T782+Summary!$B$55*V782</f>
        <v/>
      </c>
      <c r="P782">
        <f>IF(B813=0,0,O782/B813)</f>
        <v/>
      </c>
      <c r="Q782">
        <f>IFERROR(1/IF(Inputs!$B$39="pvp",15,MAX(0.1,Skills!D13-IF(Skills!E13=TRUE,Inputs!$B$32,0))),0)</f>
        <v/>
      </c>
      <c r="R782">
        <f>IF(AND(Inputs!$B$39&lt;&gt;"pvp",Inputs!$B$44&gt;0),IF(MAX(0,Inputs!$B$44-B814)&lt;=0,0,(INT(MAX(0,Inputs!$B$44-B814)/IF(Inputs!$B$39="pvp",15,MAX(0.1,Skills!D13-IF(Skills!E13=TRUE,Inputs!$B$32,0))))+1)),0)</f>
        <v/>
      </c>
      <c r="S782">
        <f>IFERROR(O782/N782,0)</f>
        <v/>
      </c>
      <c r="T782">
        <f>IF(C782,(H782*N782*IF(AND(Inputs!$B$39&lt;&gt;"pvp",Inputs!$B$44&gt;0),((Skills!G13*((R782-1)*IF(Skills!H13&gt;0,Skills!I13/Skills!H13,1)+IF(Skills!H13&gt;0,MIN(Skills!I13,MAX(0,MAX(0,Inputs!$B$44-B814)-((R782-1)*IF(Inputs!$B$39="pvp",15,MAX(0.1,Skills!D13-IF(Skills!E13=TRUE,Inputs!$B$32,0))))))/Skills!H13,1)))/Inputs!$B$44),G782*Q782))*IF(Inputs!$B$39="pvp",1,1+(Inputs!$B$20+((C796=TRUE)*(F796-Calc!F27))+Skills!P13+B810)/100),0)</f>
        <v/>
      </c>
      <c r="V782">
        <f>IF(C782,(H782*N782*IF(AND(Inputs!$B$39&lt;&gt;"pvp",Inputs!$B$44&gt;0),((Skills!G13*((R782-1)*IF(Skills!H13&gt;0,Skills!I13/Skills!H13,1)+IF(Skills!H13&gt;0,MIN(Skills!I13,MAX(0,MAX(0,Inputs!$B$44-B814)-((R782-1)*IF(Inputs!$B$39="pvp",15,MAX(0.1,Skills!D13-IF(Skills!E13=TRUE,Inputs!$B$32,0))))))/Skills!H13,1)))/Inputs!$B$44),G782*Q782))*IF(Inputs!$B$39="pvp",1,(1+(Inputs!$B$21+Skills!Q13+B810)/100)*(MIN(Skills!W13,Inputs!$B$37))),0)</f>
        <v/>
      </c>
    </row>
    <row r="783">
      <c r="A783">
        <f>Skills!A14</f>
        <v/>
      </c>
      <c r="B783">
        <f>Skills!B14</f>
        <v/>
      </c>
      <c r="C783">
        <f>Inputs!$B$3&gt;=105</f>
        <v/>
      </c>
      <c r="D783">
        <f>IF(Skills!C14=1,60+Inputs!$B$25+Inputs!$B$29,IF(Skills!C14=2,90+Inputs!$B$26+Inputs!$B$29,IF(Skills!C14=3,120+Inputs!$B$27+Inputs!$B$29,MAX(0,(Inputs!$B$3-100)*3)+Inputs!$B$28+Inputs!$B$29)))</f>
        <v/>
      </c>
      <c r="E783">
        <f>INDEX(FactorTable!$B$2:$Y$301, MATCH(ROUND(MIN(300,MAX(1,D783)),0), FactorTable!$A$2:$A$301,0), Skills!M14+1)</f>
        <v/>
      </c>
      <c r="F783">
        <f>IF(Skills!N14=TRUE,(Skills!L14/10)*(E783/1000),Skills!L14/10)+Skills!O14</f>
        <v/>
      </c>
      <c r="G783">
        <f>Calc!G14</f>
        <v/>
      </c>
      <c r="H783">
        <f>Calc!H14</f>
        <v/>
      </c>
      <c r="I783">
        <f>IF(Skills!AA14&lt;&gt;"",1+(Skills!AA14/10)*(U772/1000)/100,1)</f>
        <v/>
      </c>
      <c r="J783">
        <f>((Inputs!$B$6*(1+Inputs!$B$7/100))+(((Inputs!$B$12*(1+Inputs!$B$13/100))-(Inputs!$B$12*(1+Inputs!$B$13/100)))+0.25*(Inputs!$B$14-Inputs!$B$14))*(1+Inputs!$B$7/100))*(F783/100)</f>
        <v/>
      </c>
      <c r="K783">
        <f>J783*(1+((Inputs!$B$12*(1+Inputs!$B$13/100))*0.01+Inputs!$B$14*0.0025)/100)*(1+Inputs!$B$15/100)*(1+Inputs!$B$16/100)*(5000/(6000+Inputs!$B$43*(1-Inputs!$B$19/100)))*(1+(Inputs!$B$24+((C799=TRUE)*(F799-Calc!F30)))/100)*(1+Skills!R14/100)*(1+(IF(Skills!A14="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783)</f>
        <v/>
      </c>
      <c r="L783">
        <f>K783*(MIN(Inputs!$B$22+((C793=TRUE)*(F793-Calc!F24)),Inputs!$B$23)/100+Inputs!$B$23/100)/2</f>
        <v/>
      </c>
      <c r="M783">
        <f>L783*(1+(Inputs!$B$10+((C795=TRUE)*(F795-Calc!F26))+B812)/100)</f>
        <v/>
      </c>
      <c r="N783">
        <f>L783*(1-MIN((Inputs!$B$9+((C794=TRUE)*(F794-Calc!F25))+B809),100)/100)+M783*(MIN((Inputs!$B$9+((C794=TRUE)*(F794-Calc!F25))+B809),100)/100)</f>
        <v/>
      </c>
      <c r="O783">
        <f>(1-Summary!$B$55)*T783+Summary!$B$55*V783</f>
        <v/>
      </c>
      <c r="P783">
        <f>IF(B813=0,0,O783/B813)</f>
        <v/>
      </c>
      <c r="Q783">
        <f>IFERROR(1/IF(Inputs!$B$39="pvp",15,MAX(0.1,Skills!D14-IF(Skills!E14=TRUE,Inputs!$B$32,0))),0)</f>
        <v/>
      </c>
      <c r="R783">
        <f>IF(AND(Inputs!$B$39&lt;&gt;"pvp",Inputs!$B$44&gt;0),IF(MAX(0,Inputs!$B$44-B814)&lt;=0,0,(INT(MAX(0,Inputs!$B$44-B814)/IF(Inputs!$B$39="pvp",15,MAX(0.1,Skills!D14-IF(Skills!E14=TRUE,Inputs!$B$32,0))))+1)),0)</f>
        <v/>
      </c>
      <c r="S783">
        <f>IFERROR(O783/N783,0)</f>
        <v/>
      </c>
      <c r="T783">
        <f>IF(C783,(H783*N783*IF(AND(Inputs!$B$39&lt;&gt;"pvp",Inputs!$B$44&gt;0),((Skills!G14*((R783-1)*IF(Skills!H14&gt;0,Skills!I14/Skills!H14,1)+IF(Skills!H14&gt;0,MIN(Skills!I14,MAX(0,MAX(0,Inputs!$B$44-B814)-((R783-1)*IF(Inputs!$B$39="pvp",15,MAX(0.1,Skills!D14-IF(Skills!E14=TRUE,Inputs!$B$32,0))))))/Skills!H14,1)))/Inputs!$B$44),G783*Q783))*IF(Inputs!$B$39="pvp",1,1+(Inputs!$B$20+((C796=TRUE)*(F796-Calc!F27))+Skills!P14+B810)/100),0)</f>
        <v/>
      </c>
      <c r="V783">
        <f>IF(C783,(H783*N783*IF(AND(Inputs!$B$39&lt;&gt;"pvp",Inputs!$B$44&gt;0),((Skills!G14*((R783-1)*IF(Skills!H14&gt;0,Skills!I14/Skills!H14,1)+IF(Skills!H14&gt;0,MIN(Skills!I14,MAX(0,MAX(0,Inputs!$B$44-B814)-((R783-1)*IF(Inputs!$B$39="pvp",15,MAX(0.1,Skills!D14-IF(Skills!E14=TRUE,Inputs!$B$32,0))))))/Skills!H14,1)))/Inputs!$B$44),G783*Q783))*IF(Inputs!$B$39="pvp",1,(1+(Inputs!$B$21+Skills!Q14+B810)/100)*(MIN(Skills!W14,Inputs!$B$37))),0)</f>
        <v/>
      </c>
    </row>
    <row r="784">
      <c r="A784">
        <f>Skills!A15</f>
        <v/>
      </c>
      <c r="B784">
        <f>Skills!B15</f>
        <v/>
      </c>
      <c r="C784">
        <f>Inputs!$B$3&gt;=110</f>
        <v/>
      </c>
      <c r="D784">
        <f>IF(Skills!C15=1,60+Inputs!$B$25+Inputs!$B$29,IF(Skills!C15=2,90+Inputs!$B$26+Inputs!$B$29,IF(Skills!C15=3,120+Inputs!$B$27+Inputs!$B$29,MAX(0,(Inputs!$B$3-100)*3)+Inputs!$B$28+Inputs!$B$29)))</f>
        <v/>
      </c>
      <c r="E784">
        <f>INDEX(FactorTable!$B$2:$Y$301, MATCH(ROUND(MIN(300,MAX(1,D784)),0), FactorTable!$A$2:$A$301,0), Skills!M15+1)</f>
        <v/>
      </c>
      <c r="F784">
        <f>IF(Skills!N15=TRUE,(Skills!L15/10)*(E784/1000),Skills!L15/10)+Skills!O15</f>
        <v/>
      </c>
      <c r="G784">
        <f>Calc!G15</f>
        <v/>
      </c>
      <c r="H784">
        <f>Calc!H15</f>
        <v/>
      </c>
      <c r="I784">
        <f>IF(Skills!AA15&lt;&gt;"",1+(Skills!AA15/10)*(U772/1000)/100,1)</f>
        <v/>
      </c>
      <c r="J784" t="inlineStr"/>
      <c r="K784" t="inlineStr"/>
      <c r="L784" t="inlineStr"/>
      <c r="M784" t="inlineStr"/>
      <c r="N784" t="inlineStr"/>
      <c r="O784">
        <f>(1-Summary!$B$55)*T784+Summary!$B$55*V784</f>
        <v/>
      </c>
      <c r="P784">
        <f>IF(B813=0,0,O784/B813)</f>
        <v/>
      </c>
      <c r="Q784">
        <f>IFERROR(1/IF(Inputs!$B$39="pvp",15,MAX(0.1,Skills!D15-IF(Skills!E15=TRUE,Inputs!$B$32,0))),0)</f>
        <v/>
      </c>
      <c r="R784">
        <f>IF(AND(Inputs!$B$39&lt;&gt;"pvp",Inputs!$B$44&gt;0),IF(Inputs!$B$44&lt;=0,0,(INT(Inputs!$B$44/IF(Inputs!$B$39="pvp",15,MAX(0.1,Skills!D15-IF(Skills!E15=TRUE,Inputs!$B$32,0))))+1)),0)</f>
        <v/>
      </c>
      <c r="S784">
        <f>IFERROR(O784/N784,0)</f>
        <v/>
      </c>
      <c r="T784" t="n">
        <v>0</v>
      </c>
      <c r="V784" t="n">
        <v>0</v>
      </c>
    </row>
    <row r="785">
      <c r="A785">
        <f>Skills!A16</f>
        <v/>
      </c>
      <c r="B785">
        <f>Skills!B16</f>
        <v/>
      </c>
      <c r="C785">
        <f>Inputs!$B$3&gt;=110</f>
        <v/>
      </c>
      <c r="D785">
        <f>IF(Skills!C16=1,60+Inputs!$B$25+Inputs!$B$29,IF(Skills!C16=2,90+Inputs!$B$26+Inputs!$B$29,IF(Skills!C16=3,120+Inputs!$B$27+Inputs!$B$29,MAX(0,(Inputs!$B$3-100)*3)+Inputs!$B$28+Inputs!$B$29)))</f>
        <v/>
      </c>
      <c r="E785">
        <f>INDEX(FactorTable!$B$2:$Y$301, MATCH(ROUND(MIN(300,MAX(1,D785)),0), FactorTable!$A$2:$A$301,0), Skills!M16+1)</f>
        <v/>
      </c>
      <c r="F785">
        <f>IF(Skills!N16=TRUE,(Skills!L16/10)*(E785/1000),Skills!L16/10)+Skills!O16</f>
        <v/>
      </c>
      <c r="G785">
        <f>Calc!G16</f>
        <v/>
      </c>
      <c r="H785">
        <f>Calc!H16</f>
        <v/>
      </c>
      <c r="I785">
        <f>IF(Skills!AA16&lt;&gt;"",1+(Skills!AA16/10)*(U772/1000)/100,1)</f>
        <v/>
      </c>
      <c r="J785" t="inlineStr"/>
      <c r="K785" t="inlineStr"/>
      <c r="L785" t="inlineStr"/>
      <c r="M785" t="inlineStr"/>
      <c r="N785" t="inlineStr"/>
      <c r="O785">
        <f>(1-Summary!$B$55)*T785+Summary!$B$55*V785</f>
        <v/>
      </c>
      <c r="P785">
        <f>IF(B813=0,0,O785/B813)</f>
        <v/>
      </c>
      <c r="Q785">
        <f>IFERROR(1/IF(Inputs!$B$39="pvp",15,MAX(0.1,Skills!D16-IF(Skills!E16=TRUE,Inputs!$B$32,0))),0)</f>
        <v/>
      </c>
      <c r="R785">
        <f>IF(AND(Inputs!$B$39&lt;&gt;"pvp",Inputs!$B$44&gt;0),IF(Inputs!$B$44&lt;=0,0,(INT(Inputs!$B$44/IF(Inputs!$B$39="pvp",15,MAX(0.1,Skills!D16-IF(Skills!E16=TRUE,Inputs!$B$32,0))))+1)),0)</f>
        <v/>
      </c>
      <c r="S785">
        <f>IFERROR(O785/N785,0)</f>
        <v/>
      </c>
      <c r="T785" t="n">
        <v>0</v>
      </c>
      <c r="V785" t="n">
        <v>0</v>
      </c>
    </row>
    <row r="786">
      <c r="A786">
        <f>Skills!A17</f>
        <v/>
      </c>
      <c r="B786">
        <f>Skills!B17</f>
        <v/>
      </c>
      <c r="C786">
        <f>Inputs!$B$3&gt;=115</f>
        <v/>
      </c>
      <c r="D786">
        <f>IF(Skills!C17=1,60+Inputs!$B$25+Inputs!$B$29,IF(Skills!C17=2,90+Inputs!$B$26+Inputs!$B$29,IF(Skills!C17=3,120+Inputs!$B$27+Inputs!$B$29,MAX(0,(Inputs!$B$3-100)*3)+Inputs!$B$28+Inputs!$B$29)))</f>
        <v/>
      </c>
      <c r="E786">
        <f>INDEX(FactorTable!$B$2:$Y$301, MATCH(ROUND(MIN(300,MAX(1,D786)),0), FactorTable!$A$2:$A$301,0), Skills!M17+1)</f>
        <v/>
      </c>
      <c r="F786">
        <f>IF(Skills!N17=TRUE,(Skills!L17/10)*(E786/1000),Skills!L17/10)+Skills!O17</f>
        <v/>
      </c>
      <c r="G786">
        <f>Calc!G17</f>
        <v/>
      </c>
      <c r="H786">
        <f>Calc!H17</f>
        <v/>
      </c>
      <c r="I786">
        <f>IF(Skills!AA17&lt;&gt;"",1+(Skills!AA17/10)*(U772/1000)/100,1)</f>
        <v/>
      </c>
      <c r="J786">
        <f>((Inputs!$B$6*(1+Inputs!$B$7/100))+(((Inputs!$B$12*(1+Inputs!$B$13/100))-(Inputs!$B$12*(1+Inputs!$B$13/100)))+0.25*(Inputs!$B$14-Inputs!$B$14))*(1+Inputs!$B$7/100))*(F786/100)</f>
        <v/>
      </c>
      <c r="K786">
        <f>J786*(1+((Inputs!$B$12*(1+Inputs!$B$13/100))*0.01+Inputs!$B$14*0.0025)/100)*(1+Inputs!$B$15/100)*(1+Inputs!$B$16/100)*(5000/(6000+Inputs!$B$43*(1-Inputs!$B$19/100)))*(1+(Inputs!$B$24+((C799=TRUE)*(F799-Calc!F30)))/100)*(1+Skills!R17/100)*(1+(IF(Skills!A17="SHOWDOWN",Inputs!$B$17+((C792=TRUE)*(F792-Calc!F23)),(Inputs!$B$18+1)+((C798=TRUE)*(F798-Calc!F29))))/100)*(((1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B811*I786)</f>
        <v/>
      </c>
      <c r="L786">
        <f>K786*(MIN(Inputs!$B$22+((C793=TRUE)*(F793-Calc!F24)),Inputs!$B$23)/100+Inputs!$B$23/100)/2</f>
        <v/>
      </c>
      <c r="M786">
        <f>L786*(1+(Inputs!$B$10+((C795=TRUE)*(F795-Calc!F26))+B812)/100)</f>
        <v/>
      </c>
      <c r="N786">
        <f>L786*(1-MIN((Inputs!$B$9+((C794=TRUE)*(F794-Calc!F25))+B809),100)/100)+M786*(MIN((Inputs!$B$9+((C794=TRUE)*(F794-Calc!F25))+B809),100)/100)</f>
        <v/>
      </c>
      <c r="O786">
        <f>(1-Summary!$B$55)*T786+Summary!$B$55*V786</f>
        <v/>
      </c>
      <c r="P786">
        <f>IF(B813=0,0,O786/B813)</f>
        <v/>
      </c>
      <c r="Q786" t="n">
        <v>0</v>
      </c>
      <c r="R786" t="n">
        <v>0</v>
      </c>
      <c r="S786">
        <f>IFERROR(O786/N786,0)</f>
        <v/>
      </c>
      <c r="T786">
        <f>IF(C786,(Inputs!$B$38*0.2*N786)*IF(Inputs!$B$39="pvp",1,1+(Inputs!$B$20+((C796=TRUE)*(F796-Calc!F27))+Skills!P17+B810)/100),0)</f>
        <v/>
      </c>
      <c r="V786">
        <f>IF(C786,(Inputs!$B$38*0.2*N786)*IF(Inputs!$B$39="pvp",1,(1+(Inputs!$B$21+Skills!Q17+B810)/100)*(MIN(Skills!W17,Inputs!$B$37))),0)</f>
        <v/>
      </c>
    </row>
    <row r="787">
      <c r="A787">
        <f>Skills!A18</f>
        <v/>
      </c>
      <c r="B787">
        <f>Skills!B18</f>
        <v/>
      </c>
      <c r="C787">
        <f>Inputs!$B$3&gt;=115</f>
        <v/>
      </c>
      <c r="D787">
        <f>IF(Skills!C18=1,60+Inputs!$B$25+Inputs!$B$29,IF(Skills!C18=2,90+Inputs!$B$26+Inputs!$B$29,IF(Skills!C18=3,120+Inputs!$B$27+Inputs!$B$29,MAX(0,(Inputs!$B$3-100)*3)+Inputs!$B$28+Inputs!$B$29)))</f>
        <v/>
      </c>
      <c r="E787">
        <f>INDEX(FactorTable!$B$2:$Y$301, MATCH(ROUND(MIN(300,MAX(1,D787)),0), FactorTable!$A$2:$A$301,0), Skills!M18+1)</f>
        <v/>
      </c>
      <c r="F787">
        <f>IF(Skills!N18=TRUE,(Skills!L18/10)*(E787/1000),Skills!L18/10)+Skills!O18</f>
        <v/>
      </c>
      <c r="G787">
        <f>Calc!G18</f>
        <v/>
      </c>
      <c r="H787">
        <f>Calc!H18</f>
        <v/>
      </c>
      <c r="I787">
        <f>IF(Skills!AA18&lt;&gt;"",1+(Skills!AA18/10)*(U772/1000)/100,1)</f>
        <v/>
      </c>
      <c r="J787" t="inlineStr"/>
      <c r="K787" t="inlineStr"/>
      <c r="L787" t="inlineStr"/>
      <c r="M787" t="inlineStr"/>
      <c r="N787" t="inlineStr"/>
      <c r="O787">
        <f>(1-Summary!$B$55)*T787+Summary!$B$55*V787</f>
        <v/>
      </c>
      <c r="P787">
        <f>IF(B813=0,0,O787/B813)</f>
        <v/>
      </c>
      <c r="Q787" t="n">
        <v>0</v>
      </c>
      <c r="R787" t="n">
        <v>0</v>
      </c>
      <c r="S787">
        <f>IFERROR(O787/N787,0)</f>
        <v/>
      </c>
      <c r="T787" t="n">
        <v>0</v>
      </c>
      <c r="V787" t="n">
        <v>0</v>
      </c>
    </row>
    <row r="788">
      <c r="A788">
        <f>Skills!A19</f>
        <v/>
      </c>
      <c r="B788">
        <f>Skills!B19</f>
        <v/>
      </c>
      <c r="C788">
        <f>TRUE</f>
        <v/>
      </c>
      <c r="D788">
        <f>IF(Skills!C19=1,60+Inputs!$B$25+Inputs!$B$29,IF(Skills!C19=2,90+Inputs!$B$26+Inputs!$B$29,IF(Skills!C19=3,120+Inputs!$B$27+Inputs!$B$29,MAX(0,(Inputs!$B$3-100)*3)+Inputs!$B$28+Inputs!$B$29)))</f>
        <v/>
      </c>
      <c r="E788">
        <f>INDEX(FactorTable!$B$2:$Y$301, MATCH(ROUND(MIN(300,MAX(1,D788)),0), FactorTable!$A$2:$A$301,0), Skills!M19+1)</f>
        <v/>
      </c>
      <c r="F788">
        <f>IF(Skills!N19=TRUE,(Skills!L19/10)*(E788/1000),Skills!L19/10)+Skills!O19</f>
        <v/>
      </c>
      <c r="G788">
        <f>Calc!G19</f>
        <v/>
      </c>
      <c r="H788">
        <f>Calc!H19</f>
        <v/>
      </c>
      <c r="I788">
        <f>IF(Skills!AA19&lt;&gt;"",1+(Skills!AA19/10)*(U772/1000)/100,1)</f>
        <v/>
      </c>
      <c r="J788" t="inlineStr"/>
      <c r="K788" t="inlineStr"/>
      <c r="L788" t="inlineStr"/>
      <c r="M788" t="inlineStr"/>
      <c r="N788" t="inlineStr"/>
      <c r="O788">
        <f>(1-Summary!$B$55)*T788+Summary!$B$55*V788</f>
        <v/>
      </c>
      <c r="P788">
        <f>IF(B813=0,0,O788/B813)</f>
        <v/>
      </c>
      <c r="Q788">
        <f>IFERROR(1/IF(Inputs!$B$39="pvp",15,MAX(0.1,Skills!D19-IF(Skills!E19=TRUE,Inputs!$B$32,0))),0)</f>
        <v/>
      </c>
      <c r="R788">
        <f>IF(AND(Inputs!$B$39&lt;&gt;"pvp",Inputs!$B$44&gt;0),IF(Inputs!$B$44&lt;=0,0,(INT(Inputs!$B$44/IF(Inputs!$B$39="pvp",15,MAX(0.1,Skills!D19-IF(Skills!E19=TRUE,Inputs!$B$32,0))))+1)),0)</f>
        <v/>
      </c>
      <c r="S788">
        <f>IFERROR(O788/N788,0)</f>
        <v/>
      </c>
      <c r="T788" t="n">
        <v>0</v>
      </c>
      <c r="V788" t="n">
        <v>0</v>
      </c>
    </row>
    <row r="789">
      <c r="A789">
        <f>Skills!A20</f>
        <v/>
      </c>
      <c r="B789">
        <f>Skills!B20</f>
        <v/>
      </c>
      <c r="C789">
        <f>Inputs!$B$3&gt;=15</f>
        <v/>
      </c>
      <c r="D789">
        <f>IF(Skills!C20=1,60+Inputs!$B$25+Inputs!$B$29,IF(Skills!C20=2,90+Inputs!$B$26+Inputs!$B$29,IF(Skills!C20=3,120+Inputs!$B$27+Inputs!$B$29,MAX(0,(Inputs!$B$3-100)*3)+Inputs!$B$28+Inputs!$B$29)))</f>
        <v/>
      </c>
      <c r="E789">
        <f>INDEX(FactorTable!$B$2:$Y$301, MATCH(ROUND(MIN(300,MAX(1,D789)),0), FactorTable!$A$2:$A$301,0), Skills!M20+1)</f>
        <v/>
      </c>
      <c r="F789">
        <f>IF(Skills!N20=TRUE,(Skills!L20/10)*(E789/1000),Skills!L20/10)+Skills!O20</f>
        <v/>
      </c>
      <c r="G789">
        <f>Calc!G20</f>
        <v/>
      </c>
      <c r="H789">
        <f>Calc!H20</f>
        <v/>
      </c>
      <c r="I789">
        <f>IF(Skills!AA20&lt;&gt;"",1+(Skills!AA20/10)*(U772/1000)/100,1)</f>
        <v/>
      </c>
      <c r="J789" t="inlineStr"/>
      <c r="K789" t="inlineStr"/>
      <c r="L789" t="inlineStr"/>
      <c r="M789" t="inlineStr"/>
      <c r="N789" t="inlineStr"/>
      <c r="O789">
        <f>(1-Summary!$B$55)*T789+Summary!$B$55*V789</f>
        <v/>
      </c>
      <c r="P789">
        <f>IF(B813=0,0,O789/B813)</f>
        <v/>
      </c>
      <c r="Q789">
        <f>IFERROR(1/IF(Inputs!$B$39="pvp",15,MAX(0.1,Skills!D20-IF(Skills!E20=TRUE,Inputs!$B$32,0))),0)</f>
        <v/>
      </c>
      <c r="R789">
        <f>IF(AND(Inputs!$B$39&lt;&gt;"pvp",Inputs!$B$44&gt;0),IF(Inputs!$B$44&lt;=0,0,(INT(Inputs!$B$44/IF(Inputs!$B$39="pvp",15,MAX(0.1,Skills!D20-IF(Skills!E20=TRUE,Inputs!$B$32,0))))+1)),0)</f>
        <v/>
      </c>
      <c r="S789">
        <f>IFERROR(O789/N789,0)</f>
        <v/>
      </c>
      <c r="T789" t="n">
        <v>0</v>
      </c>
      <c r="V789" t="n">
        <v>0</v>
      </c>
    </row>
    <row r="790">
      <c r="A790">
        <f>Skills!A21</f>
        <v/>
      </c>
      <c r="B790">
        <f>Skills!B21</f>
        <v/>
      </c>
      <c r="C790">
        <f>Inputs!$B$3&gt;=15</f>
        <v/>
      </c>
      <c r="D790">
        <f>IF(Skills!C21=1,60+Inputs!$B$25+Inputs!$B$29,IF(Skills!C21=2,90+Inputs!$B$26+Inputs!$B$29,IF(Skills!C21=3,120+Inputs!$B$27+Inputs!$B$29,MAX(0,(Inputs!$B$3-100)*3)+Inputs!$B$28+Inputs!$B$29)))</f>
        <v/>
      </c>
      <c r="E790">
        <f>INDEX(FactorTable!$B$2:$Y$301, MATCH(ROUND(MIN(300,MAX(1,D790)),0), FactorTable!$A$2:$A$301,0), Skills!M21+1)</f>
        <v/>
      </c>
      <c r="F790">
        <f>IF(Skills!N21=TRUE,(Skills!L21/10)*(E790/1000),Skills!L21/10)+Skills!O21</f>
        <v/>
      </c>
      <c r="G790">
        <f>Calc!G21</f>
        <v/>
      </c>
      <c r="H790">
        <f>Calc!H21</f>
        <v/>
      </c>
      <c r="I790">
        <f>IF(Skills!AA21&lt;&gt;"",1+(Skills!AA21/10)*(U772/1000)/100,1)</f>
        <v/>
      </c>
      <c r="J790" t="inlineStr"/>
      <c r="K790" t="inlineStr"/>
      <c r="L790" t="inlineStr"/>
      <c r="M790" t="inlineStr"/>
      <c r="N790" t="inlineStr"/>
      <c r="O790">
        <f>(1-Summary!$B$55)*T790+Summary!$B$55*V790</f>
        <v/>
      </c>
      <c r="P790">
        <f>IF(B813=0,0,O790/B813)</f>
        <v/>
      </c>
      <c r="Q790">
        <f>IFERROR(1/IF(Inputs!$B$39="pvp",15,MAX(0.1,Skills!D21-IF(Skills!E21=TRUE,Inputs!$B$32,0))),0)</f>
        <v/>
      </c>
      <c r="R790">
        <f>IF(AND(Inputs!$B$39&lt;&gt;"pvp",Inputs!$B$44&gt;0),IF(Inputs!$B$44&lt;=0,0,(INT(Inputs!$B$44/IF(Inputs!$B$39="pvp",15,MAX(0.1,Skills!D21-IF(Skills!E21=TRUE,Inputs!$B$32,0))))+1)),0)</f>
        <v/>
      </c>
      <c r="S790">
        <f>IFERROR(O790/N790,0)</f>
        <v/>
      </c>
      <c r="T790" t="n">
        <v>0</v>
      </c>
      <c r="V790" t="n">
        <v>0</v>
      </c>
    </row>
    <row r="791">
      <c r="A791">
        <f>Skills!A22</f>
        <v/>
      </c>
      <c r="B791">
        <f>Skills!B22</f>
        <v/>
      </c>
      <c r="C791">
        <f>Inputs!$B$3&gt;=33</f>
        <v/>
      </c>
      <c r="D791">
        <f>IF(Skills!C22=1,60+Inputs!$B$25+Inputs!$B$29,IF(Skills!C22=2,90+Inputs!$B$26+Inputs!$B$29,IF(Skills!C22=3,120+Inputs!$B$27+Inputs!$B$29,MAX(0,(Inputs!$B$3-100)*3)+Inputs!$B$28+Inputs!$B$29)))</f>
        <v/>
      </c>
      <c r="E791">
        <f>INDEX(FactorTable!$B$2:$Y$301, MATCH(ROUND(MIN(300,MAX(1,D791)),0), FactorTable!$A$2:$A$301,0), Skills!M22+1)</f>
        <v/>
      </c>
      <c r="F791">
        <f>IF(Skills!N22=TRUE,(Skills!L22/10)*(E791/1000),Skills!L22/10)+Skills!O22</f>
        <v/>
      </c>
      <c r="G791">
        <f>Calc!G22</f>
        <v/>
      </c>
      <c r="H791">
        <f>Calc!H22</f>
        <v/>
      </c>
      <c r="I791">
        <f>IF(Skills!AA22&lt;&gt;"",1+(Skills!AA22/10)*(U772/1000)/100,1)</f>
        <v/>
      </c>
      <c r="J791" t="inlineStr"/>
      <c r="K791" t="inlineStr"/>
      <c r="L791" t="inlineStr"/>
      <c r="M791" t="inlineStr"/>
      <c r="N791" t="inlineStr"/>
      <c r="O791">
        <f>(1-Summary!$B$55)*T791+Summary!$B$55*V791</f>
        <v/>
      </c>
      <c r="P791">
        <f>IF(B813=0,0,O791/B813)</f>
        <v/>
      </c>
      <c r="Q791" t="n">
        <v>0</v>
      </c>
      <c r="R791" t="n">
        <v>0</v>
      </c>
      <c r="S791">
        <f>IFERROR(O791/N791,0)</f>
        <v/>
      </c>
      <c r="T791" t="n">
        <v>0</v>
      </c>
      <c r="V791" t="n">
        <v>0</v>
      </c>
    </row>
    <row r="792">
      <c r="A792">
        <f>Skills!A23</f>
        <v/>
      </c>
      <c r="B792">
        <f>Skills!B23</f>
        <v/>
      </c>
      <c r="C792">
        <f>Inputs!$B$3&gt;=38</f>
        <v/>
      </c>
      <c r="D792">
        <f>IF(Skills!C23=1,60+Inputs!$B$25+Inputs!$B$29,IF(Skills!C23=2,90+Inputs!$B$26+Inputs!$B$29,IF(Skills!C23=3,120+Inputs!$B$27+Inputs!$B$29,MAX(0,(Inputs!$B$3-100)*3)+Inputs!$B$28+Inputs!$B$29)))</f>
        <v/>
      </c>
      <c r="E792">
        <f>INDEX(FactorTable!$B$2:$Y$301, MATCH(ROUND(MIN(300,MAX(1,D792)),0), FactorTable!$A$2:$A$301,0), Skills!M23+1)</f>
        <v/>
      </c>
      <c r="F792">
        <f>IF(Skills!N23=TRUE,(Skills!L23/10)*(E792/1000),Skills!L23/10)+Skills!O23</f>
        <v/>
      </c>
      <c r="G792">
        <f>Calc!G23</f>
        <v/>
      </c>
      <c r="H792">
        <f>Calc!H23</f>
        <v/>
      </c>
      <c r="I792">
        <f>IF(Skills!AA23&lt;&gt;"",1+(Skills!AA23/10)*(U772/1000)/100,1)</f>
        <v/>
      </c>
      <c r="J792" t="inlineStr"/>
      <c r="K792" t="inlineStr"/>
      <c r="L792" t="inlineStr"/>
      <c r="M792" t="inlineStr"/>
      <c r="N792" t="inlineStr"/>
      <c r="O792">
        <f>(1-Summary!$B$55)*T792+Summary!$B$55*V792</f>
        <v/>
      </c>
      <c r="P792">
        <f>IF(B813=0,0,O792/B813)</f>
        <v/>
      </c>
      <c r="Q792" t="n">
        <v>0</v>
      </c>
      <c r="R792" t="n">
        <v>0</v>
      </c>
      <c r="S792">
        <f>IFERROR(O792/N792,0)</f>
        <v/>
      </c>
      <c r="T792" t="n">
        <v>0</v>
      </c>
      <c r="V792" t="n">
        <v>0</v>
      </c>
    </row>
    <row r="793">
      <c r="A793">
        <f>Skills!A24</f>
        <v/>
      </c>
      <c r="B793">
        <f>Skills!B24</f>
        <v/>
      </c>
      <c r="C793">
        <f>Inputs!$B$3&gt;=40</f>
        <v/>
      </c>
      <c r="D793">
        <f>IF(Skills!C24=1,60+Inputs!$B$25+Inputs!$B$29,IF(Skills!C24=2,90+Inputs!$B$26+Inputs!$B$29,IF(Skills!C24=3,120+Inputs!$B$27+Inputs!$B$29,MAX(0,(Inputs!$B$3-100)*3)+Inputs!$B$28+Inputs!$B$29)))</f>
        <v/>
      </c>
      <c r="E793">
        <f>INDEX(FactorTable!$B$2:$Y$301, MATCH(ROUND(MIN(300,MAX(1,D793)),0), FactorTable!$A$2:$A$301,0), Skills!M24+1)</f>
        <v/>
      </c>
      <c r="F793">
        <f>IF(Skills!N24=TRUE,(Skills!L24/10)*(E793/1000),Skills!L24/10)+Skills!O24</f>
        <v/>
      </c>
      <c r="G793">
        <f>Calc!G24</f>
        <v/>
      </c>
      <c r="H793">
        <f>Calc!H24</f>
        <v/>
      </c>
      <c r="I793">
        <f>IF(Skills!AA24&lt;&gt;"",1+(Skills!AA24/10)*(U772/1000)/100,1)</f>
        <v/>
      </c>
      <c r="J793" t="inlineStr"/>
      <c r="K793" t="inlineStr"/>
      <c r="L793" t="inlineStr"/>
      <c r="M793" t="inlineStr"/>
      <c r="N793" t="inlineStr"/>
      <c r="O793">
        <f>(1-Summary!$B$55)*T793+Summary!$B$55*V793</f>
        <v/>
      </c>
      <c r="P793">
        <f>IF(B813=0,0,O793/B813)</f>
        <v/>
      </c>
      <c r="Q793" t="n">
        <v>0</v>
      </c>
      <c r="R793" t="n">
        <v>0</v>
      </c>
      <c r="S793">
        <f>IFERROR(O793/N793,0)</f>
        <v/>
      </c>
      <c r="T793" t="n">
        <v>0</v>
      </c>
      <c r="V793" t="n">
        <v>0</v>
      </c>
    </row>
    <row r="794">
      <c r="A794">
        <f>Skills!A25</f>
        <v/>
      </c>
      <c r="B794">
        <f>Skills!B25</f>
        <v/>
      </c>
      <c r="C794">
        <f>Inputs!$B$3&gt;=45</f>
        <v/>
      </c>
      <c r="D794">
        <f>IF(Skills!C25=1,60+Inputs!$B$25+Inputs!$B$29,IF(Skills!C25=2,90+Inputs!$B$26+Inputs!$B$29,IF(Skills!C25=3,120+Inputs!$B$27+Inputs!$B$29,MAX(0,(Inputs!$B$3-100)*3)+Inputs!$B$28+Inputs!$B$29)))</f>
        <v/>
      </c>
      <c r="E794">
        <f>INDEX(FactorTable!$B$2:$Y$301, MATCH(ROUND(MIN(300,MAX(1,D794)),0), FactorTable!$A$2:$A$301,0), Skills!M25+1)</f>
        <v/>
      </c>
      <c r="F794">
        <f>IF(Skills!N25=TRUE,(Skills!L25/10)*(E794/1000),Skills!L25/10)+Skills!O25</f>
        <v/>
      </c>
      <c r="G794">
        <f>Calc!G25</f>
        <v/>
      </c>
      <c r="H794">
        <f>Calc!H25</f>
        <v/>
      </c>
      <c r="I794">
        <f>IF(Skills!AA25&lt;&gt;"",1+(Skills!AA25/10)*(U772/1000)/100,1)</f>
        <v/>
      </c>
      <c r="J794" t="inlineStr"/>
      <c r="K794" t="inlineStr"/>
      <c r="L794" t="inlineStr"/>
      <c r="M794" t="inlineStr"/>
      <c r="N794" t="inlineStr"/>
      <c r="O794">
        <f>(1-Summary!$B$55)*T794+Summary!$B$55*V794</f>
        <v/>
      </c>
      <c r="P794">
        <f>IF(B813=0,0,O794/B813)</f>
        <v/>
      </c>
      <c r="Q794" t="n">
        <v>0</v>
      </c>
      <c r="R794" t="n">
        <v>0</v>
      </c>
      <c r="S794">
        <f>IFERROR(O794/N794,0)</f>
        <v/>
      </c>
      <c r="T794" t="n">
        <v>0</v>
      </c>
      <c r="V794" t="n">
        <v>0</v>
      </c>
    </row>
    <row r="795">
      <c r="A795">
        <f>Skills!A26</f>
        <v/>
      </c>
      <c r="B795">
        <f>Skills!B26</f>
        <v/>
      </c>
      <c r="C795">
        <f>Inputs!$B$3&gt;=45</f>
        <v/>
      </c>
      <c r="D795">
        <f>IF(Skills!C26=1,60+Inputs!$B$25+Inputs!$B$29,IF(Skills!C26=2,90+Inputs!$B$26+Inputs!$B$29,IF(Skills!C26=3,120+Inputs!$B$27+Inputs!$B$29,MAX(0,(Inputs!$B$3-100)*3)+Inputs!$B$28+Inputs!$B$29)))</f>
        <v/>
      </c>
      <c r="E795">
        <f>INDEX(FactorTable!$B$2:$Y$301, MATCH(ROUND(MIN(300,MAX(1,D795)),0), FactorTable!$A$2:$A$301,0), Skills!M26+1)</f>
        <v/>
      </c>
      <c r="F795">
        <f>IF(Skills!N26=TRUE,(Skills!L26/10)*(E795/1000),Skills!L26/10)+Skills!O26</f>
        <v/>
      </c>
      <c r="G795">
        <f>Calc!G26</f>
        <v/>
      </c>
      <c r="H795">
        <f>Calc!H26</f>
        <v/>
      </c>
      <c r="I795">
        <f>IF(Skills!AA26&lt;&gt;"",1+(Skills!AA26/10)*(U772/1000)/100,1)</f>
        <v/>
      </c>
      <c r="J795" t="inlineStr"/>
      <c r="K795" t="inlineStr"/>
      <c r="L795" t="inlineStr"/>
      <c r="M795" t="inlineStr"/>
      <c r="N795" t="inlineStr"/>
      <c r="O795">
        <f>(1-Summary!$B$55)*T795+Summary!$B$55*V795</f>
        <v/>
      </c>
      <c r="P795">
        <f>IF(B813=0,0,O795/B813)</f>
        <v/>
      </c>
      <c r="Q795" t="n">
        <v>0</v>
      </c>
      <c r="R795" t="n">
        <v>0</v>
      </c>
      <c r="S795">
        <f>IFERROR(O795/N795,0)</f>
        <v/>
      </c>
      <c r="T795" t="n">
        <v>0</v>
      </c>
      <c r="V795" t="n">
        <v>0</v>
      </c>
    </row>
    <row r="796">
      <c r="A796">
        <f>Skills!A27</f>
        <v/>
      </c>
      <c r="B796">
        <f>Skills!B27</f>
        <v/>
      </c>
      <c r="C796">
        <f>Inputs!$B$3&gt;=72</f>
        <v/>
      </c>
      <c r="D796">
        <f>IF(Skills!C27=1,60+Inputs!$B$25+Inputs!$B$29,IF(Skills!C27=2,90+Inputs!$B$26+Inputs!$B$29,IF(Skills!C27=3,120+Inputs!$B$27+Inputs!$B$29,MAX(0,(Inputs!$B$3-100)*3)+Inputs!$B$28+Inputs!$B$29)))</f>
        <v/>
      </c>
      <c r="E796">
        <f>INDEX(FactorTable!$B$2:$Y$301, MATCH(ROUND(MIN(300,MAX(1,D796)),0), FactorTable!$A$2:$A$301,0), Skills!M27+1)</f>
        <v/>
      </c>
      <c r="F796">
        <f>IF(Skills!N27=TRUE,(Skills!L27/10)*(E796/1000),Skills!L27/10)+Skills!O27</f>
        <v/>
      </c>
      <c r="G796">
        <f>Calc!G27</f>
        <v/>
      </c>
      <c r="H796">
        <f>Calc!H27</f>
        <v/>
      </c>
      <c r="I796">
        <f>IF(Skills!AA27&lt;&gt;"",1+(Skills!AA27/10)*(U772/1000)/100,1)</f>
        <v/>
      </c>
      <c r="J796" t="inlineStr"/>
      <c r="K796" t="inlineStr"/>
      <c r="L796" t="inlineStr"/>
      <c r="M796" t="inlineStr"/>
      <c r="N796" t="inlineStr"/>
      <c r="O796">
        <f>(1-Summary!$B$55)*T796+Summary!$B$55*V796</f>
        <v/>
      </c>
      <c r="P796">
        <f>IF(B813=0,0,O796/B813)</f>
        <v/>
      </c>
      <c r="Q796" t="n">
        <v>0</v>
      </c>
      <c r="R796" t="n">
        <v>0</v>
      </c>
      <c r="S796">
        <f>IFERROR(O796/N796,0)</f>
        <v/>
      </c>
      <c r="T796" t="n">
        <v>0</v>
      </c>
      <c r="V796" t="n">
        <v>0</v>
      </c>
    </row>
    <row r="797">
      <c r="A797">
        <f>Skills!A28</f>
        <v/>
      </c>
      <c r="B797">
        <f>Skills!B28</f>
        <v/>
      </c>
      <c r="C797">
        <f>Inputs!$B$3&gt;=75</f>
        <v/>
      </c>
      <c r="D797">
        <f>IF(Skills!C28=1,60+Inputs!$B$25+Inputs!$B$29,IF(Skills!C28=2,90+Inputs!$B$26+Inputs!$B$29,IF(Skills!C28=3,120+Inputs!$B$27+Inputs!$B$29,MAX(0,(Inputs!$B$3-100)*3)+Inputs!$B$28+Inputs!$B$29)))</f>
        <v/>
      </c>
      <c r="E797">
        <f>INDEX(FactorTable!$B$2:$Y$301, MATCH(ROUND(MIN(300,MAX(1,D797)),0), FactorTable!$A$2:$A$301,0), Skills!M28+1)</f>
        <v/>
      </c>
      <c r="F797">
        <f>IF(Skills!N28=TRUE,(Skills!L28/10)*(E797/1000),Skills!L28/10)+Skills!O28</f>
        <v/>
      </c>
      <c r="G797">
        <f>Calc!G28</f>
        <v/>
      </c>
      <c r="H797">
        <f>Calc!H28</f>
        <v/>
      </c>
      <c r="I797">
        <f>IF(Skills!AA28&lt;&gt;"",1+(Skills!AA28/10)*(U772/1000)/100,1)</f>
        <v/>
      </c>
      <c r="J797" t="inlineStr"/>
      <c r="K797" t="inlineStr"/>
      <c r="L797" t="inlineStr"/>
      <c r="M797" t="inlineStr"/>
      <c r="N797" t="inlineStr"/>
      <c r="O797">
        <f>(1-Summary!$B$55)*T797+Summary!$B$55*V797</f>
        <v/>
      </c>
      <c r="P797">
        <f>IF(B813=0,0,O797/B813)</f>
        <v/>
      </c>
      <c r="Q797" t="n">
        <v>0</v>
      </c>
      <c r="R797" t="n">
        <v>0</v>
      </c>
      <c r="S797">
        <f>IFERROR(O797/N797,0)</f>
        <v/>
      </c>
      <c r="T797" t="n">
        <v>0</v>
      </c>
      <c r="V797" t="n">
        <v>0</v>
      </c>
    </row>
    <row r="798">
      <c r="A798">
        <f>Skills!A29</f>
        <v/>
      </c>
      <c r="B798">
        <f>Skills!B29</f>
        <v/>
      </c>
      <c r="C798">
        <f>Inputs!$B$3&gt;=120</f>
        <v/>
      </c>
      <c r="D798">
        <f>IF(Skills!C29=1,60+Inputs!$B$25+Inputs!$B$29,IF(Skills!C29=2,90+Inputs!$B$26+Inputs!$B$29,IF(Skills!C29=3,120+Inputs!$B$27+Inputs!$B$29,MAX(0,(Inputs!$B$3-100)*3)+Inputs!$B$28+Inputs!$B$29)))</f>
        <v/>
      </c>
      <c r="E798">
        <f>INDEX(FactorTable!$B$2:$Y$301, MATCH(ROUND(MIN(300,MAX(1,D798)),0), FactorTable!$A$2:$A$301,0), Skills!M29+1)</f>
        <v/>
      </c>
      <c r="F798">
        <f>IF(Skills!N29=TRUE,(Skills!L29/10)*(E798/1000),Skills!L29/10)+Skills!O29</f>
        <v/>
      </c>
      <c r="G798">
        <f>Calc!G29</f>
        <v/>
      </c>
      <c r="H798">
        <f>Calc!H29</f>
        <v/>
      </c>
      <c r="I798">
        <f>IF(Skills!AA29&lt;&gt;"",1+(Skills!AA29/10)*(U772/1000)/100,1)</f>
        <v/>
      </c>
      <c r="J798" t="inlineStr"/>
      <c r="K798" t="inlineStr"/>
      <c r="L798" t="inlineStr"/>
      <c r="M798" t="inlineStr"/>
      <c r="N798" t="inlineStr"/>
      <c r="O798">
        <f>(1-Summary!$B$55)*T798+Summary!$B$55*V798</f>
        <v/>
      </c>
      <c r="P798">
        <f>IF(B813=0,0,O798/B813)</f>
        <v/>
      </c>
      <c r="Q798" t="n">
        <v>0</v>
      </c>
      <c r="R798" t="n">
        <v>0</v>
      </c>
      <c r="S798">
        <f>IFERROR(O798/N798,0)</f>
        <v/>
      </c>
      <c r="T798" t="n">
        <v>0</v>
      </c>
      <c r="V798" t="n">
        <v>0</v>
      </c>
    </row>
    <row r="799">
      <c r="A799">
        <f>Skills!A30</f>
        <v/>
      </c>
      <c r="B799">
        <f>Skills!B30</f>
        <v/>
      </c>
      <c r="C799">
        <f>Inputs!$B$3&gt;=125</f>
        <v/>
      </c>
      <c r="D799">
        <f>IF(Skills!C30=1,60+Inputs!$B$25+Inputs!$B$29,IF(Skills!C30=2,90+Inputs!$B$26+Inputs!$B$29,IF(Skills!C30=3,120+Inputs!$B$27+Inputs!$B$29,MAX(0,(Inputs!$B$3-100)*3)+Inputs!$B$28+Inputs!$B$29)))</f>
        <v/>
      </c>
      <c r="E799">
        <f>INDEX(FactorTable!$B$2:$Y$301, MATCH(ROUND(MIN(300,MAX(1,D799)),0), FactorTable!$A$2:$A$301,0), Skills!M30+1)</f>
        <v/>
      </c>
      <c r="F799">
        <f>IF(Skills!N30=TRUE,(Skills!L30/10)*(E799/1000),Skills!L30/10)+Skills!O30</f>
        <v/>
      </c>
      <c r="G799">
        <f>Calc!G30</f>
        <v/>
      </c>
      <c r="H799">
        <f>Calc!H30</f>
        <v/>
      </c>
      <c r="I799">
        <f>IF(Skills!AA30&lt;&gt;"",1+(Skills!AA30/10)*(U772/1000)/100,1)</f>
        <v/>
      </c>
      <c r="J799" t="inlineStr"/>
      <c r="K799" t="inlineStr"/>
      <c r="L799" t="inlineStr"/>
      <c r="M799" t="inlineStr"/>
      <c r="N799" t="inlineStr"/>
      <c r="O799">
        <f>(1-Summary!$B$55)*T799+Summary!$B$55*V799</f>
        <v/>
      </c>
      <c r="P799">
        <f>IF(B813=0,0,O799/B813)</f>
        <v/>
      </c>
      <c r="Q799" t="n">
        <v>0</v>
      </c>
      <c r="R799" t="n">
        <v>0</v>
      </c>
      <c r="S799">
        <f>IFERROR(O799/N799,0)</f>
        <v/>
      </c>
      <c r="T799" t="n">
        <v>0</v>
      </c>
      <c r="V799" t="n">
        <v>0</v>
      </c>
    </row>
    <row r="800">
      <c r="A800">
        <f>Skills!A31</f>
        <v/>
      </c>
      <c r="B800">
        <f>Skills!B31</f>
        <v/>
      </c>
      <c r="C800">
        <f>Inputs!$B$3&gt;=107</f>
        <v/>
      </c>
      <c r="D800">
        <f>IF(Skills!C31=1,60+Inputs!$B$25+Inputs!$B$29,IF(Skills!C31=2,90+Inputs!$B$26+Inputs!$B$29,IF(Skills!C31=3,120+Inputs!$B$27+Inputs!$B$29,MAX(0,(Inputs!$B$3-100)*3)+Inputs!$B$28+Inputs!$B$29)))</f>
        <v/>
      </c>
      <c r="E800">
        <f>INDEX(FactorTable!$B$2:$Y$301, MATCH(ROUND(MIN(300,MAX(1,D800)),0), FactorTable!$A$2:$A$301,0), Skills!M31+1)</f>
        <v/>
      </c>
      <c r="F800">
        <f>IF(Skills!N31=TRUE,(Skills!L31/10)*(E800/1000),Skills!L31/10)+Skills!O31</f>
        <v/>
      </c>
      <c r="G800">
        <f>Calc!G31</f>
        <v/>
      </c>
      <c r="H800">
        <f>Calc!H31</f>
        <v/>
      </c>
      <c r="I800">
        <f>IF(Skills!AA31&lt;&gt;"",1+(Skills!AA31/10)*(U772/1000)/100,1)</f>
        <v/>
      </c>
      <c r="J800" t="inlineStr"/>
      <c r="K800" t="inlineStr"/>
      <c r="L800" t="inlineStr"/>
      <c r="M800" t="inlineStr"/>
      <c r="N800" t="inlineStr"/>
      <c r="O800">
        <f>(1-Summary!$B$55)*T800+Summary!$B$55*V800</f>
        <v/>
      </c>
      <c r="P800">
        <f>IF(B813=0,0,O800/B813)</f>
        <v/>
      </c>
      <c r="Q800" t="n">
        <v>0</v>
      </c>
      <c r="R800" t="n">
        <v>0</v>
      </c>
      <c r="S800">
        <f>IFERROR(O800/N800,0)</f>
        <v/>
      </c>
      <c r="T800" t="n">
        <v>0</v>
      </c>
      <c r="V800" t="n">
        <v>0</v>
      </c>
    </row>
    <row r="802">
      <c r="A802" t="inlineStr">
        <is>
          <t>Actions Per Second (pre-Adrenalin)</t>
        </is>
      </c>
      <c r="B802">
        <f>1+MIN(150,150*(1-(1-(Inputs!$B$11+((C791=TRUE)*(F791-Calc!F22)))/150)*(1-((C788=TRUE)*F788*IF(AND(Inputs!$B$39&lt;&gt;"pvp",Inputs!$B$44&gt;0),(((R788-1)*(Skills!Y19*(1+Inputs!$B$34/100))+MIN((Skills!Y19*(1+Inputs!$B$34/100)),MAX(0,Inputs!$B$44-((R788-1)*Skills!D19))))/Inputs!$B$44),IF(Inputs!$B$39="pvp",MIN((Skills!Y19*(1+Inputs!$B$34/100)),15)/15,(Skills!Y19*(1+Inputs!$B$34/100))/Skills!D19)))/150)))/100</f>
        <v/>
      </c>
    </row>
    <row r="803">
      <c r="A803" t="inlineStr">
        <is>
          <t>Alchemic Adrenaline Uptime</t>
        </is>
      </c>
      <c r="B803">
        <f>(Skills!Y6*(1+Inputs!$B$34/100))/((Skills!Y6*(1+Inputs!$B$34/100))+(5/B802))</f>
        <v/>
      </c>
    </row>
    <row r="804">
      <c r="A804" t="inlineStr">
        <is>
          <t>Attack Speed Buff Bonus %</t>
        </is>
      </c>
      <c r="B804">
        <f>((C788=TRUE)*F788*IF(AND(Inputs!$B$39&lt;&gt;"pvp",Inputs!$B$44&gt;0),(((R788-1)*(Skills!Y19*(1+Inputs!$B$34/100))+MIN((Skills!Y19*(1+Inputs!$B$34/100)),MAX(0,Inputs!$B$44-((R788-1)*Skills!D19))))/Inputs!$B$44),IF(Inputs!$B$39="pvp",MIN((Skills!Y19*(1+Inputs!$B$34/100)),15)/15,(Skills!Y19*(1+Inputs!$B$34/100))/Skills!D19)))+((C776=TRUE)*F776*B803)</f>
        <v/>
      </c>
    </row>
    <row r="805">
      <c r="A805" t="inlineStr">
        <is>
          <t>Actions Per Second (final)</t>
        </is>
      </c>
      <c r="B805">
        <f>1+MIN(150,150*(1-(1-(Inputs!$B$11+((C791=TRUE)*(F791-Calc!F22)))/150)*(1-B804/150)))/100</f>
        <v/>
      </c>
    </row>
    <row r="806">
      <c r="A806" t="inlineStr">
        <is>
          <t>Skill + Buff Cast Rate</t>
        </is>
      </c>
      <c r="B806">
        <f>IF(AND(Inputs!$B$39&lt;&gt;"pvp",Inputs!$B$44&gt;0),SUMPRODUCT((Skills!E2:E31=TRUE)*(C771:C800=TRUE)*R771:R800*Skills!F2:F31)/Inputs!$B$44,SUMPRODUCT((Skills!E2:E31=TRUE)*(C771:C800=TRUE)*Q771:Q800*Skills!F2:F31))</f>
        <v/>
      </c>
    </row>
    <row r="807">
      <c r="A807" t="inlineStr">
        <is>
          <t>Showdown Casts Per Second</t>
        </is>
      </c>
      <c r="B807">
        <f>MAX(0,B805-B806)</f>
        <v/>
      </c>
    </row>
    <row r="808">
      <c r="A808" t="inlineStr">
        <is>
          <t>Average Buff Multiplier</t>
        </is>
      </c>
      <c r="B808">
        <f>(1+(((C790=TRUE)*F790*IF(AND(Inputs!$B$39&lt;&gt;"pvp",Inputs!$B$44&gt;0),(((R790-1)*(Skills!Y21*(1+Inputs!$B$34/100))+MIN((Skills!Y21*(1+Inputs!$B$34/100)),MAX(0,Inputs!$B$44-((R790-1)*Skills!D21))))/Inputs!$B$44),IF(Inputs!$B$39="pvp",MIN((Skills!Y21*(1+Inputs!$B$34/100)),15)/15,(Skills!Y21*(1+Inputs!$B$34/100))/Skills!D21)))+((C797=TRUE)*(F797-Calc!F28))+((C787=TRUE)*(F787-Calc!F18)))/100)*(1+((C784=TRUE)*F784*IF(AND(Inputs!$B$39&lt;&gt;"pvp",Inputs!$B$44&gt;0),(((R784-1)*(Skills!Y15*(1+Inputs!$B$34/100))+MIN((Skills!Y15*(1+Inputs!$B$34/100)),MAX(0,Inputs!$B$44-((R784-1)*Skills!D15))))/Inputs!$B$44),IF(Inputs!$B$39="pvp",MIN((Skills!Y15*(1+Inputs!$B$34/100)),15)/15,(Skills!Y15*(1+Inputs!$B$34/100))/Skills!D15)))/100)*(1+((C775=TRUE)*F775*B803)/100)</f>
        <v/>
      </c>
    </row>
    <row r="809">
      <c r="A809" t="inlineStr">
        <is>
          <t>Global Crit Rate Bonus %</t>
        </is>
      </c>
      <c r="B809">
        <f>IF(Inputs!$B$3&gt;=47,8,0)+((C789=TRUE)*F789*IF(AND(Inputs!$B$39&lt;&gt;"pvp",Inputs!$B$44&gt;0),(((R789-1)*(Skills!Y20*(1+Inputs!$B$34/100))+MIN((Skills!Y20*(1+Inputs!$B$34/100)),MAX(0,Inputs!$B$44-((R789-1)*Skills!D20))))/Inputs!$B$44),IF(Inputs!$B$39="pvp",MIN((Skills!Y20*(1+Inputs!$B$34/100)),15)/15,(Skills!Y20*(1+Inputs!$B$34/100))/Skills!D20)))</f>
        <v/>
      </c>
    </row>
    <row r="810">
      <c r="A810" t="inlineStr">
        <is>
          <t>Global Monster Damage-Taken Bonus %</t>
        </is>
      </c>
      <c r="B810">
        <f>IF(Inputs!$B$3&gt;=82,15,0)+((C785=TRUE)*F785*IF(AND(Inputs!$B$39&lt;&gt;"pvp",Inputs!$B$44&gt;0),(((R785-1)*(Skills!Y16*(1+Inputs!$B$34/100))+MIN((Skills!Y16*(1+Inputs!$B$34/100)),MAX(0,Inputs!$B$44-((R785-1)*Skills!D16))))/Inputs!$B$44),IF(Inputs!$B$39="pvp",MIN((Skills!Y16*(1+Inputs!$B$34/100)),15)/15,(Skills!Y16*(1+Inputs!$B$34/100))/Skills!D16)))</f>
        <v/>
      </c>
    </row>
    <row r="811">
      <c r="A811" t="inlineStr">
        <is>
          <t>Shadow Partner Average Multiplier</t>
        </is>
      </c>
      <c r="B811">
        <f>1+((C780=TRUE)*F780*I780*Skills!J11/100)/100</f>
        <v/>
      </c>
    </row>
    <row r="812">
      <c r="A812" t="inlineStr">
        <is>
          <t>Global Critical Damage Bonus % (Frailty Curse Mastery Lv.111)</t>
        </is>
      </c>
      <c r="B812">
        <f>IF(Inputs!$B$3&gt;=111,30,0)*IF(AND(Inputs!$B$39&lt;&gt;"pvp",Inputs!$B$44&gt;0),(((R785-1)*(Skills!Y16*(1+Inputs!$B$34/100))+MIN((Skills!Y16*(1+Inputs!$B$34/100)),MAX(0,Inputs!$B$44-((R785-1)*Skills!D16))))/Inputs!$B$44),IF(Inputs!$B$39="pvp",MIN((Skills!Y16*(1+Inputs!$B$34/100)),15)/15,(Skills!Y16*(1+Inputs!$B$34/100))/Skills!D16))</f>
        <v/>
      </c>
    </row>
    <row r="813">
      <c r="A813" s="5" t="inlineStr">
        <is>
          <t>TOTAL DPS</t>
        </is>
      </c>
      <c r="B813" s="5">
        <f>SUM(O771:O800)</f>
        <v/>
      </c>
    </row>
    <row r="814">
      <c r="A814" t="inlineStr">
        <is>
          <t>Buff-Casting Startup Delay (s, fixed-duration only)</t>
        </is>
      </c>
      <c r="B814">
        <f>IF(AND(Inputs!$B$39&lt;&gt;"pvp",Inputs!$B$44&gt;0),SUMPRODUCT((Skills!Y2:Y31&gt;0)*(Skills!E2:E31=TRUE)*(C771:C800=TRUE))/B805,0)</f>
        <v/>
      </c>
    </row>
    <row r="815">
      <c r="A815" t="inlineStr">
        <is>
          <t>Boss-Only Total DPS (this block's swept value)</t>
        </is>
      </c>
      <c r="B815">
        <f>SUM(T771:T800)</f>
        <v/>
      </c>
    </row>
    <row r="816">
      <c r="A816" t="inlineStr">
        <is>
          <t>Normal-Only Total DPS (this block's swept value)</t>
        </is>
      </c>
      <c r="B816">
        <f>SUM(V771:V800)</f>
        <v/>
      </c>
    </row>
    <row r="818">
      <c r="A818" s="5" t="inlineStr">
        <is>
          <t>Stat: Skill Level Bonus — 1st Job</t>
        </is>
      </c>
    </row>
    <row r="819">
      <c r="A819" s="9" t="inlineStr">
        <is>
          <t>Key</t>
        </is>
      </c>
      <c r="B819" s="9" t="inlineStr">
        <is>
          <t>Name</t>
        </is>
      </c>
      <c r="C819" s="9" t="inlineStr">
        <is>
          <t>Unlocked</t>
        </is>
      </c>
      <c r="D819" s="9" t="inlineStr">
        <is>
          <t>InputLevel</t>
        </is>
      </c>
      <c r="E819" s="9" t="inlineStr">
        <is>
          <t>Factor</t>
        </is>
      </c>
      <c r="F819" s="9" t="inlineStr">
        <is>
          <t>CoefficientPercent</t>
        </is>
      </c>
      <c r="G819" s="9" t="inlineStr">
        <is>
          <t>EffectiveHits</t>
        </is>
      </c>
      <c r="H819" s="9" t="inlineStr">
        <is>
          <t>ProcProbability</t>
        </is>
      </c>
      <c r="I819" s="9" t="inlineStr">
        <is>
          <t>MapleHeroMultiplier</t>
        </is>
      </c>
      <c r="J819" s="9" t="inlineStr">
        <is>
          <t>BaseDamage</t>
        </is>
      </c>
      <c r="K819" s="9" t="inlineStr">
        <is>
          <t>BaseHitDamage</t>
        </is>
      </c>
      <c r="L819" s="9" t="inlineStr">
        <is>
          <t>NonCritAvg</t>
        </is>
      </c>
      <c r="M819" s="9" t="inlineStr">
        <is>
          <t>CritAvg</t>
        </is>
      </c>
      <c r="N819" s="9" t="inlineStr">
        <is>
          <t>ExpectedDamage(perHit)</t>
        </is>
      </c>
      <c r="O819" s="9" t="inlineStr">
        <is>
          <t>DPS</t>
        </is>
      </c>
      <c r="P819" s="9" t="inlineStr">
        <is>
          <t>% of Total</t>
        </is>
      </c>
      <c r="Q819" s="9" t="inlineStr">
        <is>
          <t>InvCooldown</t>
        </is>
      </c>
      <c r="R819" s="9" t="inlineStr">
        <is>
          <t>CastsInFight</t>
        </is>
      </c>
      <c r="S819" s="9" t="inlineStr">
        <is>
          <t>HitRate(perSec)</t>
        </is>
      </c>
      <c r="U819" t="inlineStr">
        <is>
          <t>helpers</t>
        </is>
      </c>
    </row>
    <row r="820">
      <c r="A820">
        <f>Skills!A2</f>
        <v/>
      </c>
      <c r="B820">
        <f>Skills!B2</f>
        <v/>
      </c>
      <c r="C820">
        <f>Inputs!$B$3&gt;=100</f>
        <v/>
      </c>
      <c r="D820" t="inlineStr"/>
      <c r="E820" t="inlineStr"/>
      <c r="F820">
        <f>U824+Skills!O2</f>
        <v/>
      </c>
      <c r="G820">
        <f>Calc!G2</f>
        <v/>
      </c>
      <c r="H820">
        <f>Calc!H2</f>
        <v/>
      </c>
      <c r="I820">
        <f>IF(Skills!AA2&lt;&gt;"",1+(Skills!AA2/10)*(U821/1000)/100,1)</f>
        <v/>
      </c>
      <c r="J820">
        <f>((Inputs!$B$6*(1+Inputs!$B$7/100))+(((Inputs!$B$12*(1+Inputs!$B$13/100))-(Inputs!$B$12*(1+Inputs!$B$13/100)))+0.25*(Inputs!$B$14-Inputs!$B$14))*(1+Inputs!$B$7/100))*(F820/100)</f>
        <v/>
      </c>
      <c r="K820">
        <f>J820*(1+((Inputs!$B$12*(1+Inputs!$B$13/100))*0.01+Inputs!$B$14*0.0025)/100)*(1+Inputs!$B$15/100)*(1+Inputs!$B$16/100)*(5000/(6000+Inputs!$B$43*(1-Inputs!$B$19/100)))*(1+(Inputs!$B$24+((C848=TRUE)*(F848-Calc!F30)))/100)*(1+Skills!R2/100)*(1+(IF(Skills!A2="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820)</f>
        <v/>
      </c>
      <c r="L820">
        <f>K820*(MIN(Inputs!$B$22+((C842=TRUE)*(F842-Calc!F24)),Inputs!$B$23)/100+Inputs!$B$23/100)/2</f>
        <v/>
      </c>
      <c r="M820">
        <f>L820*(1+(Inputs!$B$10+((C844=TRUE)*(F844-Calc!F26))+B861)/100)</f>
        <v/>
      </c>
      <c r="N820">
        <f>L820*(1-MIN((Inputs!$B$9+((C843=TRUE)*(F843-Calc!F25))+B858),100)/100)+M820*(MIN((Inputs!$B$9+((C843=TRUE)*(F843-Calc!F25))+B858),100)/100)</f>
        <v/>
      </c>
      <c r="O820">
        <f>(1-Summary!$B$55)*T820+Summary!$B$55*V820</f>
        <v/>
      </c>
      <c r="P820">
        <f>IF(B862=0,0,O820/B862)</f>
        <v/>
      </c>
      <c r="Q820" t="n">
        <v>0</v>
      </c>
      <c r="R820" t="n">
        <v>0</v>
      </c>
      <c r="S820">
        <f>IFERROR(O820/N820,0)</f>
        <v/>
      </c>
      <c r="T820">
        <f>IF(C820,(Skills!G2*N820*B856)*IF(Inputs!$B$39="pvp",1,1+(Inputs!$B$20+((C845=TRUE)*(F845-Calc!F27))+Skills!P2+B859)/100),0)</f>
        <v/>
      </c>
      <c r="U820">
        <f>MAX(0,(Inputs!$B$3-100)*3)+Inputs!$B$28+Inputs!$B$29</f>
        <v/>
      </c>
      <c r="V820">
        <f>IF(C820,(Skills!G2*N820*B856)*IF(Inputs!$B$39="pvp",1,(1+(Inputs!$B$21+Skills!Q2+B859)/100)*(MIN((6+Inputs!$B$33),Inputs!$B$37))),0)</f>
        <v/>
      </c>
    </row>
    <row r="821">
      <c r="A821">
        <f>Skills!A3</f>
        <v/>
      </c>
      <c r="B821">
        <f>Skills!B3</f>
        <v/>
      </c>
      <c r="C821">
        <f>Inputs!$B$3&gt;=35</f>
        <v/>
      </c>
      <c r="D821">
        <f>IF(Skills!C3=1,60+(Inputs!$B$25+1)+Inputs!$B$29,IF(Skills!C3=2,90+Inputs!$B$26+Inputs!$B$29,IF(Skills!C3=3,120+Inputs!$B$27+Inputs!$B$29,MAX(0,(Inputs!$B$3-100)*3)+Inputs!$B$28+Inputs!$B$29)))</f>
        <v/>
      </c>
      <c r="E821">
        <f>INDEX(FactorTable!$B$2:$Y$301, MATCH(ROUND(MIN(300,MAX(1,D821)),0), FactorTable!$A$2:$A$301,0), Skills!M3+1)</f>
        <v/>
      </c>
      <c r="F821">
        <f>IF(Skills!N3=TRUE,(Skills!L3/10)*(E821/1000),Skills!L3/10)+Skills!O3</f>
        <v/>
      </c>
      <c r="G821">
        <f>Calc!G3</f>
        <v/>
      </c>
      <c r="H821">
        <f>Calc!H3</f>
        <v/>
      </c>
      <c r="I821">
        <f>IF(Skills!AA3&lt;&gt;"",1+(Skills!AA3/10)*(U821/1000)/100,1)</f>
        <v/>
      </c>
      <c r="J821">
        <f>((Inputs!$B$6*(1+Inputs!$B$7/100))+(((Inputs!$B$12*(1+Inputs!$B$13/100))-(Inputs!$B$12*(1+Inputs!$B$13/100)))+0.25*(Inputs!$B$14-Inputs!$B$14))*(1+Inputs!$B$7/100))*(F821/100)</f>
        <v/>
      </c>
      <c r="K821">
        <f>J821*(1+((Inputs!$B$12*(1+Inputs!$B$13/100))*0.01+Inputs!$B$14*0.0025)/100)*(1+Inputs!$B$15/100)*(1+Inputs!$B$16/100)*(5000/(6000+Inputs!$B$43*(1-Inputs!$B$19/100)))*(1+(Inputs!$B$24+((C848=TRUE)*(F848-Calc!F30)))/100)*(1+Skills!R3/100)*(1+(IF(Skills!A3="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821)</f>
        <v/>
      </c>
      <c r="L821">
        <f>K821*(MIN(Inputs!$B$22+((C842=TRUE)*(F842-Calc!F24)),Inputs!$B$23)/100+Inputs!$B$23/100)/2</f>
        <v/>
      </c>
      <c r="M821">
        <f>L821*(1+(Inputs!$B$10+((C844=TRUE)*(F844-Calc!F26))+B861)/100)</f>
        <v/>
      </c>
      <c r="N821">
        <f>L821*(1-MIN((Inputs!$B$9+((C843=TRUE)*(F843-Calc!F25))+B858),100)/100)+M821*(MIN((Inputs!$B$9+((C843=TRUE)*(F843-Calc!F25))+B858),100)/100)</f>
        <v/>
      </c>
      <c r="O821">
        <f>(1-Summary!$B$55)*T821+Summary!$B$55*V821</f>
        <v/>
      </c>
      <c r="P821">
        <f>IF(B862=0,0,O821/B862)</f>
        <v/>
      </c>
      <c r="Q821">
        <f>IFERROR(1/IF(Inputs!$B$39="pvp",15,MAX(0.1,Skills!D3-IF(Skills!E3=TRUE,Inputs!$B$32,0))),0)</f>
        <v/>
      </c>
      <c r="R821">
        <f>IF(AND(Inputs!$B$39&lt;&gt;"pvp",Inputs!$B$44&gt;0),IF(MAX(0,Inputs!$B$44-B863)&lt;=0,0,(INT(MAX(0,Inputs!$B$44-B863)/IF(Inputs!$B$39="pvp",15,MAX(0.1,Skills!D3-IF(Skills!E3=TRUE,Inputs!$B$32,0))))+1)),0)</f>
        <v/>
      </c>
      <c r="S821">
        <f>IFERROR(O821/N821,0)</f>
        <v/>
      </c>
      <c r="T821">
        <f>IF(C821,(H821*N821*IF(AND(Inputs!$B$39&lt;&gt;"pvp",Inputs!$B$44&gt;0),((Skills!G3*((R821-1)*IF(Skills!H3&gt;0,Skills!I3/Skills!H3,1)+IF(Skills!H3&gt;0,MIN(Skills!I3,MAX(0,MAX(0,Inputs!$B$44-B863)-((R821-1)*IF(Inputs!$B$39="pvp",15,MAX(0.1,Skills!D3-IF(Skills!E3=TRUE,Inputs!$B$32,0))))))/Skills!H3,1)))/Inputs!$B$44),G821*Q821))*IF(Inputs!$B$39="pvp",1,1+(Inputs!$B$20+((C845=TRUE)*(F845-Calc!F27))+Skills!P3+B859)/100),0)</f>
        <v/>
      </c>
      <c r="U821">
        <f>INDEX(FactorTable!$B$2:$Y$301, MATCH(ROUND(MIN(300,MAX(1,U820)),0), FactorTable!$A$2:$A$301,0), 24)</f>
        <v/>
      </c>
      <c r="V821">
        <f>IF(C821,(H821*N821*IF(AND(Inputs!$B$39&lt;&gt;"pvp",Inputs!$B$44&gt;0),((Skills!G3*((R821-1)*IF(Skills!H3&gt;0,Skills!I3/Skills!H3,1)+IF(Skills!H3&gt;0,MIN(Skills!I3,MAX(0,MAX(0,Inputs!$B$44-B863)-((R821-1)*IF(Inputs!$B$39="pvp",15,MAX(0.1,Skills!D3-IF(Skills!E3=TRUE,Inputs!$B$32,0))))))/Skills!H3,1)))/Inputs!$B$44),G821*Q821))*IF(Inputs!$B$39="pvp",1,(1+(Inputs!$B$21+Skills!Q3+B859)/100)*(MIN(Skills!W3,Inputs!$B$37))),0)</f>
        <v/>
      </c>
    </row>
    <row r="822">
      <c r="A822">
        <f>Skills!A4</f>
        <v/>
      </c>
      <c r="B822">
        <f>Skills!B4</f>
        <v/>
      </c>
      <c r="C822">
        <f>Inputs!$B$3&gt;=40</f>
        <v/>
      </c>
      <c r="D822">
        <f>IF(Skills!C4=1,60+(Inputs!$B$25+1)+Inputs!$B$29,IF(Skills!C4=2,90+Inputs!$B$26+Inputs!$B$29,IF(Skills!C4=3,120+Inputs!$B$27+Inputs!$B$29,MAX(0,(Inputs!$B$3-100)*3)+Inputs!$B$28+Inputs!$B$29)))</f>
        <v/>
      </c>
      <c r="E822">
        <f>INDEX(FactorTable!$B$2:$Y$301, MATCH(ROUND(MIN(300,MAX(1,D822)),0), FactorTable!$A$2:$A$301,0), Skills!M4+1)</f>
        <v/>
      </c>
      <c r="F822">
        <f>IF(Skills!N4=TRUE,(Skills!L4/10)*(E822/1000),Skills!L4/10)+Skills!O4</f>
        <v/>
      </c>
      <c r="G822">
        <f>Calc!G4</f>
        <v/>
      </c>
      <c r="H822">
        <f>Calc!H4</f>
        <v/>
      </c>
      <c r="I822">
        <f>IF(Skills!AA4&lt;&gt;"",1+(Skills!AA4/10)*(U821/1000)/100,1)</f>
        <v/>
      </c>
      <c r="J822">
        <f>((Inputs!$B$6*(1+Inputs!$B$7/100))+(((Inputs!$B$12*(1+Inputs!$B$13/100))-(Inputs!$B$12*(1+Inputs!$B$13/100)))+0.25*(Inputs!$B$14-Inputs!$B$14))*(1+Inputs!$B$7/100))*(F822/100)</f>
        <v/>
      </c>
      <c r="K822">
        <f>J822*(1+((Inputs!$B$12*(1+Inputs!$B$13/100))*0.01+Inputs!$B$14*0.0025)/100)*(1+Inputs!$B$15/100)*(1+Inputs!$B$16/100)*(5000/(6000+Inputs!$B$43*(1-Inputs!$B$19/100)))*(1+(Inputs!$B$24+((C848=TRUE)*(F848-Calc!F30)))/100)*(1+Skills!R4/100)*(1+(IF(Skills!A4="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822)</f>
        <v/>
      </c>
      <c r="L822">
        <f>K822*(MIN(Inputs!$B$22+((C842=TRUE)*(F842-Calc!F24)),Inputs!$B$23)/100+Inputs!$B$23/100)/2</f>
        <v/>
      </c>
      <c r="M822">
        <f>L822*(1+(Inputs!$B$10+((C844=TRUE)*(F844-Calc!F26))+B861)/100)</f>
        <v/>
      </c>
      <c r="N822">
        <f>L822*(1-MIN((Inputs!$B$9+((C843=TRUE)*(F843-Calc!F25))+B858),100)/100)+M822*(MIN((Inputs!$B$9+((C843=TRUE)*(F843-Calc!F25))+B858),100)/100)</f>
        <v/>
      </c>
      <c r="O822">
        <f>(1-Summary!$B$55)*T822+Summary!$B$55*V822</f>
        <v/>
      </c>
      <c r="P822">
        <f>IF(B862=0,0,O822/B862)</f>
        <v/>
      </c>
      <c r="Q822">
        <f>IFERROR(1/IF(Inputs!$B$39="pvp",15,MAX(0.1,Skills!D4-IF(Skills!E4=TRUE,Inputs!$B$32,0))),0)</f>
        <v/>
      </c>
      <c r="R822">
        <f>IF(AND(Inputs!$B$39&lt;&gt;"pvp",Inputs!$B$44&gt;0),IF(MAX(0,Inputs!$B$44-B863)&lt;=0,0,(INT(MAX(0,Inputs!$B$44-B863)/IF(Inputs!$B$39="pvp",15,MAX(0.1,Skills!D4-IF(Skills!E4=TRUE,Inputs!$B$32,0))))+1)),0)</f>
        <v/>
      </c>
      <c r="S822">
        <f>IFERROR(O822/N822,0)</f>
        <v/>
      </c>
      <c r="T822">
        <f>IF(C822,(H822*N822*IF(AND(Inputs!$B$39&lt;&gt;"pvp",Inputs!$B$44&gt;0),((Skills!G4*((R822-1)*IF(Skills!H4&gt;0,Skills!I4/Skills!H4,1)+IF(Skills!H4&gt;0,MIN(Skills!I4,MAX(0,MAX(0,Inputs!$B$44-B863)-((R822-1)*IF(Inputs!$B$39="pvp",15,MAX(0.1,Skills!D4-IF(Skills!E4=TRUE,Inputs!$B$32,0))))))/Skills!H4,1)))/Inputs!$B$44),G822*Q822))*IF(Inputs!$B$39="pvp",1,1+(Inputs!$B$20+((C845=TRUE)*(F845-Calc!F27))+Skills!P4+B859)/100),0)</f>
        <v/>
      </c>
      <c r="U822">
        <f>MAX(0,(Inputs!$B$3-100)*3)+Inputs!$B$28+Inputs!$B$29</f>
        <v/>
      </c>
      <c r="V822">
        <f>IF(C822,(H822*N822*IF(AND(Inputs!$B$39&lt;&gt;"pvp",Inputs!$B$44&gt;0),((Skills!G4*((R822-1)*IF(Skills!H4&gt;0,Skills!I4/Skills!H4,1)+IF(Skills!H4&gt;0,MIN(Skills!I4,MAX(0,MAX(0,Inputs!$B$44-B863)-((R822-1)*IF(Inputs!$B$39="pvp",15,MAX(0.1,Skills!D4-IF(Skills!E4=TRUE,Inputs!$B$32,0))))))/Skills!H4,1)))/Inputs!$B$44),G822*Q822))*IF(Inputs!$B$39="pvp",1,(1+(Inputs!$B$21+Skills!Q4+B859)/100)*(MIN(Skills!W4,Inputs!$B$37))),0)</f>
        <v/>
      </c>
    </row>
    <row r="823">
      <c r="A823">
        <f>Skills!A5</f>
        <v/>
      </c>
      <c r="B823">
        <f>Skills!B5</f>
        <v/>
      </c>
      <c r="C823">
        <f>Inputs!$B$3&gt;=63</f>
        <v/>
      </c>
      <c r="D823">
        <f>IF(Skills!C5=1,60+(Inputs!$B$25+1)+Inputs!$B$29,IF(Skills!C5=2,90+Inputs!$B$26+Inputs!$B$29,IF(Skills!C5=3,120+Inputs!$B$27+Inputs!$B$29,MAX(0,(Inputs!$B$3-100)*3)+Inputs!$B$28+Inputs!$B$29)))</f>
        <v/>
      </c>
      <c r="E823">
        <f>INDEX(FactorTable!$B$2:$Y$301, MATCH(ROUND(MIN(300,MAX(1,D823)),0), FactorTable!$A$2:$A$301,0), Skills!M5+1)</f>
        <v/>
      </c>
      <c r="F823">
        <f>IF(Skills!N5=TRUE,(Skills!L5/10)*(E823/1000),Skills!L5/10)+Skills!O5</f>
        <v/>
      </c>
      <c r="G823">
        <f>Calc!G5</f>
        <v/>
      </c>
      <c r="H823">
        <f>Calc!H5</f>
        <v/>
      </c>
      <c r="I823">
        <f>IF(Skills!AA5&lt;&gt;"",1+(Skills!AA5/10)*(U821/1000)/100,1)</f>
        <v/>
      </c>
      <c r="J823">
        <f>((Inputs!$B$6*(1+Inputs!$B$7/100))+(((Inputs!$B$12*(1+Inputs!$B$13/100))-(Inputs!$B$12*(1+Inputs!$B$13/100)))+0.25*(Inputs!$B$14-Inputs!$B$14))*(1+Inputs!$B$7/100))*(F823/100)</f>
        <v/>
      </c>
      <c r="K823">
        <f>J823*(1+((Inputs!$B$12*(1+Inputs!$B$13/100))*0.01+Inputs!$B$14*0.0025)/100)*(1+Inputs!$B$15/100)*(1+Inputs!$B$16/100)*(5000/(6000+Inputs!$B$43*(1-Inputs!$B$19/100)))*(1+(Inputs!$B$24+((C848=TRUE)*(F848-Calc!F30)))/100)*(1+Skills!R5/100)*(1+(IF(Skills!A5="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823)</f>
        <v/>
      </c>
      <c r="L823">
        <f>K823*(MIN(Inputs!$B$22+((C842=TRUE)*(F842-Calc!F24)),Inputs!$B$23)/100+Inputs!$B$23/100)/2</f>
        <v/>
      </c>
      <c r="M823">
        <f>L823*(1+(Inputs!$B$10+((C844=TRUE)*(F844-Calc!F26))+B861)/100)</f>
        <v/>
      </c>
      <c r="N823">
        <f>L823*(1-MIN((Inputs!$B$9+((C843=TRUE)*(F843-Calc!F25))+B858),100)/100)+M823*(MIN((Inputs!$B$9+((C843=TRUE)*(F843-Calc!F25))+B858),100)/100)</f>
        <v/>
      </c>
      <c r="O823">
        <f>(1-Summary!$B$55)*T823+Summary!$B$55*V823</f>
        <v/>
      </c>
      <c r="P823">
        <f>IF(B862=0,0,O823/B862)</f>
        <v/>
      </c>
      <c r="Q823">
        <f>IFERROR(1/IF(Inputs!$B$39="pvp",15,MAX(0.1,Skills!D5-IF(Skills!E5=TRUE,Inputs!$B$32,0))),0)</f>
        <v/>
      </c>
      <c r="R823">
        <f>IF(AND(Inputs!$B$39&lt;&gt;"pvp",Inputs!$B$44&gt;0),IF(MAX(0,Inputs!$B$44-B863)&lt;=0,0,(INT(MAX(0,Inputs!$B$44-B863)/IF(Inputs!$B$39="pvp",15,MAX(0.1,Skills!D5-IF(Skills!E5=TRUE,Inputs!$B$32,0))))+1)),0)</f>
        <v/>
      </c>
      <c r="S823">
        <f>IFERROR(O823/N823,0)</f>
        <v/>
      </c>
      <c r="T823">
        <f>IF(C823,(H823*N823*IF(AND(Inputs!$B$39&lt;&gt;"pvp",Inputs!$B$44&gt;0),((Skills!G5*((R823-1)*IF(Skills!H5&gt;0,Skills!I5/Skills!H5,1)+IF(Skills!H5&gt;0,MIN(Skills!I5,MAX(0,MAX(0,Inputs!$B$44-B863)-((R823-1)*IF(Inputs!$B$39="pvp",15,MAX(0.1,Skills!D5-IF(Skills!E5=TRUE,Inputs!$B$32,0))))))/Skills!H5,1)))/Inputs!$B$44),G823*Q823))*IF(Inputs!$B$39="pvp",1,1+(Inputs!$B$20+((C845=TRUE)*(F845-Calc!F27))+Skills!P5+B859)/100),0)</f>
        <v/>
      </c>
      <c r="U823">
        <f>INDEX(FactorTable!$B$2:$Y$301, MATCH(ROUND(MIN(300,MAX(1,U822)),0), FactorTable!$A$2:$A$301,0), 22)</f>
        <v/>
      </c>
      <c r="V823">
        <f>IF(C823,(H823*N823*IF(AND(Inputs!$B$39&lt;&gt;"pvp",Inputs!$B$44&gt;0),((Skills!G5*((R823-1)*IF(Skills!H5&gt;0,Skills!I5/Skills!H5,1)+IF(Skills!H5&gt;0,MIN(Skills!I5,MAX(0,MAX(0,Inputs!$B$44-B863)-((R823-1)*IF(Inputs!$B$39="pvp",15,MAX(0.1,Skills!D5-IF(Skills!E5=TRUE,Inputs!$B$32,0))))))/Skills!H5,1)))/Inputs!$B$44),G823*Q823))*IF(Inputs!$B$39="pvp",1,(1+(Inputs!$B$21+Skills!Q5+B859)/100)*(MIN(Skills!W5,Inputs!$B$37))),0)</f>
        <v/>
      </c>
    </row>
    <row r="824">
      <c r="A824">
        <f>Skills!A6</f>
        <v/>
      </c>
      <c r="B824">
        <f>Skills!B6</f>
        <v/>
      </c>
      <c r="C824">
        <f>Inputs!$B$3&gt;=66</f>
        <v/>
      </c>
      <c r="D824">
        <f>IF(Skills!C6=1,60+(Inputs!$B$25+1)+Inputs!$B$29,IF(Skills!C6=2,90+Inputs!$B$26+Inputs!$B$29,IF(Skills!C6=3,120+Inputs!$B$27+Inputs!$B$29,MAX(0,(Inputs!$B$3-100)*3)+Inputs!$B$28+Inputs!$B$29)))</f>
        <v/>
      </c>
      <c r="E824">
        <f>INDEX(FactorTable!$B$2:$Y$301, MATCH(ROUND(MIN(300,MAX(1,D824)),0), FactorTable!$A$2:$A$301,0), Skills!M6+1)</f>
        <v/>
      </c>
      <c r="F824">
        <f>IF(Skills!N6=TRUE,(Skills!L6/10)*(E824/1000),Skills!L6/10)+Skills!O6</f>
        <v/>
      </c>
      <c r="G824">
        <f>Calc!G6</f>
        <v/>
      </c>
      <c r="H824">
        <f>Calc!H6</f>
        <v/>
      </c>
      <c r="I824">
        <f>IF(Skills!AA6&lt;&gt;"",1+(Skills!AA6/10)*(U821/1000)/100,1)</f>
        <v/>
      </c>
      <c r="J824" t="inlineStr"/>
      <c r="K824" t="inlineStr"/>
      <c r="L824" t="inlineStr"/>
      <c r="M824" t="inlineStr"/>
      <c r="N824" t="inlineStr"/>
      <c r="O824">
        <f>(1-Summary!$B$55)*T824+Summary!$B$55*V824</f>
        <v/>
      </c>
      <c r="P824">
        <f>IF(B862=0,0,O824/B862)</f>
        <v/>
      </c>
      <c r="Q824" t="n">
        <v>0</v>
      </c>
      <c r="R824" t="n">
        <v>0</v>
      </c>
      <c r="S824">
        <f>IFERROR(O824/N824,0)</f>
        <v/>
      </c>
      <c r="T824" t="n">
        <v>0</v>
      </c>
      <c r="U824">
        <f>290*U823/1000</f>
        <v/>
      </c>
      <c r="V824" t="n">
        <v>0</v>
      </c>
    </row>
    <row r="825">
      <c r="A825">
        <f>Skills!A7</f>
        <v/>
      </c>
      <c r="B825">
        <f>Skills!B7</f>
        <v/>
      </c>
      <c r="C825">
        <f>Inputs!$B$3&gt;=66</f>
        <v/>
      </c>
      <c r="D825">
        <f>IF(Skills!C7=1,60+(Inputs!$B$25+1)+Inputs!$B$29,IF(Skills!C7=2,90+Inputs!$B$26+Inputs!$B$29,IF(Skills!C7=3,120+Inputs!$B$27+Inputs!$B$29,MAX(0,(Inputs!$B$3-100)*3)+Inputs!$B$28+Inputs!$B$29)))</f>
        <v/>
      </c>
      <c r="E825">
        <f>INDEX(FactorTable!$B$2:$Y$301, MATCH(ROUND(MIN(300,MAX(1,D825)),0), FactorTable!$A$2:$A$301,0), Skills!M7+1)</f>
        <v/>
      </c>
      <c r="F825">
        <f>IF(Skills!N7=TRUE,(Skills!L7/10)*(E825/1000),Skills!L7/10)+Skills!O7</f>
        <v/>
      </c>
      <c r="G825">
        <f>Calc!G7</f>
        <v/>
      </c>
      <c r="H825">
        <f>Calc!H7</f>
        <v/>
      </c>
      <c r="I825">
        <f>IF(Skills!AA7&lt;&gt;"",1+(Skills!AA7/10)*(U821/1000)/100,1)</f>
        <v/>
      </c>
      <c r="J825" t="inlineStr"/>
      <c r="K825" t="inlineStr"/>
      <c r="L825" t="inlineStr"/>
      <c r="M825" t="inlineStr"/>
      <c r="N825" t="inlineStr"/>
      <c r="O825">
        <f>(1-Summary!$B$55)*T825+Summary!$B$55*V825</f>
        <v/>
      </c>
      <c r="P825">
        <f>IF(B862=0,0,O825/B862)</f>
        <v/>
      </c>
      <c r="Q825" t="n">
        <v>0</v>
      </c>
      <c r="R825" t="n">
        <v>0</v>
      </c>
      <c r="S825">
        <f>IFERROR(O825/N825,0)</f>
        <v/>
      </c>
      <c r="T825" t="n">
        <v>0</v>
      </c>
      <c r="V825" t="n">
        <v>0</v>
      </c>
    </row>
    <row r="826">
      <c r="A826">
        <f>Skills!A8</f>
        <v/>
      </c>
      <c r="B826">
        <f>Skills!B8</f>
        <v/>
      </c>
      <c r="C826">
        <f>Inputs!$B$3&gt;=69</f>
        <v/>
      </c>
      <c r="D826">
        <f>IF(Skills!C8=1,60+(Inputs!$B$25+1)+Inputs!$B$29,IF(Skills!C8=2,90+Inputs!$B$26+Inputs!$B$29,IF(Skills!C8=3,120+Inputs!$B$27+Inputs!$B$29,MAX(0,(Inputs!$B$3-100)*3)+Inputs!$B$28+Inputs!$B$29)))</f>
        <v/>
      </c>
      <c r="E826">
        <f>INDEX(FactorTable!$B$2:$Y$301, MATCH(ROUND(MIN(300,MAX(1,D826)),0), FactorTable!$A$2:$A$301,0), Skills!M8+1)</f>
        <v/>
      </c>
      <c r="F826">
        <f>IF(Skills!N8=TRUE,(Skills!L8/10)*(E826/1000),Skills!L8/10)+Skills!O8</f>
        <v/>
      </c>
      <c r="G826">
        <f>Calc!G8</f>
        <v/>
      </c>
      <c r="H826">
        <f>Calc!H8</f>
        <v/>
      </c>
      <c r="I826">
        <f>IF(Skills!AA8&lt;&gt;"",1+(Skills!AA8/10)*(U821/1000)/100,1)</f>
        <v/>
      </c>
      <c r="J826">
        <f>((Inputs!$B$6*(1+Inputs!$B$7/100))+(((Inputs!$B$12*(1+Inputs!$B$13/100))-(Inputs!$B$12*(1+Inputs!$B$13/100)))+0.25*(Inputs!$B$14-Inputs!$B$14))*(1+Inputs!$B$7/100))*(F826/100)</f>
        <v/>
      </c>
      <c r="K826">
        <f>J826*(1+((Inputs!$B$12*(1+Inputs!$B$13/100))*0.01+Inputs!$B$14*0.0025)/100)*(1+Inputs!$B$15/100)*(1+Inputs!$B$16/100)*(5000/(6000+Inputs!$B$43*(1-Inputs!$B$19/100)))*(1+(Inputs!$B$24+((C848=TRUE)*(F848-Calc!F30)))/100)*(1+Skills!R8/100)*(1+(IF(Skills!A8="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826)</f>
        <v/>
      </c>
      <c r="L826">
        <f>K826*(MIN(Inputs!$B$22+((C842=TRUE)*(F842-Calc!F24)),Inputs!$B$23)/100+Inputs!$B$23/100)/2</f>
        <v/>
      </c>
      <c r="M826">
        <f>L826*(1+(Inputs!$B$10+((C844=TRUE)*(F844-Calc!F26))+B861)/100)</f>
        <v/>
      </c>
      <c r="N826">
        <f>L826*(1-MIN((Inputs!$B$9+((C843=TRUE)*(F843-Calc!F25))+B858),100)/100)+M826*(MIN((Inputs!$B$9+((C843=TRUE)*(F843-Calc!F25))+B858),100)/100)</f>
        <v/>
      </c>
      <c r="O826">
        <f>(1-Summary!$B$55)*T826+Summary!$B$55*V826</f>
        <v/>
      </c>
      <c r="P826">
        <f>IF(B862=0,0,O826/B862)</f>
        <v/>
      </c>
      <c r="Q826">
        <f>IFERROR(1/IF(Inputs!$B$39="pvp",15,MAX(0.1,Skills!D8-IF(Skills!E8=TRUE,Inputs!$B$32,0))),0)</f>
        <v/>
      </c>
      <c r="R826">
        <f>IF(AND(Inputs!$B$39&lt;&gt;"pvp",Inputs!$B$44&gt;0),IF(MAX(0,Inputs!$B$44-B863)&lt;=0,0,(INT(MAX(0,Inputs!$B$44-B863)/IF(Inputs!$B$39="pvp",15,MAX(0.1,Skills!D8-IF(Skills!E8=TRUE,Inputs!$B$32,0))))+1)),0)</f>
        <v/>
      </c>
      <c r="S826">
        <f>IFERROR(O826/N826,0)</f>
        <v/>
      </c>
      <c r="T826">
        <f>IF(C826,(H826*N826*IF(AND(Inputs!$B$39&lt;&gt;"pvp",Inputs!$B$44&gt;0),((Skills!G8*((R826-1)*IF(Skills!H8&gt;0,Skills!I8/Skills!H8,1)+IF(Skills!H8&gt;0,MIN(Skills!I8,MAX(0,MAX(0,Inputs!$B$44-B863)-((R826-1)*IF(Inputs!$B$39="pvp",15,MAX(0.1,Skills!D8-IF(Skills!E8=TRUE,Inputs!$B$32,0))))))/Skills!H8,1)))/Inputs!$B$44),G826*Q826))*IF(Inputs!$B$39="pvp",1,1+(Inputs!$B$20+((C845=TRUE)*(F845-Calc!F27))+Skills!P8+B859)/100),0)</f>
        <v/>
      </c>
      <c r="V826">
        <f>IF(C826,(H826*N826*IF(AND(Inputs!$B$39&lt;&gt;"pvp",Inputs!$B$44&gt;0),((Skills!G8*((R826-1)*IF(Skills!H8&gt;0,Skills!I8/Skills!H8,1)+IF(Skills!H8&gt;0,MIN(Skills!I8,MAX(0,MAX(0,Inputs!$B$44-B863)-((R826-1)*IF(Inputs!$B$39="pvp",15,MAX(0.1,Skills!D8-IF(Skills!E8=TRUE,Inputs!$B$32,0))))))/Skills!H8,1)))/Inputs!$B$44),G826*Q826))*IF(Inputs!$B$39="pvp",1,(1+(Inputs!$B$21+Skills!Q8+B859)/100)*(MIN(Skills!W8,Inputs!$B$37))),0)</f>
        <v/>
      </c>
    </row>
    <row r="827">
      <c r="A827">
        <f>Skills!A9</f>
        <v/>
      </c>
      <c r="B827">
        <f>Skills!B9</f>
        <v/>
      </c>
      <c r="C827">
        <f>Inputs!$B$3&gt;=72</f>
        <v/>
      </c>
      <c r="D827">
        <f>IF(Skills!C9=1,60+(Inputs!$B$25+1)+Inputs!$B$29,IF(Skills!C9=2,90+Inputs!$B$26+Inputs!$B$29,IF(Skills!C9=3,120+Inputs!$B$27+Inputs!$B$29,MAX(0,(Inputs!$B$3-100)*3)+Inputs!$B$28+Inputs!$B$29)))</f>
        <v/>
      </c>
      <c r="E827">
        <f>INDEX(FactorTable!$B$2:$Y$301, MATCH(ROUND(MIN(300,MAX(1,D827)),0), FactorTable!$A$2:$A$301,0), Skills!M9+1)</f>
        <v/>
      </c>
      <c r="F827">
        <f>IF(Skills!N9=TRUE,(Skills!L9/10)*(E827/1000),Skills!L9/10)+Skills!O9</f>
        <v/>
      </c>
      <c r="G827">
        <f>Calc!G9</f>
        <v/>
      </c>
      <c r="H827">
        <f>Calc!H9</f>
        <v/>
      </c>
      <c r="I827">
        <f>IF(Skills!AA9&lt;&gt;"",1+(Skills!AA9/10)*(U821/1000)/100,1)</f>
        <v/>
      </c>
      <c r="J827">
        <f>((Inputs!$B$6*(1+Inputs!$B$7/100))+(((Inputs!$B$12*(1+Inputs!$B$13/100))-(Inputs!$B$12*(1+Inputs!$B$13/100)))+0.25*(Inputs!$B$14-Inputs!$B$14))*(1+Inputs!$B$7/100))*(F827/100)</f>
        <v/>
      </c>
      <c r="K827">
        <f>J827*(1+((Inputs!$B$12*(1+Inputs!$B$13/100))*0.01+Inputs!$B$14*0.0025)/100)*(1+Inputs!$B$15/100)*(1+Inputs!$B$16/100)*(5000/(6000+Inputs!$B$43*(1-Inputs!$B$19/100)))*(1+(Inputs!$B$24+((C848=TRUE)*(F848-Calc!F30)))/100)*(1+Skills!R9/100)*(1+(IF(Skills!A9="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827)</f>
        <v/>
      </c>
      <c r="L827">
        <f>K827*(MIN(Inputs!$B$22+((C842=TRUE)*(F842-Calc!F24)),Inputs!$B$23)/100+Inputs!$B$23/100)/2</f>
        <v/>
      </c>
      <c r="M827">
        <f>L827*(1+(Inputs!$B$10+((C844=TRUE)*(F844-Calc!F26))+B861)/100)</f>
        <v/>
      </c>
      <c r="N827">
        <f>L827*(1-MIN((Inputs!$B$9+((C843=TRUE)*(F843-Calc!F25))+B858),100)/100)+M827*(MIN((Inputs!$B$9+((C843=TRUE)*(F843-Calc!F25))+B858),100)/100)</f>
        <v/>
      </c>
      <c r="O827">
        <f>(1-Summary!$B$55)*T827+Summary!$B$55*V827</f>
        <v/>
      </c>
      <c r="P827">
        <f>IF(B862=0,0,O827/B862)</f>
        <v/>
      </c>
      <c r="Q827">
        <f>IFERROR(1/IF(Inputs!$B$39="pvp",15,MAX(0.1,Skills!D9-IF(Skills!E9=TRUE,Inputs!$B$32,0))),0)</f>
        <v/>
      </c>
      <c r="R827">
        <f>IF(AND(Inputs!$B$39&lt;&gt;"pvp",Inputs!$B$44&gt;0),IF(MAX(0,Inputs!$B$44-B863)&lt;=0,0,(INT(MAX(0,Inputs!$B$44-B863)/IF(Inputs!$B$39="pvp",15,MAX(0.1,Skills!D9-IF(Skills!E9=TRUE,Inputs!$B$32,0))))+1)),0)</f>
        <v/>
      </c>
      <c r="S827">
        <f>IFERROR(O827/N827,0)</f>
        <v/>
      </c>
      <c r="T827">
        <f>IF(C827,(H827*N827*IF(AND(Inputs!$B$39&lt;&gt;"pvp",Inputs!$B$44&gt;0),((Skills!G9*((R827-1)*IF(Skills!H9&gt;0,Skills!I9/Skills!H9,1)+IF(Skills!H9&gt;0,MIN(Skills!I9,MAX(0,MAX(0,Inputs!$B$44-B863)-((R827-1)*IF(Inputs!$B$39="pvp",15,MAX(0.1,Skills!D9-IF(Skills!E9=TRUE,Inputs!$B$32,0))))))/Skills!H9,1)))/Inputs!$B$44),G827*Q827))*IF(Inputs!$B$39="pvp",1,1+(Inputs!$B$20+((C845=TRUE)*(F845-Calc!F27))+Skills!P9+B859)/100),0)</f>
        <v/>
      </c>
      <c r="V827">
        <f>IF(C827,(H827*N827*IF(AND(Inputs!$B$39&lt;&gt;"pvp",Inputs!$B$44&gt;0),((Skills!G9*((R827-1)*IF(Skills!H9&gt;0,Skills!I9/Skills!H9,1)+IF(Skills!H9&gt;0,MIN(Skills!I9,MAX(0,MAX(0,Inputs!$B$44-B863)-((R827-1)*IF(Inputs!$B$39="pvp",15,MAX(0.1,Skills!D9-IF(Skills!E9=TRUE,Inputs!$B$32,0))))))/Skills!H9,1)))/Inputs!$B$44),G827*Q827))*IF(Inputs!$B$39="pvp",1,(1+(Inputs!$B$21+Skills!Q9+B859)/100)*(MIN(Skills!W9,Inputs!$B$37))),0)</f>
        <v/>
      </c>
    </row>
    <row r="828">
      <c r="A828">
        <f>Skills!A10</f>
        <v/>
      </c>
      <c r="B828">
        <f>Skills!B10</f>
        <v/>
      </c>
      <c r="C828">
        <f>Inputs!$B$3&gt;=117</f>
        <v/>
      </c>
      <c r="D828">
        <f>IF(Skills!C10=1,60+(Inputs!$B$25+1)+Inputs!$B$29,IF(Skills!C10=2,90+Inputs!$B$26+Inputs!$B$29,IF(Skills!C10=3,120+Inputs!$B$27+Inputs!$B$29,MAX(0,(Inputs!$B$3-100)*3)+Inputs!$B$28+Inputs!$B$29)))</f>
        <v/>
      </c>
      <c r="E828">
        <f>INDEX(FactorTable!$B$2:$Y$301, MATCH(ROUND(MIN(300,MAX(1,D828)),0), FactorTable!$A$2:$A$301,0), Skills!M10+1)</f>
        <v/>
      </c>
      <c r="F828">
        <f>IF(Skills!N10=TRUE,(Skills!L10/10)*(E828/1000),Skills!L10/10)+Skills!O10</f>
        <v/>
      </c>
      <c r="G828">
        <f>Calc!G10</f>
        <v/>
      </c>
      <c r="H828">
        <f>Calc!H10</f>
        <v/>
      </c>
      <c r="I828">
        <f>IF(Skills!AA10&lt;&gt;"",1+(Skills!AA10/10)*(U821/1000)/100,1)</f>
        <v/>
      </c>
      <c r="J828">
        <f>((Inputs!$B$6*(1+Inputs!$B$7/100))+(((Inputs!$B$12*(1+Inputs!$B$13/100))-(Inputs!$B$12*(1+Inputs!$B$13/100)))+0.25*(Inputs!$B$14-Inputs!$B$14))*(1+Inputs!$B$7/100))*(F828/100)</f>
        <v/>
      </c>
      <c r="K828">
        <f>J828*(1+((Inputs!$B$12*(1+Inputs!$B$13/100))*0.01+Inputs!$B$14*0.0025)/100)*(1+Inputs!$B$15/100)*(1+Inputs!$B$16/100)*(5000/(6000+Inputs!$B$43*(1-Inputs!$B$19/100)))*(1+(Inputs!$B$24+((C848=TRUE)*(F848-Calc!F30)))/100)*(1+Skills!R10/100)*(1+(IF(Skills!A10="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828)</f>
        <v/>
      </c>
      <c r="L828">
        <f>K828*(MIN(Inputs!$B$22+((C842=TRUE)*(F842-Calc!F24)),Inputs!$B$23)/100+Inputs!$B$23/100)/2</f>
        <v/>
      </c>
      <c r="M828">
        <f>L828*(1+(Inputs!$B$10+((C844=TRUE)*(F844-Calc!F26))+B861)/100)</f>
        <v/>
      </c>
      <c r="N828">
        <f>L828*(1-MIN((Inputs!$B$9+((C843=TRUE)*(F843-Calc!F25))+B858),100)/100)+M828*(MIN((Inputs!$B$9+((C843=TRUE)*(F843-Calc!F25))+B858),100)/100)</f>
        <v/>
      </c>
      <c r="O828">
        <f>(1-Summary!$B$55)*T828+Summary!$B$55*V828</f>
        <v/>
      </c>
      <c r="P828">
        <f>IF(B862=0,0,O828/B862)</f>
        <v/>
      </c>
      <c r="Q828" t="n">
        <v>0</v>
      </c>
      <c r="R828" t="n">
        <v>0</v>
      </c>
      <c r="S828" t="n">
        <v>0</v>
      </c>
      <c r="T828">
        <f>IF(C828,(0.2*SUMPRODUCT((Skills!Z2:Z31=TRUE)*(C820:C849=TRUE)*S820:S849)*N828)*IF(Inputs!$B$39="pvp",1,1+(Inputs!$B$20+((C845=TRUE)*(F845-Calc!F27))+Skills!P10+B859)/100),0)</f>
        <v/>
      </c>
      <c r="V828">
        <f>IF(C828,(0.2*SUMPRODUCT((Skills!Z2:Z31=TRUE)*(C820:C849=TRUE)*S820:S849)*N828)*IF(Inputs!$B$39="pvp",1,(1+(Inputs!$B$21+Skills!Q10+B859)/100)*(MIN(Skills!W10,Inputs!$B$37))),0)</f>
        <v/>
      </c>
    </row>
    <row r="829">
      <c r="A829">
        <f>Skills!A11</f>
        <v/>
      </c>
      <c r="B829">
        <f>Skills!B11</f>
        <v/>
      </c>
      <c r="C829">
        <f>Inputs!$B$3&gt;=60</f>
        <v/>
      </c>
      <c r="D829">
        <f>IF(Skills!C11=1,60+(Inputs!$B$25+1)+Inputs!$B$29,IF(Skills!C11=2,90+Inputs!$B$26+Inputs!$B$29,IF(Skills!C11=3,120+Inputs!$B$27+Inputs!$B$29,MAX(0,(Inputs!$B$3-100)*3)+Inputs!$B$28+Inputs!$B$29)))</f>
        <v/>
      </c>
      <c r="E829">
        <f>INDEX(FactorTable!$B$2:$Y$301, MATCH(ROUND(MIN(300,MAX(1,D829)),0), FactorTable!$A$2:$A$301,0), Skills!M11+1)</f>
        <v/>
      </c>
      <c r="F829">
        <f>IF(Skills!N11=TRUE,(Skills!L11/10)*(E829/1000),Skills!L11/10)+Skills!O11</f>
        <v/>
      </c>
      <c r="G829">
        <f>Calc!G11</f>
        <v/>
      </c>
      <c r="H829">
        <f>Calc!H11</f>
        <v/>
      </c>
      <c r="I829">
        <f>IF(Skills!AA11&lt;&gt;"",1+(Skills!AA11/10)*(U821/1000)/100,1)</f>
        <v/>
      </c>
      <c r="J829" t="inlineStr"/>
      <c r="K829" t="inlineStr"/>
      <c r="L829" t="inlineStr"/>
      <c r="M829" t="inlineStr"/>
      <c r="N829" t="inlineStr"/>
      <c r="O829">
        <f>(1-Summary!$B$55)*T829+Summary!$B$55*V829</f>
        <v/>
      </c>
      <c r="P829">
        <f>IF(B862=0,0,O829/B862)</f>
        <v/>
      </c>
      <c r="Q829" t="n">
        <v>0</v>
      </c>
      <c r="R829" t="n">
        <v>0</v>
      </c>
      <c r="S829">
        <f>IFERROR(O829/N829,0)</f>
        <v/>
      </c>
      <c r="T829" t="n">
        <v>0</v>
      </c>
      <c r="V829" t="n">
        <v>0</v>
      </c>
    </row>
    <row r="830">
      <c r="A830">
        <f>Skills!A12</f>
        <v/>
      </c>
      <c r="B830">
        <f>Skills!B12</f>
        <v/>
      </c>
      <c r="C830">
        <f>Inputs!$B$3&gt;=103</f>
        <v/>
      </c>
      <c r="D830">
        <f>IF(Skills!C12=1,60+(Inputs!$B$25+1)+Inputs!$B$29,IF(Skills!C12=2,90+Inputs!$B$26+Inputs!$B$29,IF(Skills!C12=3,120+Inputs!$B$27+Inputs!$B$29,MAX(0,(Inputs!$B$3-100)*3)+Inputs!$B$28+Inputs!$B$29)))</f>
        <v/>
      </c>
      <c r="E830">
        <f>INDEX(FactorTable!$B$2:$Y$301, MATCH(ROUND(MIN(300,MAX(1,D830)),0), FactorTable!$A$2:$A$301,0), Skills!M12+1)</f>
        <v/>
      </c>
      <c r="F830">
        <f>IF(Skills!N12=TRUE,(Skills!L12/10)*(E830/1000),Skills!L12/10)+Skills!O12</f>
        <v/>
      </c>
      <c r="G830">
        <f>Calc!G12</f>
        <v/>
      </c>
      <c r="H830">
        <f>Calc!H12</f>
        <v/>
      </c>
      <c r="I830">
        <f>IF(Skills!AA12&lt;&gt;"",1+(Skills!AA12/10)*(U821/1000)/100,1)</f>
        <v/>
      </c>
      <c r="J830">
        <f>((Inputs!$B$6*(1+Inputs!$B$7/100))+(((Inputs!$B$12*(1+Inputs!$B$13/100))-(Inputs!$B$12*(1+Inputs!$B$13/100)))+0.25*(Inputs!$B$14-Inputs!$B$14))*(1+Inputs!$B$7/100))*(F830/100)</f>
        <v/>
      </c>
      <c r="K830">
        <f>J830*(1+((Inputs!$B$12*(1+Inputs!$B$13/100))*0.01+Inputs!$B$14*0.0025)/100)*(1+Inputs!$B$15/100)*(1+Inputs!$B$16/100)*(5000/(6000+Inputs!$B$43*(1-Inputs!$B$19/100)))*(1+(Inputs!$B$24+((C848=TRUE)*(F848-Calc!F30)))/100)*(1+Skills!R12/100)*(1+(IF(Skills!A12="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830)</f>
        <v/>
      </c>
      <c r="L830">
        <f>K830*(MIN(Inputs!$B$22+((C842=TRUE)*(F842-Calc!F24)),Inputs!$B$23)/100+Inputs!$B$23/100)/2</f>
        <v/>
      </c>
      <c r="M830">
        <f>L830*(1+(Inputs!$B$10+((C844=TRUE)*(F844-Calc!F26))+B861)/100)</f>
        <v/>
      </c>
      <c r="N830">
        <f>L830*(1-MIN((Inputs!$B$9+((C843=TRUE)*(F843-Calc!F25))+B858),100)/100)+M830*(MIN((Inputs!$B$9+((C843=TRUE)*(F843-Calc!F25))+B858),100)/100)</f>
        <v/>
      </c>
      <c r="O830">
        <f>(1-Summary!$B$55)*T830+Summary!$B$55*V830</f>
        <v/>
      </c>
      <c r="P830">
        <f>IF(B862=0,0,O830/B862)</f>
        <v/>
      </c>
      <c r="Q830">
        <f>IFERROR(1/IF(Inputs!$B$39="pvp",15,MAX(0.1,Skills!D12-IF(Skills!E12=TRUE,Inputs!$B$32,0))),0)</f>
        <v/>
      </c>
      <c r="R830">
        <f>IF(AND(Inputs!$B$39&lt;&gt;"pvp",Inputs!$B$44&gt;0),IF(MAX(0,Inputs!$B$44-B863)&lt;=0,0,(INT(MAX(0,Inputs!$B$44-B863)/IF(Inputs!$B$39="pvp",15,MAX(0.1,Skills!D12-IF(Skills!E12=TRUE,Inputs!$B$32,0))))+1)),0)</f>
        <v/>
      </c>
      <c r="S830">
        <f>IFERROR(O830/N830,0)</f>
        <v/>
      </c>
      <c r="T830">
        <f>IF(C830,(H830*N830*IF(AND(Inputs!$B$39&lt;&gt;"pvp",Inputs!$B$44&gt;0),((Skills!G12*((R830-1)*IF(Skills!H12&gt;0,Skills!I12/Skills!H12,1)+IF(Skills!H12&gt;0,MIN(Skills!I12,MAX(0,MAX(0,Inputs!$B$44-B863)-((R830-1)*IF(Inputs!$B$39="pvp",15,MAX(0.1,Skills!D12-IF(Skills!E12=TRUE,Inputs!$B$32,0))))))/Skills!H12,1)))/Inputs!$B$44),G830*Q830))*IF(Inputs!$B$39="pvp",1,1+(Inputs!$B$20+((C845=TRUE)*(F845-Calc!F27))+Skills!P12+B859)/100),0)</f>
        <v/>
      </c>
      <c r="V830">
        <f>IF(C830,(H830*N830*IF(AND(Inputs!$B$39&lt;&gt;"pvp",Inputs!$B$44&gt;0),((Skills!G12*((R830-1)*IF(Skills!H12&gt;0,Skills!I12/Skills!H12,1)+IF(Skills!H12&gt;0,MIN(Skills!I12,MAX(0,MAX(0,Inputs!$B$44-B863)-((R830-1)*IF(Inputs!$B$39="pvp",15,MAX(0.1,Skills!D12-IF(Skills!E12=TRUE,Inputs!$B$32,0))))))/Skills!H12,1)))/Inputs!$B$44),G830*Q830))*IF(Inputs!$B$39="pvp",1,(1+(Inputs!$B$21+Skills!Q12+B859)/100)*(MIN(Skills!W12,Inputs!$B$37))),0)</f>
        <v/>
      </c>
    </row>
    <row r="831">
      <c r="A831">
        <f>Skills!A13</f>
        <v/>
      </c>
      <c r="B831">
        <f>Skills!B13</f>
        <v/>
      </c>
      <c r="C831">
        <f>Inputs!$B$3&gt;=105</f>
        <v/>
      </c>
      <c r="D831">
        <f>IF(Skills!C13=1,60+(Inputs!$B$25+1)+Inputs!$B$29,IF(Skills!C13=2,90+Inputs!$B$26+Inputs!$B$29,IF(Skills!C13=3,120+Inputs!$B$27+Inputs!$B$29,MAX(0,(Inputs!$B$3-100)*3)+Inputs!$B$28+Inputs!$B$29)))</f>
        <v/>
      </c>
      <c r="E831">
        <f>INDEX(FactorTable!$B$2:$Y$301, MATCH(ROUND(MIN(300,MAX(1,D831)),0), FactorTable!$A$2:$A$301,0), Skills!M13+1)</f>
        <v/>
      </c>
      <c r="F831">
        <f>IF(Skills!N13=TRUE,(Skills!L13/10)*(E831/1000),Skills!L13/10)+Skills!O13</f>
        <v/>
      </c>
      <c r="G831">
        <f>Calc!G13</f>
        <v/>
      </c>
      <c r="H831">
        <f>Calc!H13</f>
        <v/>
      </c>
      <c r="I831">
        <f>IF(Skills!AA13&lt;&gt;"",1+(Skills!AA13/10)*(U821/1000)/100,1)</f>
        <v/>
      </c>
      <c r="J831">
        <f>((Inputs!$B$6*(1+Inputs!$B$7/100))+(((Inputs!$B$12*(1+Inputs!$B$13/100))-(Inputs!$B$12*(1+Inputs!$B$13/100)))+0.25*(Inputs!$B$14-Inputs!$B$14))*(1+Inputs!$B$7/100))*(F831/100)</f>
        <v/>
      </c>
      <c r="K831">
        <f>J831*(1+((Inputs!$B$12*(1+Inputs!$B$13/100))*0.01+Inputs!$B$14*0.0025)/100)*(1+Inputs!$B$15/100)*(1+Inputs!$B$16/100)*(5000/(6000+Inputs!$B$43*(1-Inputs!$B$19/100)))*(1+(Inputs!$B$24+((C848=TRUE)*(F848-Calc!F30)))/100)*(1+Skills!R13/100)*(1+(IF(Skills!A13="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831)</f>
        <v/>
      </c>
      <c r="L831">
        <f>K831*(MIN(Inputs!$B$22+((C842=TRUE)*(F842-Calc!F24)),Inputs!$B$23)/100+Inputs!$B$23/100)/2</f>
        <v/>
      </c>
      <c r="M831">
        <f>L831*(1+(Inputs!$B$10+((C844=TRUE)*(F844-Calc!F26))+B861)/100)</f>
        <v/>
      </c>
      <c r="N831">
        <f>L831*(1-MIN((Inputs!$B$9+((C843=TRUE)*(F843-Calc!F25))+B858),100)/100)+M831*(MIN((Inputs!$B$9+((C843=TRUE)*(F843-Calc!F25))+B858),100)/100)</f>
        <v/>
      </c>
      <c r="O831">
        <f>(1-Summary!$B$55)*T831+Summary!$B$55*V831</f>
        <v/>
      </c>
      <c r="P831">
        <f>IF(B862=0,0,O831/B862)</f>
        <v/>
      </c>
      <c r="Q831">
        <f>IFERROR(1/IF(Inputs!$B$39="pvp",15,MAX(0.1,Skills!D13-IF(Skills!E13=TRUE,Inputs!$B$32,0))),0)</f>
        <v/>
      </c>
      <c r="R831">
        <f>IF(AND(Inputs!$B$39&lt;&gt;"pvp",Inputs!$B$44&gt;0),IF(MAX(0,Inputs!$B$44-B863)&lt;=0,0,(INT(MAX(0,Inputs!$B$44-B863)/IF(Inputs!$B$39="pvp",15,MAX(0.1,Skills!D13-IF(Skills!E13=TRUE,Inputs!$B$32,0))))+1)),0)</f>
        <v/>
      </c>
      <c r="S831">
        <f>IFERROR(O831/N831,0)</f>
        <v/>
      </c>
      <c r="T831">
        <f>IF(C831,(H831*N831*IF(AND(Inputs!$B$39&lt;&gt;"pvp",Inputs!$B$44&gt;0),((Skills!G13*((R831-1)*IF(Skills!H13&gt;0,Skills!I13/Skills!H13,1)+IF(Skills!H13&gt;0,MIN(Skills!I13,MAX(0,MAX(0,Inputs!$B$44-B863)-((R831-1)*IF(Inputs!$B$39="pvp",15,MAX(0.1,Skills!D13-IF(Skills!E13=TRUE,Inputs!$B$32,0))))))/Skills!H13,1)))/Inputs!$B$44),G831*Q831))*IF(Inputs!$B$39="pvp",1,1+(Inputs!$B$20+((C845=TRUE)*(F845-Calc!F27))+Skills!P13+B859)/100),0)</f>
        <v/>
      </c>
      <c r="V831">
        <f>IF(C831,(H831*N831*IF(AND(Inputs!$B$39&lt;&gt;"pvp",Inputs!$B$44&gt;0),((Skills!G13*((R831-1)*IF(Skills!H13&gt;0,Skills!I13/Skills!H13,1)+IF(Skills!H13&gt;0,MIN(Skills!I13,MAX(0,MAX(0,Inputs!$B$44-B863)-((R831-1)*IF(Inputs!$B$39="pvp",15,MAX(0.1,Skills!D13-IF(Skills!E13=TRUE,Inputs!$B$32,0))))))/Skills!H13,1)))/Inputs!$B$44),G831*Q831))*IF(Inputs!$B$39="pvp",1,(1+(Inputs!$B$21+Skills!Q13+B859)/100)*(MIN(Skills!W13,Inputs!$B$37))),0)</f>
        <v/>
      </c>
    </row>
    <row r="832">
      <c r="A832">
        <f>Skills!A14</f>
        <v/>
      </c>
      <c r="B832">
        <f>Skills!B14</f>
        <v/>
      </c>
      <c r="C832">
        <f>Inputs!$B$3&gt;=105</f>
        <v/>
      </c>
      <c r="D832">
        <f>IF(Skills!C14=1,60+(Inputs!$B$25+1)+Inputs!$B$29,IF(Skills!C14=2,90+Inputs!$B$26+Inputs!$B$29,IF(Skills!C14=3,120+Inputs!$B$27+Inputs!$B$29,MAX(0,(Inputs!$B$3-100)*3)+Inputs!$B$28+Inputs!$B$29)))</f>
        <v/>
      </c>
      <c r="E832">
        <f>INDEX(FactorTable!$B$2:$Y$301, MATCH(ROUND(MIN(300,MAX(1,D832)),0), FactorTable!$A$2:$A$301,0), Skills!M14+1)</f>
        <v/>
      </c>
      <c r="F832">
        <f>IF(Skills!N14=TRUE,(Skills!L14/10)*(E832/1000),Skills!L14/10)+Skills!O14</f>
        <v/>
      </c>
      <c r="G832">
        <f>Calc!G14</f>
        <v/>
      </c>
      <c r="H832">
        <f>Calc!H14</f>
        <v/>
      </c>
      <c r="I832">
        <f>IF(Skills!AA14&lt;&gt;"",1+(Skills!AA14/10)*(U821/1000)/100,1)</f>
        <v/>
      </c>
      <c r="J832">
        <f>((Inputs!$B$6*(1+Inputs!$B$7/100))+(((Inputs!$B$12*(1+Inputs!$B$13/100))-(Inputs!$B$12*(1+Inputs!$B$13/100)))+0.25*(Inputs!$B$14-Inputs!$B$14))*(1+Inputs!$B$7/100))*(F832/100)</f>
        <v/>
      </c>
      <c r="K832">
        <f>J832*(1+((Inputs!$B$12*(1+Inputs!$B$13/100))*0.01+Inputs!$B$14*0.0025)/100)*(1+Inputs!$B$15/100)*(1+Inputs!$B$16/100)*(5000/(6000+Inputs!$B$43*(1-Inputs!$B$19/100)))*(1+(Inputs!$B$24+((C848=TRUE)*(F848-Calc!F30)))/100)*(1+Skills!R14/100)*(1+(IF(Skills!A14="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832)</f>
        <v/>
      </c>
      <c r="L832">
        <f>K832*(MIN(Inputs!$B$22+((C842=TRUE)*(F842-Calc!F24)),Inputs!$B$23)/100+Inputs!$B$23/100)/2</f>
        <v/>
      </c>
      <c r="M832">
        <f>L832*(1+(Inputs!$B$10+((C844=TRUE)*(F844-Calc!F26))+B861)/100)</f>
        <v/>
      </c>
      <c r="N832">
        <f>L832*(1-MIN((Inputs!$B$9+((C843=TRUE)*(F843-Calc!F25))+B858),100)/100)+M832*(MIN((Inputs!$B$9+((C843=TRUE)*(F843-Calc!F25))+B858),100)/100)</f>
        <v/>
      </c>
      <c r="O832">
        <f>(1-Summary!$B$55)*T832+Summary!$B$55*V832</f>
        <v/>
      </c>
      <c r="P832">
        <f>IF(B862=0,0,O832/B862)</f>
        <v/>
      </c>
      <c r="Q832">
        <f>IFERROR(1/IF(Inputs!$B$39="pvp",15,MAX(0.1,Skills!D14-IF(Skills!E14=TRUE,Inputs!$B$32,0))),0)</f>
        <v/>
      </c>
      <c r="R832">
        <f>IF(AND(Inputs!$B$39&lt;&gt;"pvp",Inputs!$B$44&gt;0),IF(MAX(0,Inputs!$B$44-B863)&lt;=0,0,(INT(MAX(0,Inputs!$B$44-B863)/IF(Inputs!$B$39="pvp",15,MAX(0.1,Skills!D14-IF(Skills!E14=TRUE,Inputs!$B$32,0))))+1)),0)</f>
        <v/>
      </c>
      <c r="S832">
        <f>IFERROR(O832/N832,0)</f>
        <v/>
      </c>
      <c r="T832">
        <f>IF(C832,(H832*N832*IF(AND(Inputs!$B$39&lt;&gt;"pvp",Inputs!$B$44&gt;0),((Skills!G14*((R832-1)*IF(Skills!H14&gt;0,Skills!I14/Skills!H14,1)+IF(Skills!H14&gt;0,MIN(Skills!I14,MAX(0,MAX(0,Inputs!$B$44-B863)-((R832-1)*IF(Inputs!$B$39="pvp",15,MAX(0.1,Skills!D14-IF(Skills!E14=TRUE,Inputs!$B$32,0))))))/Skills!H14,1)))/Inputs!$B$44),G832*Q832))*IF(Inputs!$B$39="pvp",1,1+(Inputs!$B$20+((C845=TRUE)*(F845-Calc!F27))+Skills!P14+B859)/100),0)</f>
        <v/>
      </c>
      <c r="V832">
        <f>IF(C832,(H832*N832*IF(AND(Inputs!$B$39&lt;&gt;"pvp",Inputs!$B$44&gt;0),((Skills!G14*((R832-1)*IF(Skills!H14&gt;0,Skills!I14/Skills!H14,1)+IF(Skills!H14&gt;0,MIN(Skills!I14,MAX(0,MAX(0,Inputs!$B$44-B863)-((R832-1)*IF(Inputs!$B$39="pvp",15,MAX(0.1,Skills!D14-IF(Skills!E14=TRUE,Inputs!$B$32,0))))))/Skills!H14,1)))/Inputs!$B$44),G832*Q832))*IF(Inputs!$B$39="pvp",1,(1+(Inputs!$B$21+Skills!Q14+B859)/100)*(MIN(Skills!W14,Inputs!$B$37))),0)</f>
        <v/>
      </c>
    </row>
    <row r="833">
      <c r="A833">
        <f>Skills!A15</f>
        <v/>
      </c>
      <c r="B833">
        <f>Skills!B15</f>
        <v/>
      </c>
      <c r="C833">
        <f>Inputs!$B$3&gt;=110</f>
        <v/>
      </c>
      <c r="D833">
        <f>IF(Skills!C15=1,60+(Inputs!$B$25+1)+Inputs!$B$29,IF(Skills!C15=2,90+Inputs!$B$26+Inputs!$B$29,IF(Skills!C15=3,120+Inputs!$B$27+Inputs!$B$29,MAX(0,(Inputs!$B$3-100)*3)+Inputs!$B$28+Inputs!$B$29)))</f>
        <v/>
      </c>
      <c r="E833">
        <f>INDEX(FactorTable!$B$2:$Y$301, MATCH(ROUND(MIN(300,MAX(1,D833)),0), FactorTable!$A$2:$A$301,0), Skills!M15+1)</f>
        <v/>
      </c>
      <c r="F833">
        <f>IF(Skills!N15=TRUE,(Skills!L15/10)*(E833/1000),Skills!L15/10)+Skills!O15</f>
        <v/>
      </c>
      <c r="G833">
        <f>Calc!G15</f>
        <v/>
      </c>
      <c r="H833">
        <f>Calc!H15</f>
        <v/>
      </c>
      <c r="I833">
        <f>IF(Skills!AA15&lt;&gt;"",1+(Skills!AA15/10)*(U821/1000)/100,1)</f>
        <v/>
      </c>
      <c r="J833" t="inlineStr"/>
      <c r="K833" t="inlineStr"/>
      <c r="L833" t="inlineStr"/>
      <c r="M833" t="inlineStr"/>
      <c r="N833" t="inlineStr"/>
      <c r="O833">
        <f>(1-Summary!$B$55)*T833+Summary!$B$55*V833</f>
        <v/>
      </c>
      <c r="P833">
        <f>IF(B862=0,0,O833/B862)</f>
        <v/>
      </c>
      <c r="Q833">
        <f>IFERROR(1/IF(Inputs!$B$39="pvp",15,MAX(0.1,Skills!D15-IF(Skills!E15=TRUE,Inputs!$B$32,0))),0)</f>
        <v/>
      </c>
      <c r="R833">
        <f>IF(AND(Inputs!$B$39&lt;&gt;"pvp",Inputs!$B$44&gt;0),IF(Inputs!$B$44&lt;=0,0,(INT(Inputs!$B$44/IF(Inputs!$B$39="pvp",15,MAX(0.1,Skills!D15-IF(Skills!E15=TRUE,Inputs!$B$32,0))))+1)),0)</f>
        <v/>
      </c>
      <c r="S833">
        <f>IFERROR(O833/N833,0)</f>
        <v/>
      </c>
      <c r="T833" t="n">
        <v>0</v>
      </c>
      <c r="V833" t="n">
        <v>0</v>
      </c>
    </row>
    <row r="834">
      <c r="A834">
        <f>Skills!A16</f>
        <v/>
      </c>
      <c r="B834">
        <f>Skills!B16</f>
        <v/>
      </c>
      <c r="C834">
        <f>Inputs!$B$3&gt;=110</f>
        <v/>
      </c>
      <c r="D834">
        <f>IF(Skills!C16=1,60+(Inputs!$B$25+1)+Inputs!$B$29,IF(Skills!C16=2,90+Inputs!$B$26+Inputs!$B$29,IF(Skills!C16=3,120+Inputs!$B$27+Inputs!$B$29,MAX(0,(Inputs!$B$3-100)*3)+Inputs!$B$28+Inputs!$B$29)))</f>
        <v/>
      </c>
      <c r="E834">
        <f>INDEX(FactorTable!$B$2:$Y$301, MATCH(ROUND(MIN(300,MAX(1,D834)),0), FactorTable!$A$2:$A$301,0), Skills!M16+1)</f>
        <v/>
      </c>
      <c r="F834">
        <f>IF(Skills!N16=TRUE,(Skills!L16/10)*(E834/1000),Skills!L16/10)+Skills!O16</f>
        <v/>
      </c>
      <c r="G834">
        <f>Calc!G16</f>
        <v/>
      </c>
      <c r="H834">
        <f>Calc!H16</f>
        <v/>
      </c>
      <c r="I834">
        <f>IF(Skills!AA16&lt;&gt;"",1+(Skills!AA16/10)*(U821/1000)/100,1)</f>
        <v/>
      </c>
      <c r="J834" t="inlineStr"/>
      <c r="K834" t="inlineStr"/>
      <c r="L834" t="inlineStr"/>
      <c r="M834" t="inlineStr"/>
      <c r="N834" t="inlineStr"/>
      <c r="O834">
        <f>(1-Summary!$B$55)*T834+Summary!$B$55*V834</f>
        <v/>
      </c>
      <c r="P834">
        <f>IF(B862=0,0,O834/B862)</f>
        <v/>
      </c>
      <c r="Q834">
        <f>IFERROR(1/IF(Inputs!$B$39="pvp",15,MAX(0.1,Skills!D16-IF(Skills!E16=TRUE,Inputs!$B$32,0))),0)</f>
        <v/>
      </c>
      <c r="R834">
        <f>IF(AND(Inputs!$B$39&lt;&gt;"pvp",Inputs!$B$44&gt;0),IF(Inputs!$B$44&lt;=0,0,(INT(Inputs!$B$44/IF(Inputs!$B$39="pvp",15,MAX(0.1,Skills!D16-IF(Skills!E16=TRUE,Inputs!$B$32,0))))+1)),0)</f>
        <v/>
      </c>
      <c r="S834">
        <f>IFERROR(O834/N834,0)</f>
        <v/>
      </c>
      <c r="T834" t="n">
        <v>0</v>
      </c>
      <c r="V834" t="n">
        <v>0</v>
      </c>
    </row>
    <row r="835">
      <c r="A835">
        <f>Skills!A17</f>
        <v/>
      </c>
      <c r="B835">
        <f>Skills!B17</f>
        <v/>
      </c>
      <c r="C835">
        <f>Inputs!$B$3&gt;=115</f>
        <v/>
      </c>
      <c r="D835">
        <f>IF(Skills!C17=1,60+(Inputs!$B$25+1)+Inputs!$B$29,IF(Skills!C17=2,90+Inputs!$B$26+Inputs!$B$29,IF(Skills!C17=3,120+Inputs!$B$27+Inputs!$B$29,MAX(0,(Inputs!$B$3-100)*3)+Inputs!$B$28+Inputs!$B$29)))</f>
        <v/>
      </c>
      <c r="E835">
        <f>INDEX(FactorTable!$B$2:$Y$301, MATCH(ROUND(MIN(300,MAX(1,D835)),0), FactorTable!$A$2:$A$301,0), Skills!M17+1)</f>
        <v/>
      </c>
      <c r="F835">
        <f>IF(Skills!N17=TRUE,(Skills!L17/10)*(E835/1000),Skills!L17/10)+Skills!O17</f>
        <v/>
      </c>
      <c r="G835">
        <f>Calc!G17</f>
        <v/>
      </c>
      <c r="H835">
        <f>Calc!H17</f>
        <v/>
      </c>
      <c r="I835">
        <f>IF(Skills!AA17&lt;&gt;"",1+(Skills!AA17/10)*(U821/1000)/100,1)</f>
        <v/>
      </c>
      <c r="J835">
        <f>((Inputs!$B$6*(1+Inputs!$B$7/100))+(((Inputs!$B$12*(1+Inputs!$B$13/100))-(Inputs!$B$12*(1+Inputs!$B$13/100)))+0.25*(Inputs!$B$14-Inputs!$B$14))*(1+Inputs!$B$7/100))*(F835/100)</f>
        <v/>
      </c>
      <c r="K835">
        <f>J835*(1+((Inputs!$B$12*(1+Inputs!$B$13/100))*0.01+Inputs!$B$14*0.0025)/100)*(1+Inputs!$B$15/100)*(1+Inputs!$B$16/100)*(5000/(6000+Inputs!$B$43*(1-Inputs!$B$19/100)))*(1+(Inputs!$B$24+((C848=TRUE)*(F848-Calc!F30)))/100)*(1+Skills!R17/100)*(1+(IF(Skills!A17="SHOWDOWN",Inputs!$B$17+((C841=TRUE)*(F841-Calc!F23)),Inputs!$B$18+((C847=TRUE)*(F847-Calc!F29))))/100)*(((1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B860*I835)</f>
        <v/>
      </c>
      <c r="L835">
        <f>K835*(MIN(Inputs!$B$22+((C842=TRUE)*(F842-Calc!F24)),Inputs!$B$23)/100+Inputs!$B$23/100)/2</f>
        <v/>
      </c>
      <c r="M835">
        <f>L835*(1+(Inputs!$B$10+((C844=TRUE)*(F844-Calc!F26))+B861)/100)</f>
        <v/>
      </c>
      <c r="N835">
        <f>L835*(1-MIN((Inputs!$B$9+((C843=TRUE)*(F843-Calc!F25))+B858),100)/100)+M835*(MIN((Inputs!$B$9+((C843=TRUE)*(F843-Calc!F25))+B858),100)/100)</f>
        <v/>
      </c>
      <c r="O835">
        <f>(1-Summary!$B$55)*T835+Summary!$B$55*V835</f>
        <v/>
      </c>
      <c r="P835">
        <f>IF(B862=0,0,O835/B862)</f>
        <v/>
      </c>
      <c r="Q835" t="n">
        <v>0</v>
      </c>
      <c r="R835" t="n">
        <v>0</v>
      </c>
      <c r="S835">
        <f>IFERROR(O835/N835,0)</f>
        <v/>
      </c>
      <c r="T835">
        <f>IF(C835,(Inputs!$B$38*0.2*N835)*IF(Inputs!$B$39="pvp",1,1+(Inputs!$B$20+((C845=TRUE)*(F845-Calc!F27))+Skills!P17+B859)/100),0)</f>
        <v/>
      </c>
      <c r="V835">
        <f>IF(C835,(Inputs!$B$38*0.2*N835)*IF(Inputs!$B$39="pvp",1,(1+(Inputs!$B$21+Skills!Q17+B859)/100)*(MIN(Skills!W17,Inputs!$B$37))),0)</f>
        <v/>
      </c>
    </row>
    <row r="836">
      <c r="A836">
        <f>Skills!A18</f>
        <v/>
      </c>
      <c r="B836">
        <f>Skills!B18</f>
        <v/>
      </c>
      <c r="C836">
        <f>Inputs!$B$3&gt;=115</f>
        <v/>
      </c>
      <c r="D836">
        <f>IF(Skills!C18=1,60+(Inputs!$B$25+1)+Inputs!$B$29,IF(Skills!C18=2,90+Inputs!$B$26+Inputs!$B$29,IF(Skills!C18=3,120+Inputs!$B$27+Inputs!$B$29,MAX(0,(Inputs!$B$3-100)*3)+Inputs!$B$28+Inputs!$B$29)))</f>
        <v/>
      </c>
      <c r="E836">
        <f>INDEX(FactorTable!$B$2:$Y$301, MATCH(ROUND(MIN(300,MAX(1,D836)),0), FactorTable!$A$2:$A$301,0), Skills!M18+1)</f>
        <v/>
      </c>
      <c r="F836">
        <f>IF(Skills!N18=TRUE,(Skills!L18/10)*(E836/1000),Skills!L18/10)+Skills!O18</f>
        <v/>
      </c>
      <c r="G836">
        <f>Calc!G18</f>
        <v/>
      </c>
      <c r="H836">
        <f>Calc!H18</f>
        <v/>
      </c>
      <c r="I836">
        <f>IF(Skills!AA18&lt;&gt;"",1+(Skills!AA18/10)*(U821/1000)/100,1)</f>
        <v/>
      </c>
      <c r="J836" t="inlineStr"/>
      <c r="K836" t="inlineStr"/>
      <c r="L836" t="inlineStr"/>
      <c r="M836" t="inlineStr"/>
      <c r="N836" t="inlineStr"/>
      <c r="O836">
        <f>(1-Summary!$B$55)*T836+Summary!$B$55*V836</f>
        <v/>
      </c>
      <c r="P836">
        <f>IF(B862=0,0,O836/B862)</f>
        <v/>
      </c>
      <c r="Q836" t="n">
        <v>0</v>
      </c>
      <c r="R836" t="n">
        <v>0</v>
      </c>
      <c r="S836">
        <f>IFERROR(O836/N836,0)</f>
        <v/>
      </c>
      <c r="T836" t="n">
        <v>0</v>
      </c>
      <c r="V836" t="n">
        <v>0</v>
      </c>
    </row>
    <row r="837">
      <c r="A837">
        <f>Skills!A19</f>
        <v/>
      </c>
      <c r="B837">
        <f>Skills!B19</f>
        <v/>
      </c>
      <c r="C837">
        <f>TRUE</f>
        <v/>
      </c>
      <c r="D837">
        <f>IF(Skills!C19=1,60+(Inputs!$B$25+1)+Inputs!$B$29,IF(Skills!C19=2,90+Inputs!$B$26+Inputs!$B$29,IF(Skills!C19=3,120+Inputs!$B$27+Inputs!$B$29,MAX(0,(Inputs!$B$3-100)*3)+Inputs!$B$28+Inputs!$B$29)))</f>
        <v/>
      </c>
      <c r="E837">
        <f>INDEX(FactorTable!$B$2:$Y$301, MATCH(ROUND(MIN(300,MAX(1,D837)),0), FactorTable!$A$2:$A$301,0), Skills!M19+1)</f>
        <v/>
      </c>
      <c r="F837">
        <f>IF(Skills!N19=TRUE,(Skills!L19/10)*(E837/1000),Skills!L19/10)+Skills!O19</f>
        <v/>
      </c>
      <c r="G837">
        <f>Calc!G19</f>
        <v/>
      </c>
      <c r="H837">
        <f>Calc!H19</f>
        <v/>
      </c>
      <c r="I837">
        <f>IF(Skills!AA19&lt;&gt;"",1+(Skills!AA19/10)*(U821/1000)/100,1)</f>
        <v/>
      </c>
      <c r="J837" t="inlineStr"/>
      <c r="K837" t="inlineStr"/>
      <c r="L837" t="inlineStr"/>
      <c r="M837" t="inlineStr"/>
      <c r="N837" t="inlineStr"/>
      <c r="O837">
        <f>(1-Summary!$B$55)*T837+Summary!$B$55*V837</f>
        <v/>
      </c>
      <c r="P837">
        <f>IF(B862=0,0,O837/B862)</f>
        <v/>
      </c>
      <c r="Q837">
        <f>IFERROR(1/IF(Inputs!$B$39="pvp",15,MAX(0.1,Skills!D19-IF(Skills!E19=TRUE,Inputs!$B$32,0))),0)</f>
        <v/>
      </c>
      <c r="R837">
        <f>IF(AND(Inputs!$B$39&lt;&gt;"pvp",Inputs!$B$44&gt;0),IF(Inputs!$B$44&lt;=0,0,(INT(Inputs!$B$44/IF(Inputs!$B$39="pvp",15,MAX(0.1,Skills!D19-IF(Skills!E19=TRUE,Inputs!$B$32,0))))+1)),0)</f>
        <v/>
      </c>
      <c r="S837">
        <f>IFERROR(O837/N837,0)</f>
        <v/>
      </c>
      <c r="T837" t="n">
        <v>0</v>
      </c>
      <c r="V837" t="n">
        <v>0</v>
      </c>
    </row>
    <row r="838">
      <c r="A838">
        <f>Skills!A20</f>
        <v/>
      </c>
      <c r="B838">
        <f>Skills!B20</f>
        <v/>
      </c>
      <c r="C838">
        <f>Inputs!$B$3&gt;=15</f>
        <v/>
      </c>
      <c r="D838">
        <f>IF(Skills!C20=1,60+(Inputs!$B$25+1)+Inputs!$B$29,IF(Skills!C20=2,90+Inputs!$B$26+Inputs!$B$29,IF(Skills!C20=3,120+Inputs!$B$27+Inputs!$B$29,MAX(0,(Inputs!$B$3-100)*3)+Inputs!$B$28+Inputs!$B$29)))</f>
        <v/>
      </c>
      <c r="E838">
        <f>INDEX(FactorTable!$B$2:$Y$301, MATCH(ROUND(MIN(300,MAX(1,D838)),0), FactorTable!$A$2:$A$301,0), Skills!M20+1)</f>
        <v/>
      </c>
      <c r="F838">
        <f>IF(Skills!N20=TRUE,(Skills!L20/10)*(E838/1000),Skills!L20/10)+Skills!O20</f>
        <v/>
      </c>
      <c r="G838">
        <f>Calc!G20</f>
        <v/>
      </c>
      <c r="H838">
        <f>Calc!H20</f>
        <v/>
      </c>
      <c r="I838">
        <f>IF(Skills!AA20&lt;&gt;"",1+(Skills!AA20/10)*(U821/1000)/100,1)</f>
        <v/>
      </c>
      <c r="J838" t="inlineStr"/>
      <c r="K838" t="inlineStr"/>
      <c r="L838" t="inlineStr"/>
      <c r="M838" t="inlineStr"/>
      <c r="N838" t="inlineStr"/>
      <c r="O838">
        <f>(1-Summary!$B$55)*T838+Summary!$B$55*V838</f>
        <v/>
      </c>
      <c r="P838">
        <f>IF(B862=0,0,O838/B862)</f>
        <v/>
      </c>
      <c r="Q838">
        <f>IFERROR(1/IF(Inputs!$B$39="pvp",15,MAX(0.1,Skills!D20-IF(Skills!E20=TRUE,Inputs!$B$32,0))),0)</f>
        <v/>
      </c>
      <c r="R838">
        <f>IF(AND(Inputs!$B$39&lt;&gt;"pvp",Inputs!$B$44&gt;0),IF(Inputs!$B$44&lt;=0,0,(INT(Inputs!$B$44/IF(Inputs!$B$39="pvp",15,MAX(0.1,Skills!D20-IF(Skills!E20=TRUE,Inputs!$B$32,0))))+1)),0)</f>
        <v/>
      </c>
      <c r="S838">
        <f>IFERROR(O838/N838,0)</f>
        <v/>
      </c>
      <c r="T838" t="n">
        <v>0</v>
      </c>
      <c r="V838" t="n">
        <v>0</v>
      </c>
    </row>
    <row r="839">
      <c r="A839">
        <f>Skills!A21</f>
        <v/>
      </c>
      <c r="B839">
        <f>Skills!B21</f>
        <v/>
      </c>
      <c r="C839">
        <f>Inputs!$B$3&gt;=15</f>
        <v/>
      </c>
      <c r="D839">
        <f>IF(Skills!C21=1,60+(Inputs!$B$25+1)+Inputs!$B$29,IF(Skills!C21=2,90+Inputs!$B$26+Inputs!$B$29,IF(Skills!C21=3,120+Inputs!$B$27+Inputs!$B$29,MAX(0,(Inputs!$B$3-100)*3)+Inputs!$B$28+Inputs!$B$29)))</f>
        <v/>
      </c>
      <c r="E839">
        <f>INDEX(FactorTable!$B$2:$Y$301, MATCH(ROUND(MIN(300,MAX(1,D839)),0), FactorTable!$A$2:$A$301,0), Skills!M21+1)</f>
        <v/>
      </c>
      <c r="F839">
        <f>IF(Skills!N21=TRUE,(Skills!L21/10)*(E839/1000),Skills!L21/10)+Skills!O21</f>
        <v/>
      </c>
      <c r="G839">
        <f>Calc!G21</f>
        <v/>
      </c>
      <c r="H839">
        <f>Calc!H21</f>
        <v/>
      </c>
      <c r="I839">
        <f>IF(Skills!AA21&lt;&gt;"",1+(Skills!AA21/10)*(U821/1000)/100,1)</f>
        <v/>
      </c>
      <c r="J839" t="inlineStr"/>
      <c r="K839" t="inlineStr"/>
      <c r="L839" t="inlineStr"/>
      <c r="M839" t="inlineStr"/>
      <c r="N839" t="inlineStr"/>
      <c r="O839">
        <f>(1-Summary!$B$55)*T839+Summary!$B$55*V839</f>
        <v/>
      </c>
      <c r="P839">
        <f>IF(B862=0,0,O839/B862)</f>
        <v/>
      </c>
      <c r="Q839">
        <f>IFERROR(1/IF(Inputs!$B$39="pvp",15,MAX(0.1,Skills!D21-IF(Skills!E21=TRUE,Inputs!$B$32,0))),0)</f>
        <v/>
      </c>
      <c r="R839">
        <f>IF(AND(Inputs!$B$39&lt;&gt;"pvp",Inputs!$B$44&gt;0),IF(Inputs!$B$44&lt;=0,0,(INT(Inputs!$B$44/IF(Inputs!$B$39="pvp",15,MAX(0.1,Skills!D21-IF(Skills!E21=TRUE,Inputs!$B$32,0))))+1)),0)</f>
        <v/>
      </c>
      <c r="S839">
        <f>IFERROR(O839/N839,0)</f>
        <v/>
      </c>
      <c r="T839" t="n">
        <v>0</v>
      </c>
      <c r="V839" t="n">
        <v>0</v>
      </c>
    </row>
    <row r="840">
      <c r="A840">
        <f>Skills!A22</f>
        <v/>
      </c>
      <c r="B840">
        <f>Skills!B22</f>
        <v/>
      </c>
      <c r="C840">
        <f>Inputs!$B$3&gt;=33</f>
        <v/>
      </c>
      <c r="D840">
        <f>IF(Skills!C22=1,60+(Inputs!$B$25+1)+Inputs!$B$29,IF(Skills!C22=2,90+Inputs!$B$26+Inputs!$B$29,IF(Skills!C22=3,120+Inputs!$B$27+Inputs!$B$29,MAX(0,(Inputs!$B$3-100)*3)+Inputs!$B$28+Inputs!$B$29)))</f>
        <v/>
      </c>
      <c r="E840">
        <f>INDEX(FactorTable!$B$2:$Y$301, MATCH(ROUND(MIN(300,MAX(1,D840)),0), FactorTable!$A$2:$A$301,0), Skills!M22+1)</f>
        <v/>
      </c>
      <c r="F840">
        <f>IF(Skills!N22=TRUE,(Skills!L22/10)*(E840/1000),Skills!L22/10)+Skills!O22</f>
        <v/>
      </c>
      <c r="G840">
        <f>Calc!G22</f>
        <v/>
      </c>
      <c r="H840">
        <f>Calc!H22</f>
        <v/>
      </c>
      <c r="I840">
        <f>IF(Skills!AA22&lt;&gt;"",1+(Skills!AA22/10)*(U821/1000)/100,1)</f>
        <v/>
      </c>
      <c r="J840" t="inlineStr"/>
      <c r="K840" t="inlineStr"/>
      <c r="L840" t="inlineStr"/>
      <c r="M840" t="inlineStr"/>
      <c r="N840" t="inlineStr"/>
      <c r="O840">
        <f>(1-Summary!$B$55)*T840+Summary!$B$55*V840</f>
        <v/>
      </c>
      <c r="P840">
        <f>IF(B862=0,0,O840/B862)</f>
        <v/>
      </c>
      <c r="Q840" t="n">
        <v>0</v>
      </c>
      <c r="R840" t="n">
        <v>0</v>
      </c>
      <c r="S840">
        <f>IFERROR(O840/N840,0)</f>
        <v/>
      </c>
      <c r="T840" t="n">
        <v>0</v>
      </c>
      <c r="V840" t="n">
        <v>0</v>
      </c>
    </row>
    <row r="841">
      <c r="A841">
        <f>Skills!A23</f>
        <v/>
      </c>
      <c r="B841">
        <f>Skills!B23</f>
        <v/>
      </c>
      <c r="C841">
        <f>Inputs!$B$3&gt;=38</f>
        <v/>
      </c>
      <c r="D841">
        <f>IF(Skills!C23=1,60+(Inputs!$B$25+1)+Inputs!$B$29,IF(Skills!C23=2,90+Inputs!$B$26+Inputs!$B$29,IF(Skills!C23=3,120+Inputs!$B$27+Inputs!$B$29,MAX(0,(Inputs!$B$3-100)*3)+Inputs!$B$28+Inputs!$B$29)))</f>
        <v/>
      </c>
      <c r="E841">
        <f>INDEX(FactorTable!$B$2:$Y$301, MATCH(ROUND(MIN(300,MAX(1,D841)),0), FactorTable!$A$2:$A$301,0), Skills!M23+1)</f>
        <v/>
      </c>
      <c r="F841">
        <f>IF(Skills!N23=TRUE,(Skills!L23/10)*(E841/1000),Skills!L23/10)+Skills!O23</f>
        <v/>
      </c>
      <c r="G841">
        <f>Calc!G23</f>
        <v/>
      </c>
      <c r="H841">
        <f>Calc!H23</f>
        <v/>
      </c>
      <c r="I841">
        <f>IF(Skills!AA23&lt;&gt;"",1+(Skills!AA23/10)*(U821/1000)/100,1)</f>
        <v/>
      </c>
      <c r="J841" t="inlineStr"/>
      <c r="K841" t="inlineStr"/>
      <c r="L841" t="inlineStr"/>
      <c r="M841" t="inlineStr"/>
      <c r="N841" t="inlineStr"/>
      <c r="O841">
        <f>(1-Summary!$B$55)*T841+Summary!$B$55*V841</f>
        <v/>
      </c>
      <c r="P841">
        <f>IF(B862=0,0,O841/B862)</f>
        <v/>
      </c>
      <c r="Q841" t="n">
        <v>0</v>
      </c>
      <c r="R841" t="n">
        <v>0</v>
      </c>
      <c r="S841">
        <f>IFERROR(O841/N841,0)</f>
        <v/>
      </c>
      <c r="T841" t="n">
        <v>0</v>
      </c>
      <c r="V841" t="n">
        <v>0</v>
      </c>
    </row>
    <row r="842">
      <c r="A842">
        <f>Skills!A24</f>
        <v/>
      </c>
      <c r="B842">
        <f>Skills!B24</f>
        <v/>
      </c>
      <c r="C842">
        <f>Inputs!$B$3&gt;=40</f>
        <v/>
      </c>
      <c r="D842">
        <f>IF(Skills!C24=1,60+(Inputs!$B$25+1)+Inputs!$B$29,IF(Skills!C24=2,90+Inputs!$B$26+Inputs!$B$29,IF(Skills!C24=3,120+Inputs!$B$27+Inputs!$B$29,MAX(0,(Inputs!$B$3-100)*3)+Inputs!$B$28+Inputs!$B$29)))</f>
        <v/>
      </c>
      <c r="E842">
        <f>INDEX(FactorTable!$B$2:$Y$301, MATCH(ROUND(MIN(300,MAX(1,D842)),0), FactorTable!$A$2:$A$301,0), Skills!M24+1)</f>
        <v/>
      </c>
      <c r="F842">
        <f>IF(Skills!N24=TRUE,(Skills!L24/10)*(E842/1000),Skills!L24/10)+Skills!O24</f>
        <v/>
      </c>
      <c r="G842">
        <f>Calc!G24</f>
        <v/>
      </c>
      <c r="H842">
        <f>Calc!H24</f>
        <v/>
      </c>
      <c r="I842">
        <f>IF(Skills!AA24&lt;&gt;"",1+(Skills!AA24/10)*(U821/1000)/100,1)</f>
        <v/>
      </c>
      <c r="J842" t="inlineStr"/>
      <c r="K842" t="inlineStr"/>
      <c r="L842" t="inlineStr"/>
      <c r="M842" t="inlineStr"/>
      <c r="N842" t="inlineStr"/>
      <c r="O842">
        <f>(1-Summary!$B$55)*T842+Summary!$B$55*V842</f>
        <v/>
      </c>
      <c r="P842">
        <f>IF(B862=0,0,O842/B862)</f>
        <v/>
      </c>
      <c r="Q842" t="n">
        <v>0</v>
      </c>
      <c r="R842" t="n">
        <v>0</v>
      </c>
      <c r="S842">
        <f>IFERROR(O842/N842,0)</f>
        <v/>
      </c>
      <c r="T842" t="n">
        <v>0</v>
      </c>
      <c r="V842" t="n">
        <v>0</v>
      </c>
    </row>
    <row r="843">
      <c r="A843">
        <f>Skills!A25</f>
        <v/>
      </c>
      <c r="B843">
        <f>Skills!B25</f>
        <v/>
      </c>
      <c r="C843">
        <f>Inputs!$B$3&gt;=45</f>
        <v/>
      </c>
      <c r="D843">
        <f>IF(Skills!C25=1,60+(Inputs!$B$25+1)+Inputs!$B$29,IF(Skills!C25=2,90+Inputs!$B$26+Inputs!$B$29,IF(Skills!C25=3,120+Inputs!$B$27+Inputs!$B$29,MAX(0,(Inputs!$B$3-100)*3)+Inputs!$B$28+Inputs!$B$29)))</f>
        <v/>
      </c>
      <c r="E843">
        <f>INDEX(FactorTable!$B$2:$Y$301, MATCH(ROUND(MIN(300,MAX(1,D843)),0), FactorTable!$A$2:$A$301,0), Skills!M25+1)</f>
        <v/>
      </c>
      <c r="F843">
        <f>IF(Skills!N25=TRUE,(Skills!L25/10)*(E843/1000),Skills!L25/10)+Skills!O25</f>
        <v/>
      </c>
      <c r="G843">
        <f>Calc!G25</f>
        <v/>
      </c>
      <c r="H843">
        <f>Calc!H25</f>
        <v/>
      </c>
      <c r="I843">
        <f>IF(Skills!AA25&lt;&gt;"",1+(Skills!AA25/10)*(U821/1000)/100,1)</f>
        <v/>
      </c>
      <c r="J843" t="inlineStr"/>
      <c r="K843" t="inlineStr"/>
      <c r="L843" t="inlineStr"/>
      <c r="M843" t="inlineStr"/>
      <c r="N843" t="inlineStr"/>
      <c r="O843">
        <f>(1-Summary!$B$55)*T843+Summary!$B$55*V843</f>
        <v/>
      </c>
      <c r="P843">
        <f>IF(B862=0,0,O843/B862)</f>
        <v/>
      </c>
      <c r="Q843" t="n">
        <v>0</v>
      </c>
      <c r="R843" t="n">
        <v>0</v>
      </c>
      <c r="S843">
        <f>IFERROR(O843/N843,0)</f>
        <v/>
      </c>
      <c r="T843" t="n">
        <v>0</v>
      </c>
      <c r="V843" t="n">
        <v>0</v>
      </c>
    </row>
    <row r="844">
      <c r="A844">
        <f>Skills!A26</f>
        <v/>
      </c>
      <c r="B844">
        <f>Skills!B26</f>
        <v/>
      </c>
      <c r="C844">
        <f>Inputs!$B$3&gt;=45</f>
        <v/>
      </c>
      <c r="D844">
        <f>IF(Skills!C26=1,60+(Inputs!$B$25+1)+Inputs!$B$29,IF(Skills!C26=2,90+Inputs!$B$26+Inputs!$B$29,IF(Skills!C26=3,120+Inputs!$B$27+Inputs!$B$29,MAX(0,(Inputs!$B$3-100)*3)+Inputs!$B$28+Inputs!$B$29)))</f>
        <v/>
      </c>
      <c r="E844">
        <f>INDEX(FactorTable!$B$2:$Y$301, MATCH(ROUND(MIN(300,MAX(1,D844)),0), FactorTable!$A$2:$A$301,0), Skills!M26+1)</f>
        <v/>
      </c>
      <c r="F844">
        <f>IF(Skills!N26=TRUE,(Skills!L26/10)*(E844/1000),Skills!L26/10)+Skills!O26</f>
        <v/>
      </c>
      <c r="G844">
        <f>Calc!G26</f>
        <v/>
      </c>
      <c r="H844">
        <f>Calc!H26</f>
        <v/>
      </c>
      <c r="I844">
        <f>IF(Skills!AA26&lt;&gt;"",1+(Skills!AA26/10)*(U821/1000)/100,1)</f>
        <v/>
      </c>
      <c r="J844" t="inlineStr"/>
      <c r="K844" t="inlineStr"/>
      <c r="L844" t="inlineStr"/>
      <c r="M844" t="inlineStr"/>
      <c r="N844" t="inlineStr"/>
      <c r="O844">
        <f>(1-Summary!$B$55)*T844+Summary!$B$55*V844</f>
        <v/>
      </c>
      <c r="P844">
        <f>IF(B862=0,0,O844/B862)</f>
        <v/>
      </c>
      <c r="Q844" t="n">
        <v>0</v>
      </c>
      <c r="R844" t="n">
        <v>0</v>
      </c>
      <c r="S844">
        <f>IFERROR(O844/N844,0)</f>
        <v/>
      </c>
      <c r="T844" t="n">
        <v>0</v>
      </c>
      <c r="V844" t="n">
        <v>0</v>
      </c>
    </row>
    <row r="845">
      <c r="A845">
        <f>Skills!A27</f>
        <v/>
      </c>
      <c r="B845">
        <f>Skills!B27</f>
        <v/>
      </c>
      <c r="C845">
        <f>Inputs!$B$3&gt;=72</f>
        <v/>
      </c>
      <c r="D845">
        <f>IF(Skills!C27=1,60+(Inputs!$B$25+1)+Inputs!$B$29,IF(Skills!C27=2,90+Inputs!$B$26+Inputs!$B$29,IF(Skills!C27=3,120+Inputs!$B$27+Inputs!$B$29,MAX(0,(Inputs!$B$3-100)*3)+Inputs!$B$28+Inputs!$B$29)))</f>
        <v/>
      </c>
      <c r="E845">
        <f>INDEX(FactorTable!$B$2:$Y$301, MATCH(ROUND(MIN(300,MAX(1,D845)),0), FactorTable!$A$2:$A$301,0), Skills!M27+1)</f>
        <v/>
      </c>
      <c r="F845">
        <f>IF(Skills!N27=TRUE,(Skills!L27/10)*(E845/1000),Skills!L27/10)+Skills!O27</f>
        <v/>
      </c>
      <c r="G845">
        <f>Calc!G27</f>
        <v/>
      </c>
      <c r="H845">
        <f>Calc!H27</f>
        <v/>
      </c>
      <c r="I845">
        <f>IF(Skills!AA27&lt;&gt;"",1+(Skills!AA27/10)*(U821/1000)/100,1)</f>
        <v/>
      </c>
      <c r="J845" t="inlineStr"/>
      <c r="K845" t="inlineStr"/>
      <c r="L845" t="inlineStr"/>
      <c r="M845" t="inlineStr"/>
      <c r="N845" t="inlineStr"/>
      <c r="O845">
        <f>(1-Summary!$B$55)*T845+Summary!$B$55*V845</f>
        <v/>
      </c>
      <c r="P845">
        <f>IF(B862=0,0,O845/B862)</f>
        <v/>
      </c>
      <c r="Q845" t="n">
        <v>0</v>
      </c>
      <c r="R845" t="n">
        <v>0</v>
      </c>
      <c r="S845">
        <f>IFERROR(O845/N845,0)</f>
        <v/>
      </c>
      <c r="T845" t="n">
        <v>0</v>
      </c>
      <c r="V845" t="n">
        <v>0</v>
      </c>
    </row>
    <row r="846">
      <c r="A846">
        <f>Skills!A28</f>
        <v/>
      </c>
      <c r="B846">
        <f>Skills!B28</f>
        <v/>
      </c>
      <c r="C846">
        <f>Inputs!$B$3&gt;=75</f>
        <v/>
      </c>
      <c r="D846">
        <f>IF(Skills!C28=1,60+(Inputs!$B$25+1)+Inputs!$B$29,IF(Skills!C28=2,90+Inputs!$B$26+Inputs!$B$29,IF(Skills!C28=3,120+Inputs!$B$27+Inputs!$B$29,MAX(0,(Inputs!$B$3-100)*3)+Inputs!$B$28+Inputs!$B$29)))</f>
        <v/>
      </c>
      <c r="E846">
        <f>INDEX(FactorTable!$B$2:$Y$301, MATCH(ROUND(MIN(300,MAX(1,D846)),0), FactorTable!$A$2:$A$301,0), Skills!M28+1)</f>
        <v/>
      </c>
      <c r="F846">
        <f>IF(Skills!N28=TRUE,(Skills!L28/10)*(E846/1000),Skills!L28/10)+Skills!O28</f>
        <v/>
      </c>
      <c r="G846">
        <f>Calc!G28</f>
        <v/>
      </c>
      <c r="H846">
        <f>Calc!H28</f>
        <v/>
      </c>
      <c r="I846">
        <f>IF(Skills!AA28&lt;&gt;"",1+(Skills!AA28/10)*(U821/1000)/100,1)</f>
        <v/>
      </c>
      <c r="J846" t="inlineStr"/>
      <c r="K846" t="inlineStr"/>
      <c r="L846" t="inlineStr"/>
      <c r="M846" t="inlineStr"/>
      <c r="N846" t="inlineStr"/>
      <c r="O846">
        <f>(1-Summary!$B$55)*T846+Summary!$B$55*V846</f>
        <v/>
      </c>
      <c r="P846">
        <f>IF(B862=0,0,O846/B862)</f>
        <v/>
      </c>
      <c r="Q846" t="n">
        <v>0</v>
      </c>
      <c r="R846" t="n">
        <v>0</v>
      </c>
      <c r="S846">
        <f>IFERROR(O846/N846,0)</f>
        <v/>
      </c>
      <c r="T846" t="n">
        <v>0</v>
      </c>
      <c r="V846" t="n">
        <v>0</v>
      </c>
    </row>
    <row r="847">
      <c r="A847">
        <f>Skills!A29</f>
        <v/>
      </c>
      <c r="B847">
        <f>Skills!B29</f>
        <v/>
      </c>
      <c r="C847">
        <f>Inputs!$B$3&gt;=120</f>
        <v/>
      </c>
      <c r="D847">
        <f>IF(Skills!C29=1,60+(Inputs!$B$25+1)+Inputs!$B$29,IF(Skills!C29=2,90+Inputs!$B$26+Inputs!$B$29,IF(Skills!C29=3,120+Inputs!$B$27+Inputs!$B$29,MAX(0,(Inputs!$B$3-100)*3)+Inputs!$B$28+Inputs!$B$29)))</f>
        <v/>
      </c>
      <c r="E847">
        <f>INDEX(FactorTable!$B$2:$Y$301, MATCH(ROUND(MIN(300,MAX(1,D847)),0), FactorTable!$A$2:$A$301,0), Skills!M29+1)</f>
        <v/>
      </c>
      <c r="F847">
        <f>IF(Skills!N29=TRUE,(Skills!L29/10)*(E847/1000),Skills!L29/10)+Skills!O29</f>
        <v/>
      </c>
      <c r="G847">
        <f>Calc!G29</f>
        <v/>
      </c>
      <c r="H847">
        <f>Calc!H29</f>
        <v/>
      </c>
      <c r="I847">
        <f>IF(Skills!AA29&lt;&gt;"",1+(Skills!AA29/10)*(U821/1000)/100,1)</f>
        <v/>
      </c>
      <c r="J847" t="inlineStr"/>
      <c r="K847" t="inlineStr"/>
      <c r="L847" t="inlineStr"/>
      <c r="M847" t="inlineStr"/>
      <c r="N847" t="inlineStr"/>
      <c r="O847">
        <f>(1-Summary!$B$55)*T847+Summary!$B$55*V847</f>
        <v/>
      </c>
      <c r="P847">
        <f>IF(B862=0,0,O847/B862)</f>
        <v/>
      </c>
      <c r="Q847" t="n">
        <v>0</v>
      </c>
      <c r="R847" t="n">
        <v>0</v>
      </c>
      <c r="S847">
        <f>IFERROR(O847/N847,0)</f>
        <v/>
      </c>
      <c r="T847" t="n">
        <v>0</v>
      </c>
      <c r="V847" t="n">
        <v>0</v>
      </c>
    </row>
    <row r="848">
      <c r="A848">
        <f>Skills!A30</f>
        <v/>
      </c>
      <c r="B848">
        <f>Skills!B30</f>
        <v/>
      </c>
      <c r="C848">
        <f>Inputs!$B$3&gt;=125</f>
        <v/>
      </c>
      <c r="D848">
        <f>IF(Skills!C30=1,60+(Inputs!$B$25+1)+Inputs!$B$29,IF(Skills!C30=2,90+Inputs!$B$26+Inputs!$B$29,IF(Skills!C30=3,120+Inputs!$B$27+Inputs!$B$29,MAX(0,(Inputs!$B$3-100)*3)+Inputs!$B$28+Inputs!$B$29)))</f>
        <v/>
      </c>
      <c r="E848">
        <f>INDEX(FactorTable!$B$2:$Y$301, MATCH(ROUND(MIN(300,MAX(1,D848)),0), FactorTable!$A$2:$A$301,0), Skills!M30+1)</f>
        <v/>
      </c>
      <c r="F848">
        <f>IF(Skills!N30=TRUE,(Skills!L30/10)*(E848/1000),Skills!L30/10)+Skills!O30</f>
        <v/>
      </c>
      <c r="G848">
        <f>Calc!G30</f>
        <v/>
      </c>
      <c r="H848">
        <f>Calc!H30</f>
        <v/>
      </c>
      <c r="I848">
        <f>IF(Skills!AA30&lt;&gt;"",1+(Skills!AA30/10)*(U821/1000)/100,1)</f>
        <v/>
      </c>
      <c r="J848" t="inlineStr"/>
      <c r="K848" t="inlineStr"/>
      <c r="L848" t="inlineStr"/>
      <c r="M848" t="inlineStr"/>
      <c r="N848" t="inlineStr"/>
      <c r="O848">
        <f>(1-Summary!$B$55)*T848+Summary!$B$55*V848</f>
        <v/>
      </c>
      <c r="P848">
        <f>IF(B862=0,0,O848/B862)</f>
        <v/>
      </c>
      <c r="Q848" t="n">
        <v>0</v>
      </c>
      <c r="R848" t="n">
        <v>0</v>
      </c>
      <c r="S848">
        <f>IFERROR(O848/N848,0)</f>
        <v/>
      </c>
      <c r="T848" t="n">
        <v>0</v>
      </c>
      <c r="V848" t="n">
        <v>0</v>
      </c>
    </row>
    <row r="849">
      <c r="A849">
        <f>Skills!A31</f>
        <v/>
      </c>
      <c r="B849">
        <f>Skills!B31</f>
        <v/>
      </c>
      <c r="C849">
        <f>Inputs!$B$3&gt;=107</f>
        <v/>
      </c>
      <c r="D849">
        <f>IF(Skills!C31=1,60+(Inputs!$B$25+1)+Inputs!$B$29,IF(Skills!C31=2,90+Inputs!$B$26+Inputs!$B$29,IF(Skills!C31=3,120+Inputs!$B$27+Inputs!$B$29,MAX(0,(Inputs!$B$3-100)*3)+Inputs!$B$28+Inputs!$B$29)))</f>
        <v/>
      </c>
      <c r="E849">
        <f>INDEX(FactorTable!$B$2:$Y$301, MATCH(ROUND(MIN(300,MAX(1,D849)),0), FactorTable!$A$2:$A$301,0), Skills!M31+1)</f>
        <v/>
      </c>
      <c r="F849">
        <f>IF(Skills!N31=TRUE,(Skills!L31/10)*(E849/1000),Skills!L31/10)+Skills!O31</f>
        <v/>
      </c>
      <c r="G849">
        <f>Calc!G31</f>
        <v/>
      </c>
      <c r="H849">
        <f>Calc!H31</f>
        <v/>
      </c>
      <c r="I849">
        <f>IF(Skills!AA31&lt;&gt;"",1+(Skills!AA31/10)*(U821/1000)/100,1)</f>
        <v/>
      </c>
      <c r="J849" t="inlineStr"/>
      <c r="K849" t="inlineStr"/>
      <c r="L849" t="inlineStr"/>
      <c r="M849" t="inlineStr"/>
      <c r="N849" t="inlineStr"/>
      <c r="O849">
        <f>(1-Summary!$B$55)*T849+Summary!$B$55*V849</f>
        <v/>
      </c>
      <c r="P849">
        <f>IF(B862=0,0,O849/B862)</f>
        <v/>
      </c>
      <c r="Q849" t="n">
        <v>0</v>
      </c>
      <c r="R849" t="n">
        <v>0</v>
      </c>
      <c r="S849">
        <f>IFERROR(O849/N849,0)</f>
        <v/>
      </c>
      <c r="T849" t="n">
        <v>0</v>
      </c>
      <c r="V849" t="n">
        <v>0</v>
      </c>
    </row>
    <row r="851">
      <c r="A851" t="inlineStr">
        <is>
          <t>Actions Per Second (pre-Adrenalin)</t>
        </is>
      </c>
      <c r="B851">
        <f>1+MIN(150,150*(1-(1-(Inputs!$B$11+((C840=TRUE)*(F840-Calc!F22)))/150)*(1-((C837=TRUE)*F837*IF(AND(Inputs!$B$39&lt;&gt;"pvp",Inputs!$B$44&gt;0),(((R837-1)*(Skills!Y19*(1+Inputs!$B$34/100))+MIN((Skills!Y19*(1+Inputs!$B$34/100)),MAX(0,Inputs!$B$44-((R837-1)*Skills!D19))))/Inputs!$B$44),IF(Inputs!$B$39="pvp",MIN((Skills!Y19*(1+Inputs!$B$34/100)),15)/15,(Skills!Y19*(1+Inputs!$B$34/100))/Skills!D19)))/150)))/100</f>
        <v/>
      </c>
    </row>
    <row r="852">
      <c r="A852" t="inlineStr">
        <is>
          <t>Alchemic Adrenaline Uptime</t>
        </is>
      </c>
      <c r="B852">
        <f>(Skills!Y6*(1+Inputs!$B$34/100))/((Skills!Y6*(1+Inputs!$B$34/100))+(5/B851))</f>
        <v/>
      </c>
    </row>
    <row r="853">
      <c r="A853" t="inlineStr">
        <is>
          <t>Attack Speed Buff Bonus %</t>
        </is>
      </c>
      <c r="B853">
        <f>((C837=TRUE)*F837*IF(AND(Inputs!$B$39&lt;&gt;"pvp",Inputs!$B$44&gt;0),(((R837-1)*(Skills!Y19*(1+Inputs!$B$34/100))+MIN((Skills!Y19*(1+Inputs!$B$34/100)),MAX(0,Inputs!$B$44-((R837-1)*Skills!D19))))/Inputs!$B$44),IF(Inputs!$B$39="pvp",MIN((Skills!Y19*(1+Inputs!$B$34/100)),15)/15,(Skills!Y19*(1+Inputs!$B$34/100))/Skills!D19)))+((C825=TRUE)*F825*B852)</f>
        <v/>
      </c>
    </row>
    <row r="854">
      <c r="A854" t="inlineStr">
        <is>
          <t>Actions Per Second (final)</t>
        </is>
      </c>
      <c r="B854">
        <f>1+MIN(150,150*(1-(1-(Inputs!$B$11+((C840=TRUE)*(F840-Calc!F22)))/150)*(1-B853/150)))/100</f>
        <v/>
      </c>
    </row>
    <row r="855">
      <c r="A855" t="inlineStr">
        <is>
          <t>Skill + Buff Cast Rate</t>
        </is>
      </c>
      <c r="B855">
        <f>IF(AND(Inputs!$B$39&lt;&gt;"pvp",Inputs!$B$44&gt;0),SUMPRODUCT((Skills!E2:E31=TRUE)*(C820:C849=TRUE)*R820:R849*Skills!F2:F31)/Inputs!$B$44,SUMPRODUCT((Skills!E2:E31=TRUE)*(C820:C849=TRUE)*Q820:Q849*Skills!F2:F31))</f>
        <v/>
      </c>
    </row>
    <row r="856">
      <c r="A856" t="inlineStr">
        <is>
          <t>Showdown Casts Per Second</t>
        </is>
      </c>
      <c r="B856">
        <f>MAX(0,B854-B855)</f>
        <v/>
      </c>
    </row>
    <row r="857">
      <c r="A857" t="inlineStr">
        <is>
          <t>Average Buff Multiplier</t>
        </is>
      </c>
      <c r="B857">
        <f>(1+(((C839=TRUE)*F839*IF(AND(Inputs!$B$39&lt;&gt;"pvp",Inputs!$B$44&gt;0),(((R839-1)*(Skills!Y21*(1+Inputs!$B$34/100))+MIN((Skills!Y21*(1+Inputs!$B$34/100)),MAX(0,Inputs!$B$44-((R839-1)*Skills!D21))))/Inputs!$B$44),IF(Inputs!$B$39="pvp",MIN((Skills!Y21*(1+Inputs!$B$34/100)),15)/15,(Skills!Y21*(1+Inputs!$B$34/100))/Skills!D21)))+((C846=TRUE)*(F846-Calc!F28))+((C836=TRUE)*(F836-Calc!F18)))/100)*(1+((C833=TRUE)*F833*IF(AND(Inputs!$B$39&lt;&gt;"pvp",Inputs!$B$44&gt;0),(((R833-1)*(Skills!Y15*(1+Inputs!$B$34/100))+MIN((Skills!Y15*(1+Inputs!$B$34/100)),MAX(0,Inputs!$B$44-((R833-1)*Skills!D15))))/Inputs!$B$44),IF(Inputs!$B$39="pvp",MIN((Skills!Y15*(1+Inputs!$B$34/100)),15)/15,(Skills!Y15*(1+Inputs!$B$34/100))/Skills!D15)))/100)*(1+((C824=TRUE)*F824*B852)/100)</f>
        <v/>
      </c>
    </row>
    <row r="858">
      <c r="A858" t="inlineStr">
        <is>
          <t>Global Crit Rate Bonus %</t>
        </is>
      </c>
      <c r="B858">
        <f>IF(Inputs!$B$3&gt;=47,8,0)+((C838=TRUE)*F838*IF(AND(Inputs!$B$39&lt;&gt;"pvp",Inputs!$B$44&gt;0),(((R838-1)*(Skills!Y20*(1+Inputs!$B$34/100))+MIN((Skills!Y20*(1+Inputs!$B$34/100)),MAX(0,Inputs!$B$44-((R838-1)*Skills!D20))))/Inputs!$B$44),IF(Inputs!$B$39="pvp",MIN((Skills!Y20*(1+Inputs!$B$34/100)),15)/15,(Skills!Y20*(1+Inputs!$B$34/100))/Skills!D20)))</f>
        <v/>
      </c>
    </row>
    <row r="859">
      <c r="A859" t="inlineStr">
        <is>
          <t>Global Monster Damage-Taken Bonus %</t>
        </is>
      </c>
      <c r="B859">
        <f>IF(Inputs!$B$3&gt;=82,15,0)+((C834=TRUE)*F834*IF(AND(Inputs!$B$39&lt;&gt;"pvp",Inputs!$B$44&gt;0),(((R834-1)*(Skills!Y16*(1+Inputs!$B$34/100))+MIN((Skills!Y16*(1+Inputs!$B$34/100)),MAX(0,Inputs!$B$44-((R834-1)*Skills!D16))))/Inputs!$B$44),IF(Inputs!$B$39="pvp",MIN((Skills!Y16*(1+Inputs!$B$34/100)),15)/15,(Skills!Y16*(1+Inputs!$B$34/100))/Skills!D16)))</f>
        <v/>
      </c>
    </row>
    <row r="860">
      <c r="A860" t="inlineStr">
        <is>
          <t>Shadow Partner Average Multiplier</t>
        </is>
      </c>
      <c r="B860">
        <f>1+((C829=TRUE)*F829*I829*Skills!J11/100)/100</f>
        <v/>
      </c>
    </row>
    <row r="861">
      <c r="A861" t="inlineStr">
        <is>
          <t>Global Critical Damage Bonus % (Frailty Curse Mastery Lv.111)</t>
        </is>
      </c>
      <c r="B861">
        <f>IF(Inputs!$B$3&gt;=111,30,0)*IF(AND(Inputs!$B$39&lt;&gt;"pvp",Inputs!$B$44&gt;0),(((R834-1)*(Skills!Y16*(1+Inputs!$B$34/100))+MIN((Skills!Y16*(1+Inputs!$B$34/100)),MAX(0,Inputs!$B$44-((R834-1)*Skills!D16))))/Inputs!$B$44),IF(Inputs!$B$39="pvp",MIN((Skills!Y16*(1+Inputs!$B$34/100)),15)/15,(Skills!Y16*(1+Inputs!$B$34/100))/Skills!D16))</f>
        <v/>
      </c>
    </row>
    <row r="862">
      <c r="A862" s="5" t="inlineStr">
        <is>
          <t>TOTAL DPS</t>
        </is>
      </c>
      <c r="B862" s="5">
        <f>SUM(O820:O849)</f>
        <v/>
      </c>
    </row>
    <row r="863">
      <c r="A863" t="inlineStr">
        <is>
          <t>Buff-Casting Startup Delay (s, fixed-duration only)</t>
        </is>
      </c>
      <c r="B863">
        <f>IF(AND(Inputs!$B$39&lt;&gt;"pvp",Inputs!$B$44&gt;0),SUMPRODUCT((Skills!Y2:Y31&gt;0)*(Skills!E2:E31=TRUE)*(C820:C849=TRUE))/B854,0)</f>
        <v/>
      </c>
    </row>
    <row r="864">
      <c r="A864" t="inlineStr">
        <is>
          <t>Boss-Only Total DPS (this block's swept value)</t>
        </is>
      </c>
      <c r="B864">
        <f>SUM(T820:T849)</f>
        <v/>
      </c>
    </row>
    <row r="865">
      <c r="A865" t="inlineStr">
        <is>
          <t>Normal-Only Total DPS (this block's swept value)</t>
        </is>
      </c>
      <c r="B865">
        <f>SUM(V820:V849)</f>
        <v/>
      </c>
    </row>
    <row r="867">
      <c r="A867" s="5" t="inlineStr">
        <is>
          <t>Stat: Skill Level Bonus — 2nd Job</t>
        </is>
      </c>
    </row>
    <row r="868">
      <c r="A868" s="9" t="inlineStr">
        <is>
          <t>Key</t>
        </is>
      </c>
      <c r="B868" s="9" t="inlineStr">
        <is>
          <t>Name</t>
        </is>
      </c>
      <c r="C868" s="9" t="inlineStr">
        <is>
          <t>Unlocked</t>
        </is>
      </c>
      <c r="D868" s="9" t="inlineStr">
        <is>
          <t>InputLevel</t>
        </is>
      </c>
      <c r="E868" s="9" t="inlineStr">
        <is>
          <t>Factor</t>
        </is>
      </c>
      <c r="F868" s="9" t="inlineStr">
        <is>
          <t>CoefficientPercent</t>
        </is>
      </c>
      <c r="G868" s="9" t="inlineStr">
        <is>
          <t>EffectiveHits</t>
        </is>
      </c>
      <c r="H868" s="9" t="inlineStr">
        <is>
          <t>ProcProbability</t>
        </is>
      </c>
      <c r="I868" s="9" t="inlineStr">
        <is>
          <t>MapleHeroMultiplier</t>
        </is>
      </c>
      <c r="J868" s="9" t="inlineStr">
        <is>
          <t>BaseDamage</t>
        </is>
      </c>
      <c r="K868" s="9" t="inlineStr">
        <is>
          <t>BaseHitDamage</t>
        </is>
      </c>
      <c r="L868" s="9" t="inlineStr">
        <is>
          <t>NonCritAvg</t>
        </is>
      </c>
      <c r="M868" s="9" t="inlineStr">
        <is>
          <t>CritAvg</t>
        </is>
      </c>
      <c r="N868" s="9" t="inlineStr">
        <is>
          <t>ExpectedDamage(perHit)</t>
        </is>
      </c>
      <c r="O868" s="9" t="inlineStr">
        <is>
          <t>DPS</t>
        </is>
      </c>
      <c r="P868" s="9" t="inlineStr">
        <is>
          <t>% of Total</t>
        </is>
      </c>
      <c r="Q868" s="9" t="inlineStr">
        <is>
          <t>InvCooldown</t>
        </is>
      </c>
      <c r="R868" s="9" t="inlineStr">
        <is>
          <t>CastsInFight</t>
        </is>
      </c>
      <c r="S868" s="9" t="inlineStr">
        <is>
          <t>HitRate(perSec)</t>
        </is>
      </c>
      <c r="U868" t="inlineStr">
        <is>
          <t>helpers</t>
        </is>
      </c>
    </row>
    <row r="869">
      <c r="A869">
        <f>Skills!A2</f>
        <v/>
      </c>
      <c r="B869">
        <f>Skills!B2</f>
        <v/>
      </c>
      <c r="C869">
        <f>Inputs!$B$3&gt;=100</f>
        <v/>
      </c>
      <c r="D869" t="inlineStr"/>
      <c r="E869" t="inlineStr"/>
      <c r="F869">
        <f>U873+Skills!O2</f>
        <v/>
      </c>
      <c r="G869">
        <f>Calc!G2</f>
        <v/>
      </c>
      <c r="H869">
        <f>Calc!H2</f>
        <v/>
      </c>
      <c r="I869">
        <f>IF(Skills!AA2&lt;&gt;"",1+(Skills!AA2/10)*(U870/1000)/100,1)</f>
        <v/>
      </c>
      <c r="J869">
        <f>((Inputs!$B$6*(1+Inputs!$B$7/100))+(((Inputs!$B$12*(1+Inputs!$B$13/100))-(Inputs!$B$12*(1+Inputs!$B$13/100)))+0.25*(Inputs!$B$14-Inputs!$B$14))*(1+Inputs!$B$7/100))*(F869/100)</f>
        <v/>
      </c>
      <c r="K869">
        <f>J869*(1+((Inputs!$B$12*(1+Inputs!$B$13/100))*0.01+Inputs!$B$14*0.0025)/100)*(1+Inputs!$B$15/100)*(1+Inputs!$B$16/100)*(5000/(6000+Inputs!$B$43*(1-Inputs!$B$19/100)))*(1+(Inputs!$B$24+((C897=TRUE)*(F897-Calc!F30)))/100)*(1+Skills!R2/100)*(1+(IF(Skills!A2="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869)</f>
        <v/>
      </c>
      <c r="L869">
        <f>K869*(MIN(Inputs!$B$22+((C891=TRUE)*(F891-Calc!F24)),Inputs!$B$23)/100+Inputs!$B$23/100)/2</f>
        <v/>
      </c>
      <c r="M869">
        <f>L869*(1+(Inputs!$B$10+((C893=TRUE)*(F893-Calc!F26))+B910)/100)</f>
        <v/>
      </c>
      <c r="N869">
        <f>L869*(1-MIN((Inputs!$B$9+((C892=TRUE)*(F892-Calc!F25))+B907),100)/100)+M869*(MIN((Inputs!$B$9+((C892=TRUE)*(F892-Calc!F25))+B907),100)/100)</f>
        <v/>
      </c>
      <c r="O869">
        <f>(1-Summary!$B$55)*T869+Summary!$B$55*V869</f>
        <v/>
      </c>
      <c r="P869">
        <f>IF(B911=0,0,O869/B911)</f>
        <v/>
      </c>
      <c r="Q869" t="n">
        <v>0</v>
      </c>
      <c r="R869" t="n">
        <v>0</v>
      </c>
      <c r="S869">
        <f>IFERROR(O869/N869,0)</f>
        <v/>
      </c>
      <c r="T869">
        <f>IF(C869,(Skills!G2*N869*B905)*IF(Inputs!$B$39="pvp",1,1+(Inputs!$B$20+((C894=TRUE)*(F894-Calc!F27))+Skills!P2+B908)/100),0)</f>
        <v/>
      </c>
      <c r="U869">
        <f>MAX(0,(Inputs!$B$3-100)*3)+Inputs!$B$28+Inputs!$B$29</f>
        <v/>
      </c>
      <c r="V869">
        <f>IF(C869,(Skills!G2*N869*B905)*IF(Inputs!$B$39="pvp",1,(1+(Inputs!$B$21+Skills!Q2+B908)/100)*(MIN((6+Inputs!$B$33),Inputs!$B$37))),0)</f>
        <v/>
      </c>
    </row>
    <row r="870">
      <c r="A870">
        <f>Skills!A3</f>
        <v/>
      </c>
      <c r="B870">
        <f>Skills!B3</f>
        <v/>
      </c>
      <c r="C870">
        <f>Inputs!$B$3&gt;=35</f>
        <v/>
      </c>
      <c r="D870">
        <f>IF(Skills!C3=1,60+Inputs!$B$25+Inputs!$B$29,IF(Skills!C3=2,90+(Inputs!$B$26+1)+Inputs!$B$29,IF(Skills!C3=3,120+Inputs!$B$27+Inputs!$B$29,MAX(0,(Inputs!$B$3-100)*3)+Inputs!$B$28+Inputs!$B$29)))</f>
        <v/>
      </c>
      <c r="E870">
        <f>INDEX(FactorTable!$B$2:$Y$301, MATCH(ROUND(MIN(300,MAX(1,D870)),0), FactorTable!$A$2:$A$301,0), Skills!M3+1)</f>
        <v/>
      </c>
      <c r="F870">
        <f>IF(Skills!N3=TRUE,(Skills!L3/10)*(E870/1000),Skills!L3/10)+Skills!O3</f>
        <v/>
      </c>
      <c r="G870">
        <f>Calc!G3</f>
        <v/>
      </c>
      <c r="H870">
        <f>Calc!H3</f>
        <v/>
      </c>
      <c r="I870">
        <f>IF(Skills!AA3&lt;&gt;"",1+(Skills!AA3/10)*(U870/1000)/100,1)</f>
        <v/>
      </c>
      <c r="J870">
        <f>((Inputs!$B$6*(1+Inputs!$B$7/100))+(((Inputs!$B$12*(1+Inputs!$B$13/100))-(Inputs!$B$12*(1+Inputs!$B$13/100)))+0.25*(Inputs!$B$14-Inputs!$B$14))*(1+Inputs!$B$7/100))*(F870/100)</f>
        <v/>
      </c>
      <c r="K870">
        <f>J870*(1+((Inputs!$B$12*(1+Inputs!$B$13/100))*0.01+Inputs!$B$14*0.0025)/100)*(1+Inputs!$B$15/100)*(1+Inputs!$B$16/100)*(5000/(6000+Inputs!$B$43*(1-Inputs!$B$19/100)))*(1+(Inputs!$B$24+((C897=TRUE)*(F897-Calc!F30)))/100)*(1+Skills!R3/100)*(1+(IF(Skills!A3="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870)</f>
        <v/>
      </c>
      <c r="L870">
        <f>K870*(MIN(Inputs!$B$22+((C891=TRUE)*(F891-Calc!F24)),Inputs!$B$23)/100+Inputs!$B$23/100)/2</f>
        <v/>
      </c>
      <c r="M870">
        <f>L870*(1+(Inputs!$B$10+((C893=TRUE)*(F893-Calc!F26))+B910)/100)</f>
        <v/>
      </c>
      <c r="N870">
        <f>L870*(1-MIN((Inputs!$B$9+((C892=TRUE)*(F892-Calc!F25))+B907),100)/100)+M870*(MIN((Inputs!$B$9+((C892=TRUE)*(F892-Calc!F25))+B907),100)/100)</f>
        <v/>
      </c>
      <c r="O870">
        <f>(1-Summary!$B$55)*T870+Summary!$B$55*V870</f>
        <v/>
      </c>
      <c r="P870">
        <f>IF(B911=0,0,O870/B911)</f>
        <v/>
      </c>
      <c r="Q870">
        <f>IFERROR(1/IF(Inputs!$B$39="pvp",15,MAX(0.1,Skills!D3-IF(Skills!E3=TRUE,Inputs!$B$32,0))),0)</f>
        <v/>
      </c>
      <c r="R870">
        <f>IF(AND(Inputs!$B$39&lt;&gt;"pvp",Inputs!$B$44&gt;0),IF(MAX(0,Inputs!$B$44-B912)&lt;=0,0,(INT(MAX(0,Inputs!$B$44-B912)/IF(Inputs!$B$39="pvp",15,MAX(0.1,Skills!D3-IF(Skills!E3=TRUE,Inputs!$B$32,0))))+1)),0)</f>
        <v/>
      </c>
      <c r="S870">
        <f>IFERROR(O870/N870,0)</f>
        <v/>
      </c>
      <c r="T870">
        <f>IF(C870,(H870*N870*IF(AND(Inputs!$B$39&lt;&gt;"pvp",Inputs!$B$44&gt;0),((Skills!G3*((R870-1)*IF(Skills!H3&gt;0,Skills!I3/Skills!H3,1)+IF(Skills!H3&gt;0,MIN(Skills!I3,MAX(0,MAX(0,Inputs!$B$44-B912)-((R870-1)*IF(Inputs!$B$39="pvp",15,MAX(0.1,Skills!D3-IF(Skills!E3=TRUE,Inputs!$B$32,0))))))/Skills!H3,1)))/Inputs!$B$44),G870*Q870))*IF(Inputs!$B$39="pvp",1,1+(Inputs!$B$20+((C894=TRUE)*(F894-Calc!F27))+Skills!P3+B908)/100),0)</f>
        <v/>
      </c>
      <c r="U870">
        <f>INDEX(FactorTable!$B$2:$Y$301, MATCH(ROUND(MIN(300,MAX(1,U869)),0), FactorTable!$A$2:$A$301,0), 24)</f>
        <v/>
      </c>
      <c r="V870">
        <f>IF(C870,(H870*N870*IF(AND(Inputs!$B$39&lt;&gt;"pvp",Inputs!$B$44&gt;0),((Skills!G3*((R870-1)*IF(Skills!H3&gt;0,Skills!I3/Skills!H3,1)+IF(Skills!H3&gt;0,MIN(Skills!I3,MAX(0,MAX(0,Inputs!$B$44-B912)-((R870-1)*IF(Inputs!$B$39="pvp",15,MAX(0.1,Skills!D3-IF(Skills!E3=TRUE,Inputs!$B$32,0))))))/Skills!H3,1)))/Inputs!$B$44),G870*Q870))*IF(Inputs!$B$39="pvp",1,(1+(Inputs!$B$21+Skills!Q3+B908)/100)*(MIN(Skills!W3,Inputs!$B$37))),0)</f>
        <v/>
      </c>
    </row>
    <row r="871">
      <c r="A871">
        <f>Skills!A4</f>
        <v/>
      </c>
      <c r="B871">
        <f>Skills!B4</f>
        <v/>
      </c>
      <c r="C871">
        <f>Inputs!$B$3&gt;=40</f>
        <v/>
      </c>
      <c r="D871">
        <f>IF(Skills!C4=1,60+Inputs!$B$25+Inputs!$B$29,IF(Skills!C4=2,90+(Inputs!$B$26+1)+Inputs!$B$29,IF(Skills!C4=3,120+Inputs!$B$27+Inputs!$B$29,MAX(0,(Inputs!$B$3-100)*3)+Inputs!$B$28+Inputs!$B$29)))</f>
        <v/>
      </c>
      <c r="E871">
        <f>INDEX(FactorTable!$B$2:$Y$301, MATCH(ROUND(MIN(300,MAX(1,D871)),0), FactorTable!$A$2:$A$301,0), Skills!M4+1)</f>
        <v/>
      </c>
      <c r="F871">
        <f>IF(Skills!N4=TRUE,(Skills!L4/10)*(E871/1000),Skills!L4/10)+Skills!O4</f>
        <v/>
      </c>
      <c r="G871">
        <f>Calc!G4</f>
        <v/>
      </c>
      <c r="H871">
        <f>Calc!H4</f>
        <v/>
      </c>
      <c r="I871">
        <f>IF(Skills!AA4&lt;&gt;"",1+(Skills!AA4/10)*(U870/1000)/100,1)</f>
        <v/>
      </c>
      <c r="J871">
        <f>((Inputs!$B$6*(1+Inputs!$B$7/100))+(((Inputs!$B$12*(1+Inputs!$B$13/100))-(Inputs!$B$12*(1+Inputs!$B$13/100)))+0.25*(Inputs!$B$14-Inputs!$B$14))*(1+Inputs!$B$7/100))*(F871/100)</f>
        <v/>
      </c>
      <c r="K871">
        <f>J871*(1+((Inputs!$B$12*(1+Inputs!$B$13/100))*0.01+Inputs!$B$14*0.0025)/100)*(1+Inputs!$B$15/100)*(1+Inputs!$B$16/100)*(5000/(6000+Inputs!$B$43*(1-Inputs!$B$19/100)))*(1+(Inputs!$B$24+((C897=TRUE)*(F897-Calc!F30)))/100)*(1+Skills!R4/100)*(1+(IF(Skills!A4="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871)</f>
        <v/>
      </c>
      <c r="L871">
        <f>K871*(MIN(Inputs!$B$22+((C891=TRUE)*(F891-Calc!F24)),Inputs!$B$23)/100+Inputs!$B$23/100)/2</f>
        <v/>
      </c>
      <c r="M871">
        <f>L871*(1+(Inputs!$B$10+((C893=TRUE)*(F893-Calc!F26))+B910)/100)</f>
        <v/>
      </c>
      <c r="N871">
        <f>L871*(1-MIN((Inputs!$B$9+((C892=TRUE)*(F892-Calc!F25))+B907),100)/100)+M871*(MIN((Inputs!$B$9+((C892=TRUE)*(F892-Calc!F25))+B907),100)/100)</f>
        <v/>
      </c>
      <c r="O871">
        <f>(1-Summary!$B$55)*T871+Summary!$B$55*V871</f>
        <v/>
      </c>
      <c r="P871">
        <f>IF(B911=0,0,O871/B911)</f>
        <v/>
      </c>
      <c r="Q871">
        <f>IFERROR(1/IF(Inputs!$B$39="pvp",15,MAX(0.1,Skills!D4-IF(Skills!E4=TRUE,Inputs!$B$32,0))),0)</f>
        <v/>
      </c>
      <c r="R871">
        <f>IF(AND(Inputs!$B$39&lt;&gt;"pvp",Inputs!$B$44&gt;0),IF(MAX(0,Inputs!$B$44-B912)&lt;=0,0,(INT(MAX(0,Inputs!$B$44-B912)/IF(Inputs!$B$39="pvp",15,MAX(0.1,Skills!D4-IF(Skills!E4=TRUE,Inputs!$B$32,0))))+1)),0)</f>
        <v/>
      </c>
      <c r="S871">
        <f>IFERROR(O871/N871,0)</f>
        <v/>
      </c>
      <c r="T871">
        <f>IF(C871,(H871*N871*IF(AND(Inputs!$B$39&lt;&gt;"pvp",Inputs!$B$44&gt;0),((Skills!G4*((R871-1)*IF(Skills!H4&gt;0,Skills!I4/Skills!H4,1)+IF(Skills!H4&gt;0,MIN(Skills!I4,MAX(0,MAX(0,Inputs!$B$44-B912)-((R871-1)*IF(Inputs!$B$39="pvp",15,MAX(0.1,Skills!D4-IF(Skills!E4=TRUE,Inputs!$B$32,0))))))/Skills!H4,1)))/Inputs!$B$44),G871*Q871))*IF(Inputs!$B$39="pvp",1,1+(Inputs!$B$20+((C894=TRUE)*(F894-Calc!F27))+Skills!P4+B908)/100),0)</f>
        <v/>
      </c>
      <c r="U871">
        <f>MAX(0,(Inputs!$B$3-100)*3)+Inputs!$B$28+Inputs!$B$29</f>
        <v/>
      </c>
      <c r="V871">
        <f>IF(C871,(H871*N871*IF(AND(Inputs!$B$39&lt;&gt;"pvp",Inputs!$B$44&gt;0),((Skills!G4*((R871-1)*IF(Skills!H4&gt;0,Skills!I4/Skills!H4,1)+IF(Skills!H4&gt;0,MIN(Skills!I4,MAX(0,MAX(0,Inputs!$B$44-B912)-((R871-1)*IF(Inputs!$B$39="pvp",15,MAX(0.1,Skills!D4-IF(Skills!E4=TRUE,Inputs!$B$32,0))))))/Skills!H4,1)))/Inputs!$B$44),G871*Q871))*IF(Inputs!$B$39="pvp",1,(1+(Inputs!$B$21+Skills!Q4+B908)/100)*(MIN(Skills!W4,Inputs!$B$37))),0)</f>
        <v/>
      </c>
    </row>
    <row r="872">
      <c r="A872">
        <f>Skills!A5</f>
        <v/>
      </c>
      <c r="B872">
        <f>Skills!B5</f>
        <v/>
      </c>
      <c r="C872">
        <f>Inputs!$B$3&gt;=63</f>
        <v/>
      </c>
      <c r="D872">
        <f>IF(Skills!C5=1,60+Inputs!$B$25+Inputs!$B$29,IF(Skills!C5=2,90+(Inputs!$B$26+1)+Inputs!$B$29,IF(Skills!C5=3,120+Inputs!$B$27+Inputs!$B$29,MAX(0,(Inputs!$B$3-100)*3)+Inputs!$B$28+Inputs!$B$29)))</f>
        <v/>
      </c>
      <c r="E872">
        <f>INDEX(FactorTable!$B$2:$Y$301, MATCH(ROUND(MIN(300,MAX(1,D872)),0), FactorTable!$A$2:$A$301,0), Skills!M5+1)</f>
        <v/>
      </c>
      <c r="F872">
        <f>IF(Skills!N5=TRUE,(Skills!L5/10)*(E872/1000),Skills!L5/10)+Skills!O5</f>
        <v/>
      </c>
      <c r="G872">
        <f>Calc!G5</f>
        <v/>
      </c>
      <c r="H872">
        <f>Calc!H5</f>
        <v/>
      </c>
      <c r="I872">
        <f>IF(Skills!AA5&lt;&gt;"",1+(Skills!AA5/10)*(U870/1000)/100,1)</f>
        <v/>
      </c>
      <c r="J872">
        <f>((Inputs!$B$6*(1+Inputs!$B$7/100))+(((Inputs!$B$12*(1+Inputs!$B$13/100))-(Inputs!$B$12*(1+Inputs!$B$13/100)))+0.25*(Inputs!$B$14-Inputs!$B$14))*(1+Inputs!$B$7/100))*(F872/100)</f>
        <v/>
      </c>
      <c r="K872">
        <f>J872*(1+((Inputs!$B$12*(1+Inputs!$B$13/100))*0.01+Inputs!$B$14*0.0025)/100)*(1+Inputs!$B$15/100)*(1+Inputs!$B$16/100)*(5000/(6000+Inputs!$B$43*(1-Inputs!$B$19/100)))*(1+(Inputs!$B$24+((C897=TRUE)*(F897-Calc!F30)))/100)*(1+Skills!R5/100)*(1+(IF(Skills!A5="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872)</f>
        <v/>
      </c>
      <c r="L872">
        <f>K872*(MIN(Inputs!$B$22+((C891=TRUE)*(F891-Calc!F24)),Inputs!$B$23)/100+Inputs!$B$23/100)/2</f>
        <v/>
      </c>
      <c r="M872">
        <f>L872*(1+(Inputs!$B$10+((C893=TRUE)*(F893-Calc!F26))+B910)/100)</f>
        <v/>
      </c>
      <c r="N872">
        <f>L872*(1-MIN((Inputs!$B$9+((C892=TRUE)*(F892-Calc!F25))+B907),100)/100)+M872*(MIN((Inputs!$B$9+((C892=TRUE)*(F892-Calc!F25))+B907),100)/100)</f>
        <v/>
      </c>
      <c r="O872">
        <f>(1-Summary!$B$55)*T872+Summary!$B$55*V872</f>
        <v/>
      </c>
      <c r="P872">
        <f>IF(B911=0,0,O872/B911)</f>
        <v/>
      </c>
      <c r="Q872">
        <f>IFERROR(1/IF(Inputs!$B$39="pvp",15,MAX(0.1,Skills!D5-IF(Skills!E5=TRUE,Inputs!$B$32,0))),0)</f>
        <v/>
      </c>
      <c r="R872">
        <f>IF(AND(Inputs!$B$39&lt;&gt;"pvp",Inputs!$B$44&gt;0),IF(MAX(0,Inputs!$B$44-B912)&lt;=0,0,(INT(MAX(0,Inputs!$B$44-B912)/IF(Inputs!$B$39="pvp",15,MAX(0.1,Skills!D5-IF(Skills!E5=TRUE,Inputs!$B$32,0))))+1)),0)</f>
        <v/>
      </c>
      <c r="S872">
        <f>IFERROR(O872/N872,0)</f>
        <v/>
      </c>
      <c r="T872">
        <f>IF(C872,(H872*N872*IF(AND(Inputs!$B$39&lt;&gt;"pvp",Inputs!$B$44&gt;0),((Skills!G5*((R872-1)*IF(Skills!H5&gt;0,Skills!I5/Skills!H5,1)+IF(Skills!H5&gt;0,MIN(Skills!I5,MAX(0,MAX(0,Inputs!$B$44-B912)-((R872-1)*IF(Inputs!$B$39="pvp",15,MAX(0.1,Skills!D5-IF(Skills!E5=TRUE,Inputs!$B$32,0))))))/Skills!H5,1)))/Inputs!$B$44),G872*Q872))*IF(Inputs!$B$39="pvp",1,1+(Inputs!$B$20+((C894=TRUE)*(F894-Calc!F27))+Skills!P5+B908)/100),0)</f>
        <v/>
      </c>
      <c r="U872">
        <f>INDEX(FactorTable!$B$2:$Y$301, MATCH(ROUND(MIN(300,MAX(1,U871)),0), FactorTable!$A$2:$A$301,0), 22)</f>
        <v/>
      </c>
      <c r="V872">
        <f>IF(C872,(H872*N872*IF(AND(Inputs!$B$39&lt;&gt;"pvp",Inputs!$B$44&gt;0),((Skills!G5*((R872-1)*IF(Skills!H5&gt;0,Skills!I5/Skills!H5,1)+IF(Skills!H5&gt;0,MIN(Skills!I5,MAX(0,MAX(0,Inputs!$B$44-B912)-((R872-1)*IF(Inputs!$B$39="pvp",15,MAX(0.1,Skills!D5-IF(Skills!E5=TRUE,Inputs!$B$32,0))))))/Skills!H5,1)))/Inputs!$B$44),G872*Q872))*IF(Inputs!$B$39="pvp",1,(1+(Inputs!$B$21+Skills!Q5+B908)/100)*(MIN(Skills!W5,Inputs!$B$37))),0)</f>
        <v/>
      </c>
    </row>
    <row r="873">
      <c r="A873">
        <f>Skills!A6</f>
        <v/>
      </c>
      <c r="B873">
        <f>Skills!B6</f>
        <v/>
      </c>
      <c r="C873">
        <f>Inputs!$B$3&gt;=66</f>
        <v/>
      </c>
      <c r="D873">
        <f>IF(Skills!C6=1,60+Inputs!$B$25+Inputs!$B$29,IF(Skills!C6=2,90+(Inputs!$B$26+1)+Inputs!$B$29,IF(Skills!C6=3,120+Inputs!$B$27+Inputs!$B$29,MAX(0,(Inputs!$B$3-100)*3)+Inputs!$B$28+Inputs!$B$29)))</f>
        <v/>
      </c>
      <c r="E873">
        <f>INDEX(FactorTable!$B$2:$Y$301, MATCH(ROUND(MIN(300,MAX(1,D873)),0), FactorTable!$A$2:$A$301,0), Skills!M6+1)</f>
        <v/>
      </c>
      <c r="F873">
        <f>IF(Skills!N6=TRUE,(Skills!L6/10)*(E873/1000),Skills!L6/10)+Skills!O6</f>
        <v/>
      </c>
      <c r="G873">
        <f>Calc!G6</f>
        <v/>
      </c>
      <c r="H873">
        <f>Calc!H6</f>
        <v/>
      </c>
      <c r="I873">
        <f>IF(Skills!AA6&lt;&gt;"",1+(Skills!AA6/10)*(U870/1000)/100,1)</f>
        <v/>
      </c>
      <c r="J873" t="inlineStr"/>
      <c r="K873" t="inlineStr"/>
      <c r="L873" t="inlineStr"/>
      <c r="M873" t="inlineStr"/>
      <c r="N873" t="inlineStr"/>
      <c r="O873">
        <f>(1-Summary!$B$55)*T873+Summary!$B$55*V873</f>
        <v/>
      </c>
      <c r="P873">
        <f>IF(B911=0,0,O873/B911)</f>
        <v/>
      </c>
      <c r="Q873" t="n">
        <v>0</v>
      </c>
      <c r="R873" t="n">
        <v>0</v>
      </c>
      <c r="S873">
        <f>IFERROR(O873/N873,0)</f>
        <v/>
      </c>
      <c r="T873" t="n">
        <v>0</v>
      </c>
      <c r="U873">
        <f>290*U872/1000</f>
        <v/>
      </c>
      <c r="V873" t="n">
        <v>0</v>
      </c>
    </row>
    <row r="874">
      <c r="A874">
        <f>Skills!A7</f>
        <v/>
      </c>
      <c r="B874">
        <f>Skills!B7</f>
        <v/>
      </c>
      <c r="C874">
        <f>Inputs!$B$3&gt;=66</f>
        <v/>
      </c>
      <c r="D874">
        <f>IF(Skills!C7=1,60+Inputs!$B$25+Inputs!$B$29,IF(Skills!C7=2,90+(Inputs!$B$26+1)+Inputs!$B$29,IF(Skills!C7=3,120+Inputs!$B$27+Inputs!$B$29,MAX(0,(Inputs!$B$3-100)*3)+Inputs!$B$28+Inputs!$B$29)))</f>
        <v/>
      </c>
      <c r="E874">
        <f>INDEX(FactorTable!$B$2:$Y$301, MATCH(ROUND(MIN(300,MAX(1,D874)),0), FactorTable!$A$2:$A$301,0), Skills!M7+1)</f>
        <v/>
      </c>
      <c r="F874">
        <f>IF(Skills!N7=TRUE,(Skills!L7/10)*(E874/1000),Skills!L7/10)+Skills!O7</f>
        <v/>
      </c>
      <c r="G874">
        <f>Calc!G7</f>
        <v/>
      </c>
      <c r="H874">
        <f>Calc!H7</f>
        <v/>
      </c>
      <c r="I874">
        <f>IF(Skills!AA7&lt;&gt;"",1+(Skills!AA7/10)*(U870/1000)/100,1)</f>
        <v/>
      </c>
      <c r="J874" t="inlineStr"/>
      <c r="K874" t="inlineStr"/>
      <c r="L874" t="inlineStr"/>
      <c r="M874" t="inlineStr"/>
      <c r="N874" t="inlineStr"/>
      <c r="O874">
        <f>(1-Summary!$B$55)*T874+Summary!$B$55*V874</f>
        <v/>
      </c>
      <c r="P874">
        <f>IF(B911=0,0,O874/B911)</f>
        <v/>
      </c>
      <c r="Q874" t="n">
        <v>0</v>
      </c>
      <c r="R874" t="n">
        <v>0</v>
      </c>
      <c r="S874">
        <f>IFERROR(O874/N874,0)</f>
        <v/>
      </c>
      <c r="T874" t="n">
        <v>0</v>
      </c>
      <c r="V874" t="n">
        <v>0</v>
      </c>
    </row>
    <row r="875">
      <c r="A875">
        <f>Skills!A8</f>
        <v/>
      </c>
      <c r="B875">
        <f>Skills!B8</f>
        <v/>
      </c>
      <c r="C875">
        <f>Inputs!$B$3&gt;=69</f>
        <v/>
      </c>
      <c r="D875">
        <f>IF(Skills!C8=1,60+Inputs!$B$25+Inputs!$B$29,IF(Skills!C8=2,90+(Inputs!$B$26+1)+Inputs!$B$29,IF(Skills!C8=3,120+Inputs!$B$27+Inputs!$B$29,MAX(0,(Inputs!$B$3-100)*3)+Inputs!$B$28+Inputs!$B$29)))</f>
        <v/>
      </c>
      <c r="E875">
        <f>INDEX(FactorTable!$B$2:$Y$301, MATCH(ROUND(MIN(300,MAX(1,D875)),0), FactorTable!$A$2:$A$301,0), Skills!M8+1)</f>
        <v/>
      </c>
      <c r="F875">
        <f>IF(Skills!N8=TRUE,(Skills!L8/10)*(E875/1000),Skills!L8/10)+Skills!O8</f>
        <v/>
      </c>
      <c r="G875">
        <f>Calc!G8</f>
        <v/>
      </c>
      <c r="H875">
        <f>Calc!H8</f>
        <v/>
      </c>
      <c r="I875">
        <f>IF(Skills!AA8&lt;&gt;"",1+(Skills!AA8/10)*(U870/1000)/100,1)</f>
        <v/>
      </c>
      <c r="J875">
        <f>((Inputs!$B$6*(1+Inputs!$B$7/100))+(((Inputs!$B$12*(1+Inputs!$B$13/100))-(Inputs!$B$12*(1+Inputs!$B$13/100)))+0.25*(Inputs!$B$14-Inputs!$B$14))*(1+Inputs!$B$7/100))*(F875/100)</f>
        <v/>
      </c>
      <c r="K875">
        <f>J875*(1+((Inputs!$B$12*(1+Inputs!$B$13/100))*0.01+Inputs!$B$14*0.0025)/100)*(1+Inputs!$B$15/100)*(1+Inputs!$B$16/100)*(5000/(6000+Inputs!$B$43*(1-Inputs!$B$19/100)))*(1+(Inputs!$B$24+((C897=TRUE)*(F897-Calc!F30)))/100)*(1+Skills!R8/100)*(1+(IF(Skills!A8="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875)</f>
        <v/>
      </c>
      <c r="L875">
        <f>K875*(MIN(Inputs!$B$22+((C891=TRUE)*(F891-Calc!F24)),Inputs!$B$23)/100+Inputs!$B$23/100)/2</f>
        <v/>
      </c>
      <c r="M875">
        <f>L875*(1+(Inputs!$B$10+((C893=TRUE)*(F893-Calc!F26))+B910)/100)</f>
        <v/>
      </c>
      <c r="N875">
        <f>L875*(1-MIN((Inputs!$B$9+((C892=TRUE)*(F892-Calc!F25))+B907),100)/100)+M875*(MIN((Inputs!$B$9+((C892=TRUE)*(F892-Calc!F25))+B907),100)/100)</f>
        <v/>
      </c>
      <c r="O875">
        <f>(1-Summary!$B$55)*T875+Summary!$B$55*V875</f>
        <v/>
      </c>
      <c r="P875">
        <f>IF(B911=0,0,O875/B911)</f>
        <v/>
      </c>
      <c r="Q875">
        <f>IFERROR(1/IF(Inputs!$B$39="pvp",15,MAX(0.1,Skills!D8-IF(Skills!E8=TRUE,Inputs!$B$32,0))),0)</f>
        <v/>
      </c>
      <c r="R875">
        <f>IF(AND(Inputs!$B$39&lt;&gt;"pvp",Inputs!$B$44&gt;0),IF(MAX(0,Inputs!$B$44-B912)&lt;=0,0,(INT(MAX(0,Inputs!$B$44-B912)/IF(Inputs!$B$39="pvp",15,MAX(0.1,Skills!D8-IF(Skills!E8=TRUE,Inputs!$B$32,0))))+1)),0)</f>
        <v/>
      </c>
      <c r="S875">
        <f>IFERROR(O875/N875,0)</f>
        <v/>
      </c>
      <c r="T875">
        <f>IF(C875,(H875*N875*IF(AND(Inputs!$B$39&lt;&gt;"pvp",Inputs!$B$44&gt;0),((Skills!G8*((R875-1)*IF(Skills!H8&gt;0,Skills!I8/Skills!H8,1)+IF(Skills!H8&gt;0,MIN(Skills!I8,MAX(0,MAX(0,Inputs!$B$44-B912)-((R875-1)*IF(Inputs!$B$39="pvp",15,MAX(0.1,Skills!D8-IF(Skills!E8=TRUE,Inputs!$B$32,0))))))/Skills!H8,1)))/Inputs!$B$44),G875*Q875))*IF(Inputs!$B$39="pvp",1,1+(Inputs!$B$20+((C894=TRUE)*(F894-Calc!F27))+Skills!P8+B908)/100),0)</f>
        <v/>
      </c>
      <c r="V875">
        <f>IF(C875,(H875*N875*IF(AND(Inputs!$B$39&lt;&gt;"pvp",Inputs!$B$44&gt;0),((Skills!G8*((R875-1)*IF(Skills!H8&gt;0,Skills!I8/Skills!H8,1)+IF(Skills!H8&gt;0,MIN(Skills!I8,MAX(0,MAX(0,Inputs!$B$44-B912)-((R875-1)*IF(Inputs!$B$39="pvp",15,MAX(0.1,Skills!D8-IF(Skills!E8=TRUE,Inputs!$B$32,0))))))/Skills!H8,1)))/Inputs!$B$44),G875*Q875))*IF(Inputs!$B$39="pvp",1,(1+(Inputs!$B$21+Skills!Q8+B908)/100)*(MIN(Skills!W8,Inputs!$B$37))),0)</f>
        <v/>
      </c>
    </row>
    <row r="876">
      <c r="A876">
        <f>Skills!A9</f>
        <v/>
      </c>
      <c r="B876">
        <f>Skills!B9</f>
        <v/>
      </c>
      <c r="C876">
        <f>Inputs!$B$3&gt;=72</f>
        <v/>
      </c>
      <c r="D876">
        <f>IF(Skills!C9=1,60+Inputs!$B$25+Inputs!$B$29,IF(Skills!C9=2,90+(Inputs!$B$26+1)+Inputs!$B$29,IF(Skills!C9=3,120+Inputs!$B$27+Inputs!$B$29,MAX(0,(Inputs!$B$3-100)*3)+Inputs!$B$28+Inputs!$B$29)))</f>
        <v/>
      </c>
      <c r="E876">
        <f>INDEX(FactorTable!$B$2:$Y$301, MATCH(ROUND(MIN(300,MAX(1,D876)),0), FactorTable!$A$2:$A$301,0), Skills!M9+1)</f>
        <v/>
      </c>
      <c r="F876">
        <f>IF(Skills!N9=TRUE,(Skills!L9/10)*(E876/1000),Skills!L9/10)+Skills!O9</f>
        <v/>
      </c>
      <c r="G876">
        <f>Calc!G9</f>
        <v/>
      </c>
      <c r="H876">
        <f>Calc!H9</f>
        <v/>
      </c>
      <c r="I876">
        <f>IF(Skills!AA9&lt;&gt;"",1+(Skills!AA9/10)*(U870/1000)/100,1)</f>
        <v/>
      </c>
      <c r="J876">
        <f>((Inputs!$B$6*(1+Inputs!$B$7/100))+(((Inputs!$B$12*(1+Inputs!$B$13/100))-(Inputs!$B$12*(1+Inputs!$B$13/100)))+0.25*(Inputs!$B$14-Inputs!$B$14))*(1+Inputs!$B$7/100))*(F876/100)</f>
        <v/>
      </c>
      <c r="K876">
        <f>J876*(1+((Inputs!$B$12*(1+Inputs!$B$13/100))*0.01+Inputs!$B$14*0.0025)/100)*(1+Inputs!$B$15/100)*(1+Inputs!$B$16/100)*(5000/(6000+Inputs!$B$43*(1-Inputs!$B$19/100)))*(1+(Inputs!$B$24+((C897=TRUE)*(F897-Calc!F30)))/100)*(1+Skills!R9/100)*(1+(IF(Skills!A9="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876)</f>
        <v/>
      </c>
      <c r="L876">
        <f>K876*(MIN(Inputs!$B$22+((C891=TRUE)*(F891-Calc!F24)),Inputs!$B$23)/100+Inputs!$B$23/100)/2</f>
        <v/>
      </c>
      <c r="M876">
        <f>L876*(1+(Inputs!$B$10+((C893=TRUE)*(F893-Calc!F26))+B910)/100)</f>
        <v/>
      </c>
      <c r="N876">
        <f>L876*(1-MIN((Inputs!$B$9+((C892=TRUE)*(F892-Calc!F25))+B907),100)/100)+M876*(MIN((Inputs!$B$9+((C892=TRUE)*(F892-Calc!F25))+B907),100)/100)</f>
        <v/>
      </c>
      <c r="O876">
        <f>(1-Summary!$B$55)*T876+Summary!$B$55*V876</f>
        <v/>
      </c>
      <c r="P876">
        <f>IF(B911=0,0,O876/B911)</f>
        <v/>
      </c>
      <c r="Q876">
        <f>IFERROR(1/IF(Inputs!$B$39="pvp",15,MAX(0.1,Skills!D9-IF(Skills!E9=TRUE,Inputs!$B$32,0))),0)</f>
        <v/>
      </c>
      <c r="R876">
        <f>IF(AND(Inputs!$B$39&lt;&gt;"pvp",Inputs!$B$44&gt;0),IF(MAX(0,Inputs!$B$44-B912)&lt;=0,0,(INT(MAX(0,Inputs!$B$44-B912)/IF(Inputs!$B$39="pvp",15,MAX(0.1,Skills!D9-IF(Skills!E9=TRUE,Inputs!$B$32,0))))+1)),0)</f>
        <v/>
      </c>
      <c r="S876">
        <f>IFERROR(O876/N876,0)</f>
        <v/>
      </c>
      <c r="T876">
        <f>IF(C876,(H876*N876*IF(AND(Inputs!$B$39&lt;&gt;"pvp",Inputs!$B$44&gt;0),((Skills!G9*((R876-1)*IF(Skills!H9&gt;0,Skills!I9/Skills!H9,1)+IF(Skills!H9&gt;0,MIN(Skills!I9,MAX(0,MAX(0,Inputs!$B$44-B912)-((R876-1)*IF(Inputs!$B$39="pvp",15,MAX(0.1,Skills!D9-IF(Skills!E9=TRUE,Inputs!$B$32,0))))))/Skills!H9,1)))/Inputs!$B$44),G876*Q876))*IF(Inputs!$B$39="pvp",1,1+(Inputs!$B$20+((C894=TRUE)*(F894-Calc!F27))+Skills!P9+B908)/100),0)</f>
        <v/>
      </c>
      <c r="V876">
        <f>IF(C876,(H876*N876*IF(AND(Inputs!$B$39&lt;&gt;"pvp",Inputs!$B$44&gt;0),((Skills!G9*((R876-1)*IF(Skills!H9&gt;0,Skills!I9/Skills!H9,1)+IF(Skills!H9&gt;0,MIN(Skills!I9,MAX(0,MAX(0,Inputs!$B$44-B912)-((R876-1)*IF(Inputs!$B$39="pvp",15,MAX(0.1,Skills!D9-IF(Skills!E9=TRUE,Inputs!$B$32,0))))))/Skills!H9,1)))/Inputs!$B$44),G876*Q876))*IF(Inputs!$B$39="pvp",1,(1+(Inputs!$B$21+Skills!Q9+B908)/100)*(MIN(Skills!W9,Inputs!$B$37))),0)</f>
        <v/>
      </c>
    </row>
    <row r="877">
      <c r="A877">
        <f>Skills!A10</f>
        <v/>
      </c>
      <c r="B877">
        <f>Skills!B10</f>
        <v/>
      </c>
      <c r="C877">
        <f>Inputs!$B$3&gt;=117</f>
        <v/>
      </c>
      <c r="D877">
        <f>IF(Skills!C10=1,60+Inputs!$B$25+Inputs!$B$29,IF(Skills!C10=2,90+(Inputs!$B$26+1)+Inputs!$B$29,IF(Skills!C10=3,120+Inputs!$B$27+Inputs!$B$29,MAX(0,(Inputs!$B$3-100)*3)+Inputs!$B$28+Inputs!$B$29)))</f>
        <v/>
      </c>
      <c r="E877">
        <f>INDEX(FactorTable!$B$2:$Y$301, MATCH(ROUND(MIN(300,MAX(1,D877)),0), FactorTable!$A$2:$A$301,0), Skills!M10+1)</f>
        <v/>
      </c>
      <c r="F877">
        <f>IF(Skills!N10=TRUE,(Skills!L10/10)*(E877/1000),Skills!L10/10)+Skills!O10</f>
        <v/>
      </c>
      <c r="G877">
        <f>Calc!G10</f>
        <v/>
      </c>
      <c r="H877">
        <f>Calc!H10</f>
        <v/>
      </c>
      <c r="I877">
        <f>IF(Skills!AA10&lt;&gt;"",1+(Skills!AA10/10)*(U870/1000)/100,1)</f>
        <v/>
      </c>
      <c r="J877">
        <f>((Inputs!$B$6*(1+Inputs!$B$7/100))+(((Inputs!$B$12*(1+Inputs!$B$13/100))-(Inputs!$B$12*(1+Inputs!$B$13/100)))+0.25*(Inputs!$B$14-Inputs!$B$14))*(1+Inputs!$B$7/100))*(F877/100)</f>
        <v/>
      </c>
      <c r="K877">
        <f>J877*(1+((Inputs!$B$12*(1+Inputs!$B$13/100))*0.01+Inputs!$B$14*0.0025)/100)*(1+Inputs!$B$15/100)*(1+Inputs!$B$16/100)*(5000/(6000+Inputs!$B$43*(1-Inputs!$B$19/100)))*(1+(Inputs!$B$24+((C897=TRUE)*(F897-Calc!F30)))/100)*(1+Skills!R10/100)*(1+(IF(Skills!A10="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877)</f>
        <v/>
      </c>
      <c r="L877">
        <f>K877*(MIN(Inputs!$B$22+((C891=TRUE)*(F891-Calc!F24)),Inputs!$B$23)/100+Inputs!$B$23/100)/2</f>
        <v/>
      </c>
      <c r="M877">
        <f>L877*(1+(Inputs!$B$10+((C893=TRUE)*(F893-Calc!F26))+B910)/100)</f>
        <v/>
      </c>
      <c r="N877">
        <f>L877*(1-MIN((Inputs!$B$9+((C892=TRUE)*(F892-Calc!F25))+B907),100)/100)+M877*(MIN((Inputs!$B$9+((C892=TRUE)*(F892-Calc!F25))+B907),100)/100)</f>
        <v/>
      </c>
      <c r="O877">
        <f>(1-Summary!$B$55)*T877+Summary!$B$55*V877</f>
        <v/>
      </c>
      <c r="P877">
        <f>IF(B911=0,0,O877/B911)</f>
        <v/>
      </c>
      <c r="Q877" t="n">
        <v>0</v>
      </c>
      <c r="R877" t="n">
        <v>0</v>
      </c>
      <c r="S877" t="n">
        <v>0</v>
      </c>
      <c r="T877">
        <f>IF(C877,(0.2*SUMPRODUCT((Skills!Z2:Z31=TRUE)*(C869:C898=TRUE)*S869:S898)*N877)*IF(Inputs!$B$39="pvp",1,1+(Inputs!$B$20+((C894=TRUE)*(F894-Calc!F27))+Skills!P10+B908)/100),0)</f>
        <v/>
      </c>
      <c r="V877">
        <f>IF(C877,(0.2*SUMPRODUCT((Skills!Z2:Z31=TRUE)*(C869:C898=TRUE)*S869:S898)*N877)*IF(Inputs!$B$39="pvp",1,(1+(Inputs!$B$21+Skills!Q10+B908)/100)*(MIN(Skills!W10,Inputs!$B$37))),0)</f>
        <v/>
      </c>
    </row>
    <row r="878">
      <c r="A878">
        <f>Skills!A11</f>
        <v/>
      </c>
      <c r="B878">
        <f>Skills!B11</f>
        <v/>
      </c>
      <c r="C878">
        <f>Inputs!$B$3&gt;=60</f>
        <v/>
      </c>
      <c r="D878">
        <f>IF(Skills!C11=1,60+Inputs!$B$25+Inputs!$B$29,IF(Skills!C11=2,90+(Inputs!$B$26+1)+Inputs!$B$29,IF(Skills!C11=3,120+Inputs!$B$27+Inputs!$B$29,MAX(0,(Inputs!$B$3-100)*3)+Inputs!$B$28+Inputs!$B$29)))</f>
        <v/>
      </c>
      <c r="E878">
        <f>INDEX(FactorTable!$B$2:$Y$301, MATCH(ROUND(MIN(300,MAX(1,D878)),0), FactorTable!$A$2:$A$301,0), Skills!M11+1)</f>
        <v/>
      </c>
      <c r="F878">
        <f>IF(Skills!N11=TRUE,(Skills!L11/10)*(E878/1000),Skills!L11/10)+Skills!O11</f>
        <v/>
      </c>
      <c r="G878">
        <f>Calc!G11</f>
        <v/>
      </c>
      <c r="H878">
        <f>Calc!H11</f>
        <v/>
      </c>
      <c r="I878">
        <f>IF(Skills!AA11&lt;&gt;"",1+(Skills!AA11/10)*(U870/1000)/100,1)</f>
        <v/>
      </c>
      <c r="J878" t="inlineStr"/>
      <c r="K878" t="inlineStr"/>
      <c r="L878" t="inlineStr"/>
      <c r="M878" t="inlineStr"/>
      <c r="N878" t="inlineStr"/>
      <c r="O878">
        <f>(1-Summary!$B$55)*T878+Summary!$B$55*V878</f>
        <v/>
      </c>
      <c r="P878">
        <f>IF(B911=0,0,O878/B911)</f>
        <v/>
      </c>
      <c r="Q878" t="n">
        <v>0</v>
      </c>
      <c r="R878" t="n">
        <v>0</v>
      </c>
      <c r="S878">
        <f>IFERROR(O878/N878,0)</f>
        <v/>
      </c>
      <c r="T878" t="n">
        <v>0</v>
      </c>
      <c r="V878" t="n">
        <v>0</v>
      </c>
    </row>
    <row r="879">
      <c r="A879">
        <f>Skills!A12</f>
        <v/>
      </c>
      <c r="B879">
        <f>Skills!B12</f>
        <v/>
      </c>
      <c r="C879">
        <f>Inputs!$B$3&gt;=103</f>
        <v/>
      </c>
      <c r="D879">
        <f>IF(Skills!C12=1,60+Inputs!$B$25+Inputs!$B$29,IF(Skills!C12=2,90+(Inputs!$B$26+1)+Inputs!$B$29,IF(Skills!C12=3,120+Inputs!$B$27+Inputs!$B$29,MAX(0,(Inputs!$B$3-100)*3)+Inputs!$B$28+Inputs!$B$29)))</f>
        <v/>
      </c>
      <c r="E879">
        <f>INDEX(FactorTable!$B$2:$Y$301, MATCH(ROUND(MIN(300,MAX(1,D879)),0), FactorTable!$A$2:$A$301,0), Skills!M12+1)</f>
        <v/>
      </c>
      <c r="F879">
        <f>IF(Skills!N12=TRUE,(Skills!L12/10)*(E879/1000),Skills!L12/10)+Skills!O12</f>
        <v/>
      </c>
      <c r="G879">
        <f>Calc!G12</f>
        <v/>
      </c>
      <c r="H879">
        <f>Calc!H12</f>
        <v/>
      </c>
      <c r="I879">
        <f>IF(Skills!AA12&lt;&gt;"",1+(Skills!AA12/10)*(U870/1000)/100,1)</f>
        <v/>
      </c>
      <c r="J879">
        <f>((Inputs!$B$6*(1+Inputs!$B$7/100))+(((Inputs!$B$12*(1+Inputs!$B$13/100))-(Inputs!$B$12*(1+Inputs!$B$13/100)))+0.25*(Inputs!$B$14-Inputs!$B$14))*(1+Inputs!$B$7/100))*(F879/100)</f>
        <v/>
      </c>
      <c r="K879">
        <f>J879*(1+((Inputs!$B$12*(1+Inputs!$B$13/100))*0.01+Inputs!$B$14*0.0025)/100)*(1+Inputs!$B$15/100)*(1+Inputs!$B$16/100)*(5000/(6000+Inputs!$B$43*(1-Inputs!$B$19/100)))*(1+(Inputs!$B$24+((C897=TRUE)*(F897-Calc!F30)))/100)*(1+Skills!R12/100)*(1+(IF(Skills!A12="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879)</f>
        <v/>
      </c>
      <c r="L879">
        <f>K879*(MIN(Inputs!$B$22+((C891=TRUE)*(F891-Calc!F24)),Inputs!$B$23)/100+Inputs!$B$23/100)/2</f>
        <v/>
      </c>
      <c r="M879">
        <f>L879*(1+(Inputs!$B$10+((C893=TRUE)*(F893-Calc!F26))+B910)/100)</f>
        <v/>
      </c>
      <c r="N879">
        <f>L879*(1-MIN((Inputs!$B$9+((C892=TRUE)*(F892-Calc!F25))+B907),100)/100)+M879*(MIN((Inputs!$B$9+((C892=TRUE)*(F892-Calc!F25))+B907),100)/100)</f>
        <v/>
      </c>
      <c r="O879">
        <f>(1-Summary!$B$55)*T879+Summary!$B$55*V879</f>
        <v/>
      </c>
      <c r="P879">
        <f>IF(B911=0,0,O879/B911)</f>
        <v/>
      </c>
      <c r="Q879">
        <f>IFERROR(1/IF(Inputs!$B$39="pvp",15,MAX(0.1,Skills!D12-IF(Skills!E12=TRUE,Inputs!$B$32,0))),0)</f>
        <v/>
      </c>
      <c r="R879">
        <f>IF(AND(Inputs!$B$39&lt;&gt;"pvp",Inputs!$B$44&gt;0),IF(MAX(0,Inputs!$B$44-B912)&lt;=0,0,(INT(MAX(0,Inputs!$B$44-B912)/IF(Inputs!$B$39="pvp",15,MAX(0.1,Skills!D12-IF(Skills!E12=TRUE,Inputs!$B$32,0))))+1)),0)</f>
        <v/>
      </c>
      <c r="S879">
        <f>IFERROR(O879/N879,0)</f>
        <v/>
      </c>
      <c r="T879">
        <f>IF(C879,(H879*N879*IF(AND(Inputs!$B$39&lt;&gt;"pvp",Inputs!$B$44&gt;0),((Skills!G12*((R879-1)*IF(Skills!H12&gt;0,Skills!I12/Skills!H12,1)+IF(Skills!H12&gt;0,MIN(Skills!I12,MAX(0,MAX(0,Inputs!$B$44-B912)-((R879-1)*IF(Inputs!$B$39="pvp",15,MAX(0.1,Skills!D12-IF(Skills!E12=TRUE,Inputs!$B$32,0))))))/Skills!H12,1)))/Inputs!$B$44),G879*Q879))*IF(Inputs!$B$39="pvp",1,1+(Inputs!$B$20+((C894=TRUE)*(F894-Calc!F27))+Skills!P12+B908)/100),0)</f>
        <v/>
      </c>
      <c r="V879">
        <f>IF(C879,(H879*N879*IF(AND(Inputs!$B$39&lt;&gt;"pvp",Inputs!$B$44&gt;0),((Skills!G12*((R879-1)*IF(Skills!H12&gt;0,Skills!I12/Skills!H12,1)+IF(Skills!H12&gt;0,MIN(Skills!I12,MAX(0,MAX(0,Inputs!$B$44-B912)-((R879-1)*IF(Inputs!$B$39="pvp",15,MAX(0.1,Skills!D12-IF(Skills!E12=TRUE,Inputs!$B$32,0))))))/Skills!H12,1)))/Inputs!$B$44),G879*Q879))*IF(Inputs!$B$39="pvp",1,(1+(Inputs!$B$21+Skills!Q12+B908)/100)*(MIN(Skills!W12,Inputs!$B$37))),0)</f>
        <v/>
      </c>
    </row>
    <row r="880">
      <c r="A880">
        <f>Skills!A13</f>
        <v/>
      </c>
      <c r="B880">
        <f>Skills!B13</f>
        <v/>
      </c>
      <c r="C880">
        <f>Inputs!$B$3&gt;=105</f>
        <v/>
      </c>
      <c r="D880">
        <f>IF(Skills!C13=1,60+Inputs!$B$25+Inputs!$B$29,IF(Skills!C13=2,90+(Inputs!$B$26+1)+Inputs!$B$29,IF(Skills!C13=3,120+Inputs!$B$27+Inputs!$B$29,MAX(0,(Inputs!$B$3-100)*3)+Inputs!$B$28+Inputs!$B$29)))</f>
        <v/>
      </c>
      <c r="E880">
        <f>INDEX(FactorTable!$B$2:$Y$301, MATCH(ROUND(MIN(300,MAX(1,D880)),0), FactorTable!$A$2:$A$301,0), Skills!M13+1)</f>
        <v/>
      </c>
      <c r="F880">
        <f>IF(Skills!N13=TRUE,(Skills!L13/10)*(E880/1000),Skills!L13/10)+Skills!O13</f>
        <v/>
      </c>
      <c r="G880">
        <f>Calc!G13</f>
        <v/>
      </c>
      <c r="H880">
        <f>Calc!H13</f>
        <v/>
      </c>
      <c r="I880">
        <f>IF(Skills!AA13&lt;&gt;"",1+(Skills!AA13/10)*(U870/1000)/100,1)</f>
        <v/>
      </c>
      <c r="J880">
        <f>((Inputs!$B$6*(1+Inputs!$B$7/100))+(((Inputs!$B$12*(1+Inputs!$B$13/100))-(Inputs!$B$12*(1+Inputs!$B$13/100)))+0.25*(Inputs!$B$14-Inputs!$B$14))*(1+Inputs!$B$7/100))*(F880/100)</f>
        <v/>
      </c>
      <c r="K880">
        <f>J880*(1+((Inputs!$B$12*(1+Inputs!$B$13/100))*0.01+Inputs!$B$14*0.0025)/100)*(1+Inputs!$B$15/100)*(1+Inputs!$B$16/100)*(5000/(6000+Inputs!$B$43*(1-Inputs!$B$19/100)))*(1+(Inputs!$B$24+((C897=TRUE)*(F897-Calc!F30)))/100)*(1+Skills!R13/100)*(1+(IF(Skills!A13="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880)</f>
        <v/>
      </c>
      <c r="L880">
        <f>K880*(MIN(Inputs!$B$22+((C891=TRUE)*(F891-Calc!F24)),Inputs!$B$23)/100+Inputs!$B$23/100)/2</f>
        <v/>
      </c>
      <c r="M880">
        <f>L880*(1+(Inputs!$B$10+((C893=TRUE)*(F893-Calc!F26))+B910)/100)</f>
        <v/>
      </c>
      <c r="N880">
        <f>L880*(1-MIN((Inputs!$B$9+((C892=TRUE)*(F892-Calc!F25))+B907),100)/100)+M880*(MIN((Inputs!$B$9+((C892=TRUE)*(F892-Calc!F25))+B907),100)/100)</f>
        <v/>
      </c>
      <c r="O880">
        <f>(1-Summary!$B$55)*T880+Summary!$B$55*V880</f>
        <v/>
      </c>
      <c r="P880">
        <f>IF(B911=0,0,O880/B911)</f>
        <v/>
      </c>
      <c r="Q880">
        <f>IFERROR(1/IF(Inputs!$B$39="pvp",15,MAX(0.1,Skills!D13-IF(Skills!E13=TRUE,Inputs!$B$32,0))),0)</f>
        <v/>
      </c>
      <c r="R880">
        <f>IF(AND(Inputs!$B$39&lt;&gt;"pvp",Inputs!$B$44&gt;0),IF(MAX(0,Inputs!$B$44-B912)&lt;=0,0,(INT(MAX(0,Inputs!$B$44-B912)/IF(Inputs!$B$39="pvp",15,MAX(0.1,Skills!D13-IF(Skills!E13=TRUE,Inputs!$B$32,0))))+1)),0)</f>
        <v/>
      </c>
      <c r="S880">
        <f>IFERROR(O880/N880,0)</f>
        <v/>
      </c>
      <c r="T880">
        <f>IF(C880,(H880*N880*IF(AND(Inputs!$B$39&lt;&gt;"pvp",Inputs!$B$44&gt;0),((Skills!G13*((R880-1)*IF(Skills!H13&gt;0,Skills!I13/Skills!H13,1)+IF(Skills!H13&gt;0,MIN(Skills!I13,MAX(0,MAX(0,Inputs!$B$44-B912)-((R880-1)*IF(Inputs!$B$39="pvp",15,MAX(0.1,Skills!D13-IF(Skills!E13=TRUE,Inputs!$B$32,0))))))/Skills!H13,1)))/Inputs!$B$44),G880*Q880))*IF(Inputs!$B$39="pvp",1,1+(Inputs!$B$20+((C894=TRUE)*(F894-Calc!F27))+Skills!P13+B908)/100),0)</f>
        <v/>
      </c>
      <c r="V880">
        <f>IF(C880,(H880*N880*IF(AND(Inputs!$B$39&lt;&gt;"pvp",Inputs!$B$44&gt;0),((Skills!G13*((R880-1)*IF(Skills!H13&gt;0,Skills!I13/Skills!H13,1)+IF(Skills!H13&gt;0,MIN(Skills!I13,MAX(0,MAX(0,Inputs!$B$44-B912)-((R880-1)*IF(Inputs!$B$39="pvp",15,MAX(0.1,Skills!D13-IF(Skills!E13=TRUE,Inputs!$B$32,0))))))/Skills!H13,1)))/Inputs!$B$44),G880*Q880))*IF(Inputs!$B$39="pvp",1,(1+(Inputs!$B$21+Skills!Q13+B908)/100)*(MIN(Skills!W13,Inputs!$B$37))),0)</f>
        <v/>
      </c>
    </row>
    <row r="881">
      <c r="A881">
        <f>Skills!A14</f>
        <v/>
      </c>
      <c r="B881">
        <f>Skills!B14</f>
        <v/>
      </c>
      <c r="C881">
        <f>Inputs!$B$3&gt;=105</f>
        <v/>
      </c>
      <c r="D881">
        <f>IF(Skills!C14=1,60+Inputs!$B$25+Inputs!$B$29,IF(Skills!C14=2,90+(Inputs!$B$26+1)+Inputs!$B$29,IF(Skills!C14=3,120+Inputs!$B$27+Inputs!$B$29,MAX(0,(Inputs!$B$3-100)*3)+Inputs!$B$28+Inputs!$B$29)))</f>
        <v/>
      </c>
      <c r="E881">
        <f>INDEX(FactorTable!$B$2:$Y$301, MATCH(ROUND(MIN(300,MAX(1,D881)),0), FactorTable!$A$2:$A$301,0), Skills!M14+1)</f>
        <v/>
      </c>
      <c r="F881">
        <f>IF(Skills!N14=TRUE,(Skills!L14/10)*(E881/1000),Skills!L14/10)+Skills!O14</f>
        <v/>
      </c>
      <c r="G881">
        <f>Calc!G14</f>
        <v/>
      </c>
      <c r="H881">
        <f>Calc!H14</f>
        <v/>
      </c>
      <c r="I881">
        <f>IF(Skills!AA14&lt;&gt;"",1+(Skills!AA14/10)*(U870/1000)/100,1)</f>
        <v/>
      </c>
      <c r="J881">
        <f>((Inputs!$B$6*(1+Inputs!$B$7/100))+(((Inputs!$B$12*(1+Inputs!$B$13/100))-(Inputs!$B$12*(1+Inputs!$B$13/100)))+0.25*(Inputs!$B$14-Inputs!$B$14))*(1+Inputs!$B$7/100))*(F881/100)</f>
        <v/>
      </c>
      <c r="K881">
        <f>J881*(1+((Inputs!$B$12*(1+Inputs!$B$13/100))*0.01+Inputs!$B$14*0.0025)/100)*(1+Inputs!$B$15/100)*(1+Inputs!$B$16/100)*(5000/(6000+Inputs!$B$43*(1-Inputs!$B$19/100)))*(1+(Inputs!$B$24+((C897=TRUE)*(F897-Calc!F30)))/100)*(1+Skills!R14/100)*(1+(IF(Skills!A14="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881)</f>
        <v/>
      </c>
      <c r="L881">
        <f>K881*(MIN(Inputs!$B$22+((C891=TRUE)*(F891-Calc!F24)),Inputs!$B$23)/100+Inputs!$B$23/100)/2</f>
        <v/>
      </c>
      <c r="M881">
        <f>L881*(1+(Inputs!$B$10+((C893=TRUE)*(F893-Calc!F26))+B910)/100)</f>
        <v/>
      </c>
      <c r="N881">
        <f>L881*(1-MIN((Inputs!$B$9+((C892=TRUE)*(F892-Calc!F25))+B907),100)/100)+M881*(MIN((Inputs!$B$9+((C892=TRUE)*(F892-Calc!F25))+B907),100)/100)</f>
        <v/>
      </c>
      <c r="O881">
        <f>(1-Summary!$B$55)*T881+Summary!$B$55*V881</f>
        <v/>
      </c>
      <c r="P881">
        <f>IF(B911=0,0,O881/B911)</f>
        <v/>
      </c>
      <c r="Q881">
        <f>IFERROR(1/IF(Inputs!$B$39="pvp",15,MAX(0.1,Skills!D14-IF(Skills!E14=TRUE,Inputs!$B$32,0))),0)</f>
        <v/>
      </c>
      <c r="R881">
        <f>IF(AND(Inputs!$B$39&lt;&gt;"pvp",Inputs!$B$44&gt;0),IF(MAX(0,Inputs!$B$44-B912)&lt;=0,0,(INT(MAX(0,Inputs!$B$44-B912)/IF(Inputs!$B$39="pvp",15,MAX(0.1,Skills!D14-IF(Skills!E14=TRUE,Inputs!$B$32,0))))+1)),0)</f>
        <v/>
      </c>
      <c r="S881">
        <f>IFERROR(O881/N881,0)</f>
        <v/>
      </c>
      <c r="T881">
        <f>IF(C881,(H881*N881*IF(AND(Inputs!$B$39&lt;&gt;"pvp",Inputs!$B$44&gt;0),((Skills!G14*((R881-1)*IF(Skills!H14&gt;0,Skills!I14/Skills!H14,1)+IF(Skills!H14&gt;0,MIN(Skills!I14,MAX(0,MAX(0,Inputs!$B$44-B912)-((R881-1)*IF(Inputs!$B$39="pvp",15,MAX(0.1,Skills!D14-IF(Skills!E14=TRUE,Inputs!$B$32,0))))))/Skills!H14,1)))/Inputs!$B$44),G881*Q881))*IF(Inputs!$B$39="pvp",1,1+(Inputs!$B$20+((C894=TRUE)*(F894-Calc!F27))+Skills!P14+B908)/100),0)</f>
        <v/>
      </c>
      <c r="V881">
        <f>IF(C881,(H881*N881*IF(AND(Inputs!$B$39&lt;&gt;"pvp",Inputs!$B$44&gt;0),((Skills!G14*((R881-1)*IF(Skills!H14&gt;0,Skills!I14/Skills!H14,1)+IF(Skills!H14&gt;0,MIN(Skills!I14,MAX(0,MAX(0,Inputs!$B$44-B912)-((R881-1)*IF(Inputs!$B$39="pvp",15,MAX(0.1,Skills!D14-IF(Skills!E14=TRUE,Inputs!$B$32,0))))))/Skills!H14,1)))/Inputs!$B$44),G881*Q881))*IF(Inputs!$B$39="pvp",1,(1+(Inputs!$B$21+Skills!Q14+B908)/100)*(MIN(Skills!W14,Inputs!$B$37))),0)</f>
        <v/>
      </c>
    </row>
    <row r="882">
      <c r="A882">
        <f>Skills!A15</f>
        <v/>
      </c>
      <c r="B882">
        <f>Skills!B15</f>
        <v/>
      </c>
      <c r="C882">
        <f>Inputs!$B$3&gt;=110</f>
        <v/>
      </c>
      <c r="D882">
        <f>IF(Skills!C15=1,60+Inputs!$B$25+Inputs!$B$29,IF(Skills!C15=2,90+(Inputs!$B$26+1)+Inputs!$B$29,IF(Skills!C15=3,120+Inputs!$B$27+Inputs!$B$29,MAX(0,(Inputs!$B$3-100)*3)+Inputs!$B$28+Inputs!$B$29)))</f>
        <v/>
      </c>
      <c r="E882">
        <f>INDEX(FactorTable!$B$2:$Y$301, MATCH(ROUND(MIN(300,MAX(1,D882)),0), FactorTable!$A$2:$A$301,0), Skills!M15+1)</f>
        <v/>
      </c>
      <c r="F882">
        <f>IF(Skills!N15=TRUE,(Skills!L15/10)*(E882/1000),Skills!L15/10)+Skills!O15</f>
        <v/>
      </c>
      <c r="G882">
        <f>Calc!G15</f>
        <v/>
      </c>
      <c r="H882">
        <f>Calc!H15</f>
        <v/>
      </c>
      <c r="I882">
        <f>IF(Skills!AA15&lt;&gt;"",1+(Skills!AA15/10)*(U870/1000)/100,1)</f>
        <v/>
      </c>
      <c r="J882" t="inlineStr"/>
      <c r="K882" t="inlineStr"/>
      <c r="L882" t="inlineStr"/>
      <c r="M882" t="inlineStr"/>
      <c r="N882" t="inlineStr"/>
      <c r="O882">
        <f>(1-Summary!$B$55)*T882+Summary!$B$55*V882</f>
        <v/>
      </c>
      <c r="P882">
        <f>IF(B911=0,0,O882/B911)</f>
        <v/>
      </c>
      <c r="Q882">
        <f>IFERROR(1/IF(Inputs!$B$39="pvp",15,MAX(0.1,Skills!D15-IF(Skills!E15=TRUE,Inputs!$B$32,0))),0)</f>
        <v/>
      </c>
      <c r="R882">
        <f>IF(AND(Inputs!$B$39&lt;&gt;"pvp",Inputs!$B$44&gt;0),IF(Inputs!$B$44&lt;=0,0,(INT(Inputs!$B$44/IF(Inputs!$B$39="pvp",15,MAX(0.1,Skills!D15-IF(Skills!E15=TRUE,Inputs!$B$32,0))))+1)),0)</f>
        <v/>
      </c>
      <c r="S882">
        <f>IFERROR(O882/N882,0)</f>
        <v/>
      </c>
      <c r="T882" t="n">
        <v>0</v>
      </c>
      <c r="V882" t="n">
        <v>0</v>
      </c>
    </row>
    <row r="883">
      <c r="A883">
        <f>Skills!A16</f>
        <v/>
      </c>
      <c r="B883">
        <f>Skills!B16</f>
        <v/>
      </c>
      <c r="C883">
        <f>Inputs!$B$3&gt;=110</f>
        <v/>
      </c>
      <c r="D883">
        <f>IF(Skills!C16=1,60+Inputs!$B$25+Inputs!$B$29,IF(Skills!C16=2,90+(Inputs!$B$26+1)+Inputs!$B$29,IF(Skills!C16=3,120+Inputs!$B$27+Inputs!$B$29,MAX(0,(Inputs!$B$3-100)*3)+Inputs!$B$28+Inputs!$B$29)))</f>
        <v/>
      </c>
      <c r="E883">
        <f>INDEX(FactorTable!$B$2:$Y$301, MATCH(ROUND(MIN(300,MAX(1,D883)),0), FactorTable!$A$2:$A$301,0), Skills!M16+1)</f>
        <v/>
      </c>
      <c r="F883">
        <f>IF(Skills!N16=TRUE,(Skills!L16/10)*(E883/1000),Skills!L16/10)+Skills!O16</f>
        <v/>
      </c>
      <c r="G883">
        <f>Calc!G16</f>
        <v/>
      </c>
      <c r="H883">
        <f>Calc!H16</f>
        <v/>
      </c>
      <c r="I883">
        <f>IF(Skills!AA16&lt;&gt;"",1+(Skills!AA16/10)*(U870/1000)/100,1)</f>
        <v/>
      </c>
      <c r="J883" t="inlineStr"/>
      <c r="K883" t="inlineStr"/>
      <c r="L883" t="inlineStr"/>
      <c r="M883" t="inlineStr"/>
      <c r="N883" t="inlineStr"/>
      <c r="O883">
        <f>(1-Summary!$B$55)*T883+Summary!$B$55*V883</f>
        <v/>
      </c>
      <c r="P883">
        <f>IF(B911=0,0,O883/B911)</f>
        <v/>
      </c>
      <c r="Q883">
        <f>IFERROR(1/IF(Inputs!$B$39="pvp",15,MAX(0.1,Skills!D16-IF(Skills!E16=TRUE,Inputs!$B$32,0))),0)</f>
        <v/>
      </c>
      <c r="R883">
        <f>IF(AND(Inputs!$B$39&lt;&gt;"pvp",Inputs!$B$44&gt;0),IF(Inputs!$B$44&lt;=0,0,(INT(Inputs!$B$44/IF(Inputs!$B$39="pvp",15,MAX(0.1,Skills!D16-IF(Skills!E16=TRUE,Inputs!$B$32,0))))+1)),0)</f>
        <v/>
      </c>
      <c r="S883">
        <f>IFERROR(O883/N883,0)</f>
        <v/>
      </c>
      <c r="T883" t="n">
        <v>0</v>
      </c>
      <c r="V883" t="n">
        <v>0</v>
      </c>
    </row>
    <row r="884">
      <c r="A884">
        <f>Skills!A17</f>
        <v/>
      </c>
      <c r="B884">
        <f>Skills!B17</f>
        <v/>
      </c>
      <c r="C884">
        <f>Inputs!$B$3&gt;=115</f>
        <v/>
      </c>
      <c r="D884">
        <f>IF(Skills!C17=1,60+Inputs!$B$25+Inputs!$B$29,IF(Skills!C17=2,90+(Inputs!$B$26+1)+Inputs!$B$29,IF(Skills!C17=3,120+Inputs!$B$27+Inputs!$B$29,MAX(0,(Inputs!$B$3-100)*3)+Inputs!$B$28+Inputs!$B$29)))</f>
        <v/>
      </c>
      <c r="E884">
        <f>INDEX(FactorTable!$B$2:$Y$301, MATCH(ROUND(MIN(300,MAX(1,D884)),0), FactorTable!$A$2:$A$301,0), Skills!M17+1)</f>
        <v/>
      </c>
      <c r="F884">
        <f>IF(Skills!N17=TRUE,(Skills!L17/10)*(E884/1000),Skills!L17/10)+Skills!O17</f>
        <v/>
      </c>
      <c r="G884">
        <f>Calc!G17</f>
        <v/>
      </c>
      <c r="H884">
        <f>Calc!H17</f>
        <v/>
      </c>
      <c r="I884">
        <f>IF(Skills!AA17&lt;&gt;"",1+(Skills!AA17/10)*(U870/1000)/100,1)</f>
        <v/>
      </c>
      <c r="J884">
        <f>((Inputs!$B$6*(1+Inputs!$B$7/100))+(((Inputs!$B$12*(1+Inputs!$B$13/100))-(Inputs!$B$12*(1+Inputs!$B$13/100)))+0.25*(Inputs!$B$14-Inputs!$B$14))*(1+Inputs!$B$7/100))*(F884/100)</f>
        <v/>
      </c>
      <c r="K884">
        <f>J884*(1+((Inputs!$B$12*(1+Inputs!$B$13/100))*0.01+Inputs!$B$14*0.0025)/100)*(1+Inputs!$B$15/100)*(1+Inputs!$B$16/100)*(5000/(6000+Inputs!$B$43*(1-Inputs!$B$19/100)))*(1+(Inputs!$B$24+((C897=TRUE)*(F897-Calc!F30)))/100)*(1+Skills!R17/100)*(1+(IF(Skills!A17="SHOWDOWN",Inputs!$B$17+((C890=TRUE)*(F890-Calc!F23)),Inputs!$B$18+((C896=TRUE)*(F896-Calc!F29))))/100)*(((1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B909*I884)</f>
        <v/>
      </c>
      <c r="L884">
        <f>K884*(MIN(Inputs!$B$22+((C891=TRUE)*(F891-Calc!F24)),Inputs!$B$23)/100+Inputs!$B$23/100)/2</f>
        <v/>
      </c>
      <c r="M884">
        <f>L884*(1+(Inputs!$B$10+((C893=TRUE)*(F893-Calc!F26))+B910)/100)</f>
        <v/>
      </c>
      <c r="N884">
        <f>L884*(1-MIN((Inputs!$B$9+((C892=TRUE)*(F892-Calc!F25))+B907),100)/100)+M884*(MIN((Inputs!$B$9+((C892=TRUE)*(F892-Calc!F25))+B907),100)/100)</f>
        <v/>
      </c>
      <c r="O884">
        <f>(1-Summary!$B$55)*T884+Summary!$B$55*V884</f>
        <v/>
      </c>
      <c r="P884">
        <f>IF(B911=0,0,O884/B911)</f>
        <v/>
      </c>
      <c r="Q884" t="n">
        <v>0</v>
      </c>
      <c r="R884" t="n">
        <v>0</v>
      </c>
      <c r="S884">
        <f>IFERROR(O884/N884,0)</f>
        <v/>
      </c>
      <c r="T884">
        <f>IF(C884,(Inputs!$B$38*0.2*N884)*IF(Inputs!$B$39="pvp",1,1+(Inputs!$B$20+((C894=TRUE)*(F894-Calc!F27))+Skills!P17+B908)/100),0)</f>
        <v/>
      </c>
      <c r="V884">
        <f>IF(C884,(Inputs!$B$38*0.2*N884)*IF(Inputs!$B$39="pvp",1,(1+(Inputs!$B$21+Skills!Q17+B908)/100)*(MIN(Skills!W17,Inputs!$B$37))),0)</f>
        <v/>
      </c>
    </row>
    <row r="885">
      <c r="A885">
        <f>Skills!A18</f>
        <v/>
      </c>
      <c r="B885">
        <f>Skills!B18</f>
        <v/>
      </c>
      <c r="C885">
        <f>Inputs!$B$3&gt;=115</f>
        <v/>
      </c>
      <c r="D885">
        <f>IF(Skills!C18=1,60+Inputs!$B$25+Inputs!$B$29,IF(Skills!C18=2,90+(Inputs!$B$26+1)+Inputs!$B$29,IF(Skills!C18=3,120+Inputs!$B$27+Inputs!$B$29,MAX(0,(Inputs!$B$3-100)*3)+Inputs!$B$28+Inputs!$B$29)))</f>
        <v/>
      </c>
      <c r="E885">
        <f>INDEX(FactorTable!$B$2:$Y$301, MATCH(ROUND(MIN(300,MAX(1,D885)),0), FactorTable!$A$2:$A$301,0), Skills!M18+1)</f>
        <v/>
      </c>
      <c r="F885">
        <f>IF(Skills!N18=TRUE,(Skills!L18/10)*(E885/1000),Skills!L18/10)+Skills!O18</f>
        <v/>
      </c>
      <c r="G885">
        <f>Calc!G18</f>
        <v/>
      </c>
      <c r="H885">
        <f>Calc!H18</f>
        <v/>
      </c>
      <c r="I885">
        <f>IF(Skills!AA18&lt;&gt;"",1+(Skills!AA18/10)*(U870/1000)/100,1)</f>
        <v/>
      </c>
      <c r="J885" t="inlineStr"/>
      <c r="K885" t="inlineStr"/>
      <c r="L885" t="inlineStr"/>
      <c r="M885" t="inlineStr"/>
      <c r="N885" t="inlineStr"/>
      <c r="O885">
        <f>(1-Summary!$B$55)*T885+Summary!$B$55*V885</f>
        <v/>
      </c>
      <c r="P885">
        <f>IF(B911=0,0,O885/B911)</f>
        <v/>
      </c>
      <c r="Q885" t="n">
        <v>0</v>
      </c>
      <c r="R885" t="n">
        <v>0</v>
      </c>
      <c r="S885">
        <f>IFERROR(O885/N885,0)</f>
        <v/>
      </c>
      <c r="T885" t="n">
        <v>0</v>
      </c>
      <c r="V885" t="n">
        <v>0</v>
      </c>
    </row>
    <row r="886">
      <c r="A886">
        <f>Skills!A19</f>
        <v/>
      </c>
      <c r="B886">
        <f>Skills!B19</f>
        <v/>
      </c>
      <c r="C886">
        <f>TRUE</f>
        <v/>
      </c>
      <c r="D886">
        <f>IF(Skills!C19=1,60+Inputs!$B$25+Inputs!$B$29,IF(Skills!C19=2,90+(Inputs!$B$26+1)+Inputs!$B$29,IF(Skills!C19=3,120+Inputs!$B$27+Inputs!$B$29,MAX(0,(Inputs!$B$3-100)*3)+Inputs!$B$28+Inputs!$B$29)))</f>
        <v/>
      </c>
      <c r="E886">
        <f>INDEX(FactorTable!$B$2:$Y$301, MATCH(ROUND(MIN(300,MAX(1,D886)),0), FactorTable!$A$2:$A$301,0), Skills!M19+1)</f>
        <v/>
      </c>
      <c r="F886">
        <f>IF(Skills!N19=TRUE,(Skills!L19/10)*(E886/1000),Skills!L19/10)+Skills!O19</f>
        <v/>
      </c>
      <c r="G886">
        <f>Calc!G19</f>
        <v/>
      </c>
      <c r="H886">
        <f>Calc!H19</f>
        <v/>
      </c>
      <c r="I886">
        <f>IF(Skills!AA19&lt;&gt;"",1+(Skills!AA19/10)*(U870/1000)/100,1)</f>
        <v/>
      </c>
      <c r="J886" t="inlineStr"/>
      <c r="K886" t="inlineStr"/>
      <c r="L886" t="inlineStr"/>
      <c r="M886" t="inlineStr"/>
      <c r="N886" t="inlineStr"/>
      <c r="O886">
        <f>(1-Summary!$B$55)*T886+Summary!$B$55*V886</f>
        <v/>
      </c>
      <c r="P886">
        <f>IF(B911=0,0,O886/B911)</f>
        <v/>
      </c>
      <c r="Q886">
        <f>IFERROR(1/IF(Inputs!$B$39="pvp",15,MAX(0.1,Skills!D19-IF(Skills!E19=TRUE,Inputs!$B$32,0))),0)</f>
        <v/>
      </c>
      <c r="R886">
        <f>IF(AND(Inputs!$B$39&lt;&gt;"pvp",Inputs!$B$44&gt;0),IF(Inputs!$B$44&lt;=0,0,(INT(Inputs!$B$44/IF(Inputs!$B$39="pvp",15,MAX(0.1,Skills!D19-IF(Skills!E19=TRUE,Inputs!$B$32,0))))+1)),0)</f>
        <v/>
      </c>
      <c r="S886">
        <f>IFERROR(O886/N886,0)</f>
        <v/>
      </c>
      <c r="T886" t="n">
        <v>0</v>
      </c>
      <c r="V886" t="n">
        <v>0</v>
      </c>
    </row>
    <row r="887">
      <c r="A887">
        <f>Skills!A20</f>
        <v/>
      </c>
      <c r="B887">
        <f>Skills!B20</f>
        <v/>
      </c>
      <c r="C887">
        <f>Inputs!$B$3&gt;=15</f>
        <v/>
      </c>
      <c r="D887">
        <f>IF(Skills!C20=1,60+Inputs!$B$25+Inputs!$B$29,IF(Skills!C20=2,90+(Inputs!$B$26+1)+Inputs!$B$29,IF(Skills!C20=3,120+Inputs!$B$27+Inputs!$B$29,MAX(0,(Inputs!$B$3-100)*3)+Inputs!$B$28+Inputs!$B$29)))</f>
        <v/>
      </c>
      <c r="E887">
        <f>INDEX(FactorTable!$B$2:$Y$301, MATCH(ROUND(MIN(300,MAX(1,D887)),0), FactorTable!$A$2:$A$301,0), Skills!M20+1)</f>
        <v/>
      </c>
      <c r="F887">
        <f>IF(Skills!N20=TRUE,(Skills!L20/10)*(E887/1000),Skills!L20/10)+Skills!O20</f>
        <v/>
      </c>
      <c r="G887">
        <f>Calc!G20</f>
        <v/>
      </c>
      <c r="H887">
        <f>Calc!H20</f>
        <v/>
      </c>
      <c r="I887">
        <f>IF(Skills!AA20&lt;&gt;"",1+(Skills!AA20/10)*(U870/1000)/100,1)</f>
        <v/>
      </c>
      <c r="J887" t="inlineStr"/>
      <c r="K887" t="inlineStr"/>
      <c r="L887" t="inlineStr"/>
      <c r="M887" t="inlineStr"/>
      <c r="N887" t="inlineStr"/>
      <c r="O887">
        <f>(1-Summary!$B$55)*T887+Summary!$B$55*V887</f>
        <v/>
      </c>
      <c r="P887">
        <f>IF(B911=0,0,O887/B911)</f>
        <v/>
      </c>
      <c r="Q887">
        <f>IFERROR(1/IF(Inputs!$B$39="pvp",15,MAX(0.1,Skills!D20-IF(Skills!E20=TRUE,Inputs!$B$32,0))),0)</f>
        <v/>
      </c>
      <c r="R887">
        <f>IF(AND(Inputs!$B$39&lt;&gt;"pvp",Inputs!$B$44&gt;0),IF(Inputs!$B$44&lt;=0,0,(INT(Inputs!$B$44/IF(Inputs!$B$39="pvp",15,MAX(0.1,Skills!D20-IF(Skills!E20=TRUE,Inputs!$B$32,0))))+1)),0)</f>
        <v/>
      </c>
      <c r="S887">
        <f>IFERROR(O887/N887,0)</f>
        <v/>
      </c>
      <c r="T887" t="n">
        <v>0</v>
      </c>
      <c r="V887" t="n">
        <v>0</v>
      </c>
    </row>
    <row r="888">
      <c r="A888">
        <f>Skills!A21</f>
        <v/>
      </c>
      <c r="B888">
        <f>Skills!B21</f>
        <v/>
      </c>
      <c r="C888">
        <f>Inputs!$B$3&gt;=15</f>
        <v/>
      </c>
      <c r="D888">
        <f>IF(Skills!C21=1,60+Inputs!$B$25+Inputs!$B$29,IF(Skills!C21=2,90+(Inputs!$B$26+1)+Inputs!$B$29,IF(Skills!C21=3,120+Inputs!$B$27+Inputs!$B$29,MAX(0,(Inputs!$B$3-100)*3)+Inputs!$B$28+Inputs!$B$29)))</f>
        <v/>
      </c>
      <c r="E888">
        <f>INDEX(FactorTable!$B$2:$Y$301, MATCH(ROUND(MIN(300,MAX(1,D888)),0), FactorTable!$A$2:$A$301,0), Skills!M21+1)</f>
        <v/>
      </c>
      <c r="F888">
        <f>IF(Skills!N21=TRUE,(Skills!L21/10)*(E888/1000),Skills!L21/10)+Skills!O21</f>
        <v/>
      </c>
      <c r="G888">
        <f>Calc!G21</f>
        <v/>
      </c>
      <c r="H888">
        <f>Calc!H21</f>
        <v/>
      </c>
      <c r="I888">
        <f>IF(Skills!AA21&lt;&gt;"",1+(Skills!AA21/10)*(U870/1000)/100,1)</f>
        <v/>
      </c>
      <c r="J888" t="inlineStr"/>
      <c r="K888" t="inlineStr"/>
      <c r="L888" t="inlineStr"/>
      <c r="M888" t="inlineStr"/>
      <c r="N888" t="inlineStr"/>
      <c r="O888">
        <f>(1-Summary!$B$55)*T888+Summary!$B$55*V888</f>
        <v/>
      </c>
      <c r="P888">
        <f>IF(B911=0,0,O888/B911)</f>
        <v/>
      </c>
      <c r="Q888">
        <f>IFERROR(1/IF(Inputs!$B$39="pvp",15,MAX(0.1,Skills!D21-IF(Skills!E21=TRUE,Inputs!$B$32,0))),0)</f>
        <v/>
      </c>
      <c r="R888">
        <f>IF(AND(Inputs!$B$39&lt;&gt;"pvp",Inputs!$B$44&gt;0),IF(Inputs!$B$44&lt;=0,0,(INT(Inputs!$B$44/IF(Inputs!$B$39="pvp",15,MAX(0.1,Skills!D21-IF(Skills!E21=TRUE,Inputs!$B$32,0))))+1)),0)</f>
        <v/>
      </c>
      <c r="S888">
        <f>IFERROR(O888/N888,0)</f>
        <v/>
      </c>
      <c r="T888" t="n">
        <v>0</v>
      </c>
      <c r="V888" t="n">
        <v>0</v>
      </c>
    </row>
    <row r="889">
      <c r="A889">
        <f>Skills!A22</f>
        <v/>
      </c>
      <c r="B889">
        <f>Skills!B22</f>
        <v/>
      </c>
      <c r="C889">
        <f>Inputs!$B$3&gt;=33</f>
        <v/>
      </c>
      <c r="D889">
        <f>IF(Skills!C22=1,60+Inputs!$B$25+Inputs!$B$29,IF(Skills!C22=2,90+(Inputs!$B$26+1)+Inputs!$B$29,IF(Skills!C22=3,120+Inputs!$B$27+Inputs!$B$29,MAX(0,(Inputs!$B$3-100)*3)+Inputs!$B$28+Inputs!$B$29)))</f>
        <v/>
      </c>
      <c r="E889">
        <f>INDEX(FactorTable!$B$2:$Y$301, MATCH(ROUND(MIN(300,MAX(1,D889)),0), FactorTable!$A$2:$A$301,0), Skills!M22+1)</f>
        <v/>
      </c>
      <c r="F889">
        <f>IF(Skills!N22=TRUE,(Skills!L22/10)*(E889/1000),Skills!L22/10)+Skills!O22</f>
        <v/>
      </c>
      <c r="G889">
        <f>Calc!G22</f>
        <v/>
      </c>
      <c r="H889">
        <f>Calc!H22</f>
        <v/>
      </c>
      <c r="I889">
        <f>IF(Skills!AA22&lt;&gt;"",1+(Skills!AA22/10)*(U870/1000)/100,1)</f>
        <v/>
      </c>
      <c r="J889" t="inlineStr"/>
      <c r="K889" t="inlineStr"/>
      <c r="L889" t="inlineStr"/>
      <c r="M889" t="inlineStr"/>
      <c r="N889" t="inlineStr"/>
      <c r="O889">
        <f>(1-Summary!$B$55)*T889+Summary!$B$55*V889</f>
        <v/>
      </c>
      <c r="P889">
        <f>IF(B911=0,0,O889/B911)</f>
        <v/>
      </c>
      <c r="Q889" t="n">
        <v>0</v>
      </c>
      <c r="R889" t="n">
        <v>0</v>
      </c>
      <c r="S889">
        <f>IFERROR(O889/N889,0)</f>
        <v/>
      </c>
      <c r="T889" t="n">
        <v>0</v>
      </c>
      <c r="V889" t="n">
        <v>0</v>
      </c>
    </row>
    <row r="890">
      <c r="A890">
        <f>Skills!A23</f>
        <v/>
      </c>
      <c r="B890">
        <f>Skills!B23</f>
        <v/>
      </c>
      <c r="C890">
        <f>Inputs!$B$3&gt;=38</f>
        <v/>
      </c>
      <c r="D890">
        <f>IF(Skills!C23=1,60+Inputs!$B$25+Inputs!$B$29,IF(Skills!C23=2,90+(Inputs!$B$26+1)+Inputs!$B$29,IF(Skills!C23=3,120+Inputs!$B$27+Inputs!$B$29,MAX(0,(Inputs!$B$3-100)*3)+Inputs!$B$28+Inputs!$B$29)))</f>
        <v/>
      </c>
      <c r="E890">
        <f>INDEX(FactorTable!$B$2:$Y$301, MATCH(ROUND(MIN(300,MAX(1,D890)),0), FactorTable!$A$2:$A$301,0), Skills!M23+1)</f>
        <v/>
      </c>
      <c r="F890">
        <f>IF(Skills!N23=TRUE,(Skills!L23/10)*(E890/1000),Skills!L23/10)+Skills!O23</f>
        <v/>
      </c>
      <c r="G890">
        <f>Calc!G23</f>
        <v/>
      </c>
      <c r="H890">
        <f>Calc!H23</f>
        <v/>
      </c>
      <c r="I890">
        <f>IF(Skills!AA23&lt;&gt;"",1+(Skills!AA23/10)*(U870/1000)/100,1)</f>
        <v/>
      </c>
      <c r="J890" t="inlineStr"/>
      <c r="K890" t="inlineStr"/>
      <c r="L890" t="inlineStr"/>
      <c r="M890" t="inlineStr"/>
      <c r="N890" t="inlineStr"/>
      <c r="O890">
        <f>(1-Summary!$B$55)*T890+Summary!$B$55*V890</f>
        <v/>
      </c>
      <c r="P890">
        <f>IF(B911=0,0,O890/B911)</f>
        <v/>
      </c>
      <c r="Q890" t="n">
        <v>0</v>
      </c>
      <c r="R890" t="n">
        <v>0</v>
      </c>
      <c r="S890">
        <f>IFERROR(O890/N890,0)</f>
        <v/>
      </c>
      <c r="T890" t="n">
        <v>0</v>
      </c>
      <c r="V890" t="n">
        <v>0</v>
      </c>
    </row>
    <row r="891">
      <c r="A891">
        <f>Skills!A24</f>
        <v/>
      </c>
      <c r="B891">
        <f>Skills!B24</f>
        <v/>
      </c>
      <c r="C891">
        <f>Inputs!$B$3&gt;=40</f>
        <v/>
      </c>
      <c r="D891">
        <f>IF(Skills!C24=1,60+Inputs!$B$25+Inputs!$B$29,IF(Skills!C24=2,90+(Inputs!$B$26+1)+Inputs!$B$29,IF(Skills!C24=3,120+Inputs!$B$27+Inputs!$B$29,MAX(0,(Inputs!$B$3-100)*3)+Inputs!$B$28+Inputs!$B$29)))</f>
        <v/>
      </c>
      <c r="E891">
        <f>INDEX(FactorTable!$B$2:$Y$301, MATCH(ROUND(MIN(300,MAX(1,D891)),0), FactorTable!$A$2:$A$301,0), Skills!M24+1)</f>
        <v/>
      </c>
      <c r="F891">
        <f>IF(Skills!N24=TRUE,(Skills!L24/10)*(E891/1000),Skills!L24/10)+Skills!O24</f>
        <v/>
      </c>
      <c r="G891">
        <f>Calc!G24</f>
        <v/>
      </c>
      <c r="H891">
        <f>Calc!H24</f>
        <v/>
      </c>
      <c r="I891">
        <f>IF(Skills!AA24&lt;&gt;"",1+(Skills!AA24/10)*(U870/1000)/100,1)</f>
        <v/>
      </c>
      <c r="J891" t="inlineStr"/>
      <c r="K891" t="inlineStr"/>
      <c r="L891" t="inlineStr"/>
      <c r="M891" t="inlineStr"/>
      <c r="N891" t="inlineStr"/>
      <c r="O891">
        <f>(1-Summary!$B$55)*T891+Summary!$B$55*V891</f>
        <v/>
      </c>
      <c r="P891">
        <f>IF(B911=0,0,O891/B911)</f>
        <v/>
      </c>
      <c r="Q891" t="n">
        <v>0</v>
      </c>
      <c r="R891" t="n">
        <v>0</v>
      </c>
      <c r="S891">
        <f>IFERROR(O891/N891,0)</f>
        <v/>
      </c>
      <c r="T891" t="n">
        <v>0</v>
      </c>
      <c r="V891" t="n">
        <v>0</v>
      </c>
    </row>
    <row r="892">
      <c r="A892">
        <f>Skills!A25</f>
        <v/>
      </c>
      <c r="B892">
        <f>Skills!B25</f>
        <v/>
      </c>
      <c r="C892">
        <f>Inputs!$B$3&gt;=45</f>
        <v/>
      </c>
      <c r="D892">
        <f>IF(Skills!C25=1,60+Inputs!$B$25+Inputs!$B$29,IF(Skills!C25=2,90+(Inputs!$B$26+1)+Inputs!$B$29,IF(Skills!C25=3,120+Inputs!$B$27+Inputs!$B$29,MAX(0,(Inputs!$B$3-100)*3)+Inputs!$B$28+Inputs!$B$29)))</f>
        <v/>
      </c>
      <c r="E892">
        <f>INDEX(FactorTable!$B$2:$Y$301, MATCH(ROUND(MIN(300,MAX(1,D892)),0), FactorTable!$A$2:$A$301,0), Skills!M25+1)</f>
        <v/>
      </c>
      <c r="F892">
        <f>IF(Skills!N25=TRUE,(Skills!L25/10)*(E892/1000),Skills!L25/10)+Skills!O25</f>
        <v/>
      </c>
      <c r="G892">
        <f>Calc!G25</f>
        <v/>
      </c>
      <c r="H892">
        <f>Calc!H25</f>
        <v/>
      </c>
      <c r="I892">
        <f>IF(Skills!AA25&lt;&gt;"",1+(Skills!AA25/10)*(U870/1000)/100,1)</f>
        <v/>
      </c>
      <c r="J892" t="inlineStr"/>
      <c r="K892" t="inlineStr"/>
      <c r="L892" t="inlineStr"/>
      <c r="M892" t="inlineStr"/>
      <c r="N892" t="inlineStr"/>
      <c r="O892">
        <f>(1-Summary!$B$55)*T892+Summary!$B$55*V892</f>
        <v/>
      </c>
      <c r="P892">
        <f>IF(B911=0,0,O892/B911)</f>
        <v/>
      </c>
      <c r="Q892" t="n">
        <v>0</v>
      </c>
      <c r="R892" t="n">
        <v>0</v>
      </c>
      <c r="S892">
        <f>IFERROR(O892/N892,0)</f>
        <v/>
      </c>
      <c r="T892" t="n">
        <v>0</v>
      </c>
      <c r="V892" t="n">
        <v>0</v>
      </c>
    </row>
    <row r="893">
      <c r="A893">
        <f>Skills!A26</f>
        <v/>
      </c>
      <c r="B893">
        <f>Skills!B26</f>
        <v/>
      </c>
      <c r="C893">
        <f>Inputs!$B$3&gt;=45</f>
        <v/>
      </c>
      <c r="D893">
        <f>IF(Skills!C26=1,60+Inputs!$B$25+Inputs!$B$29,IF(Skills!C26=2,90+(Inputs!$B$26+1)+Inputs!$B$29,IF(Skills!C26=3,120+Inputs!$B$27+Inputs!$B$29,MAX(0,(Inputs!$B$3-100)*3)+Inputs!$B$28+Inputs!$B$29)))</f>
        <v/>
      </c>
      <c r="E893">
        <f>INDEX(FactorTable!$B$2:$Y$301, MATCH(ROUND(MIN(300,MAX(1,D893)),0), FactorTable!$A$2:$A$301,0), Skills!M26+1)</f>
        <v/>
      </c>
      <c r="F893">
        <f>IF(Skills!N26=TRUE,(Skills!L26/10)*(E893/1000),Skills!L26/10)+Skills!O26</f>
        <v/>
      </c>
      <c r="G893">
        <f>Calc!G26</f>
        <v/>
      </c>
      <c r="H893">
        <f>Calc!H26</f>
        <v/>
      </c>
      <c r="I893">
        <f>IF(Skills!AA26&lt;&gt;"",1+(Skills!AA26/10)*(U870/1000)/100,1)</f>
        <v/>
      </c>
      <c r="J893" t="inlineStr"/>
      <c r="K893" t="inlineStr"/>
      <c r="L893" t="inlineStr"/>
      <c r="M893" t="inlineStr"/>
      <c r="N893" t="inlineStr"/>
      <c r="O893">
        <f>(1-Summary!$B$55)*T893+Summary!$B$55*V893</f>
        <v/>
      </c>
      <c r="P893">
        <f>IF(B911=0,0,O893/B911)</f>
        <v/>
      </c>
      <c r="Q893" t="n">
        <v>0</v>
      </c>
      <c r="R893" t="n">
        <v>0</v>
      </c>
      <c r="S893">
        <f>IFERROR(O893/N893,0)</f>
        <v/>
      </c>
      <c r="T893" t="n">
        <v>0</v>
      </c>
      <c r="V893" t="n">
        <v>0</v>
      </c>
    </row>
    <row r="894">
      <c r="A894">
        <f>Skills!A27</f>
        <v/>
      </c>
      <c r="B894">
        <f>Skills!B27</f>
        <v/>
      </c>
      <c r="C894">
        <f>Inputs!$B$3&gt;=72</f>
        <v/>
      </c>
      <c r="D894">
        <f>IF(Skills!C27=1,60+Inputs!$B$25+Inputs!$B$29,IF(Skills!C27=2,90+(Inputs!$B$26+1)+Inputs!$B$29,IF(Skills!C27=3,120+Inputs!$B$27+Inputs!$B$29,MAX(0,(Inputs!$B$3-100)*3)+Inputs!$B$28+Inputs!$B$29)))</f>
        <v/>
      </c>
      <c r="E894">
        <f>INDEX(FactorTable!$B$2:$Y$301, MATCH(ROUND(MIN(300,MAX(1,D894)),0), FactorTable!$A$2:$A$301,0), Skills!M27+1)</f>
        <v/>
      </c>
      <c r="F894">
        <f>IF(Skills!N27=TRUE,(Skills!L27/10)*(E894/1000),Skills!L27/10)+Skills!O27</f>
        <v/>
      </c>
      <c r="G894">
        <f>Calc!G27</f>
        <v/>
      </c>
      <c r="H894">
        <f>Calc!H27</f>
        <v/>
      </c>
      <c r="I894">
        <f>IF(Skills!AA27&lt;&gt;"",1+(Skills!AA27/10)*(U870/1000)/100,1)</f>
        <v/>
      </c>
      <c r="J894" t="inlineStr"/>
      <c r="K894" t="inlineStr"/>
      <c r="L894" t="inlineStr"/>
      <c r="M894" t="inlineStr"/>
      <c r="N894" t="inlineStr"/>
      <c r="O894">
        <f>(1-Summary!$B$55)*T894+Summary!$B$55*V894</f>
        <v/>
      </c>
      <c r="P894">
        <f>IF(B911=0,0,O894/B911)</f>
        <v/>
      </c>
      <c r="Q894" t="n">
        <v>0</v>
      </c>
      <c r="R894" t="n">
        <v>0</v>
      </c>
      <c r="S894">
        <f>IFERROR(O894/N894,0)</f>
        <v/>
      </c>
      <c r="T894" t="n">
        <v>0</v>
      </c>
      <c r="V894" t="n">
        <v>0</v>
      </c>
    </row>
    <row r="895">
      <c r="A895">
        <f>Skills!A28</f>
        <v/>
      </c>
      <c r="B895">
        <f>Skills!B28</f>
        <v/>
      </c>
      <c r="C895">
        <f>Inputs!$B$3&gt;=75</f>
        <v/>
      </c>
      <c r="D895">
        <f>IF(Skills!C28=1,60+Inputs!$B$25+Inputs!$B$29,IF(Skills!C28=2,90+(Inputs!$B$26+1)+Inputs!$B$29,IF(Skills!C28=3,120+Inputs!$B$27+Inputs!$B$29,MAX(0,(Inputs!$B$3-100)*3)+Inputs!$B$28+Inputs!$B$29)))</f>
        <v/>
      </c>
      <c r="E895">
        <f>INDEX(FactorTable!$B$2:$Y$301, MATCH(ROUND(MIN(300,MAX(1,D895)),0), FactorTable!$A$2:$A$301,0), Skills!M28+1)</f>
        <v/>
      </c>
      <c r="F895">
        <f>IF(Skills!N28=TRUE,(Skills!L28/10)*(E895/1000),Skills!L28/10)+Skills!O28</f>
        <v/>
      </c>
      <c r="G895">
        <f>Calc!G28</f>
        <v/>
      </c>
      <c r="H895">
        <f>Calc!H28</f>
        <v/>
      </c>
      <c r="I895">
        <f>IF(Skills!AA28&lt;&gt;"",1+(Skills!AA28/10)*(U870/1000)/100,1)</f>
        <v/>
      </c>
      <c r="J895" t="inlineStr"/>
      <c r="K895" t="inlineStr"/>
      <c r="L895" t="inlineStr"/>
      <c r="M895" t="inlineStr"/>
      <c r="N895" t="inlineStr"/>
      <c r="O895">
        <f>(1-Summary!$B$55)*T895+Summary!$B$55*V895</f>
        <v/>
      </c>
      <c r="P895">
        <f>IF(B911=0,0,O895/B911)</f>
        <v/>
      </c>
      <c r="Q895" t="n">
        <v>0</v>
      </c>
      <c r="R895" t="n">
        <v>0</v>
      </c>
      <c r="S895">
        <f>IFERROR(O895/N895,0)</f>
        <v/>
      </c>
      <c r="T895" t="n">
        <v>0</v>
      </c>
      <c r="V895" t="n">
        <v>0</v>
      </c>
    </row>
    <row r="896">
      <c r="A896">
        <f>Skills!A29</f>
        <v/>
      </c>
      <c r="B896">
        <f>Skills!B29</f>
        <v/>
      </c>
      <c r="C896">
        <f>Inputs!$B$3&gt;=120</f>
        <v/>
      </c>
      <c r="D896">
        <f>IF(Skills!C29=1,60+Inputs!$B$25+Inputs!$B$29,IF(Skills!C29=2,90+(Inputs!$B$26+1)+Inputs!$B$29,IF(Skills!C29=3,120+Inputs!$B$27+Inputs!$B$29,MAX(0,(Inputs!$B$3-100)*3)+Inputs!$B$28+Inputs!$B$29)))</f>
        <v/>
      </c>
      <c r="E896">
        <f>INDEX(FactorTable!$B$2:$Y$301, MATCH(ROUND(MIN(300,MAX(1,D896)),0), FactorTable!$A$2:$A$301,0), Skills!M29+1)</f>
        <v/>
      </c>
      <c r="F896">
        <f>IF(Skills!N29=TRUE,(Skills!L29/10)*(E896/1000),Skills!L29/10)+Skills!O29</f>
        <v/>
      </c>
      <c r="G896">
        <f>Calc!G29</f>
        <v/>
      </c>
      <c r="H896">
        <f>Calc!H29</f>
        <v/>
      </c>
      <c r="I896">
        <f>IF(Skills!AA29&lt;&gt;"",1+(Skills!AA29/10)*(U870/1000)/100,1)</f>
        <v/>
      </c>
      <c r="J896" t="inlineStr"/>
      <c r="K896" t="inlineStr"/>
      <c r="L896" t="inlineStr"/>
      <c r="M896" t="inlineStr"/>
      <c r="N896" t="inlineStr"/>
      <c r="O896">
        <f>(1-Summary!$B$55)*T896+Summary!$B$55*V896</f>
        <v/>
      </c>
      <c r="P896">
        <f>IF(B911=0,0,O896/B911)</f>
        <v/>
      </c>
      <c r="Q896" t="n">
        <v>0</v>
      </c>
      <c r="R896" t="n">
        <v>0</v>
      </c>
      <c r="S896">
        <f>IFERROR(O896/N896,0)</f>
        <v/>
      </c>
      <c r="T896" t="n">
        <v>0</v>
      </c>
      <c r="V896" t="n">
        <v>0</v>
      </c>
    </row>
    <row r="897">
      <c r="A897">
        <f>Skills!A30</f>
        <v/>
      </c>
      <c r="B897">
        <f>Skills!B30</f>
        <v/>
      </c>
      <c r="C897">
        <f>Inputs!$B$3&gt;=125</f>
        <v/>
      </c>
      <c r="D897">
        <f>IF(Skills!C30=1,60+Inputs!$B$25+Inputs!$B$29,IF(Skills!C30=2,90+(Inputs!$B$26+1)+Inputs!$B$29,IF(Skills!C30=3,120+Inputs!$B$27+Inputs!$B$29,MAX(0,(Inputs!$B$3-100)*3)+Inputs!$B$28+Inputs!$B$29)))</f>
        <v/>
      </c>
      <c r="E897">
        <f>INDEX(FactorTable!$B$2:$Y$301, MATCH(ROUND(MIN(300,MAX(1,D897)),0), FactorTable!$A$2:$A$301,0), Skills!M30+1)</f>
        <v/>
      </c>
      <c r="F897">
        <f>IF(Skills!N30=TRUE,(Skills!L30/10)*(E897/1000),Skills!L30/10)+Skills!O30</f>
        <v/>
      </c>
      <c r="G897">
        <f>Calc!G30</f>
        <v/>
      </c>
      <c r="H897">
        <f>Calc!H30</f>
        <v/>
      </c>
      <c r="I897">
        <f>IF(Skills!AA30&lt;&gt;"",1+(Skills!AA30/10)*(U870/1000)/100,1)</f>
        <v/>
      </c>
      <c r="J897" t="inlineStr"/>
      <c r="K897" t="inlineStr"/>
      <c r="L897" t="inlineStr"/>
      <c r="M897" t="inlineStr"/>
      <c r="N897" t="inlineStr"/>
      <c r="O897">
        <f>(1-Summary!$B$55)*T897+Summary!$B$55*V897</f>
        <v/>
      </c>
      <c r="P897">
        <f>IF(B911=0,0,O897/B911)</f>
        <v/>
      </c>
      <c r="Q897" t="n">
        <v>0</v>
      </c>
      <c r="R897" t="n">
        <v>0</v>
      </c>
      <c r="S897">
        <f>IFERROR(O897/N897,0)</f>
        <v/>
      </c>
      <c r="T897" t="n">
        <v>0</v>
      </c>
      <c r="V897" t="n">
        <v>0</v>
      </c>
    </row>
    <row r="898">
      <c r="A898">
        <f>Skills!A31</f>
        <v/>
      </c>
      <c r="B898">
        <f>Skills!B31</f>
        <v/>
      </c>
      <c r="C898">
        <f>Inputs!$B$3&gt;=107</f>
        <v/>
      </c>
      <c r="D898">
        <f>IF(Skills!C31=1,60+Inputs!$B$25+Inputs!$B$29,IF(Skills!C31=2,90+(Inputs!$B$26+1)+Inputs!$B$29,IF(Skills!C31=3,120+Inputs!$B$27+Inputs!$B$29,MAX(0,(Inputs!$B$3-100)*3)+Inputs!$B$28+Inputs!$B$29)))</f>
        <v/>
      </c>
      <c r="E898">
        <f>INDEX(FactorTable!$B$2:$Y$301, MATCH(ROUND(MIN(300,MAX(1,D898)),0), FactorTable!$A$2:$A$301,0), Skills!M31+1)</f>
        <v/>
      </c>
      <c r="F898">
        <f>IF(Skills!N31=TRUE,(Skills!L31/10)*(E898/1000),Skills!L31/10)+Skills!O31</f>
        <v/>
      </c>
      <c r="G898">
        <f>Calc!G31</f>
        <v/>
      </c>
      <c r="H898">
        <f>Calc!H31</f>
        <v/>
      </c>
      <c r="I898">
        <f>IF(Skills!AA31&lt;&gt;"",1+(Skills!AA31/10)*(U870/1000)/100,1)</f>
        <v/>
      </c>
      <c r="J898" t="inlineStr"/>
      <c r="K898" t="inlineStr"/>
      <c r="L898" t="inlineStr"/>
      <c r="M898" t="inlineStr"/>
      <c r="N898" t="inlineStr"/>
      <c r="O898">
        <f>(1-Summary!$B$55)*T898+Summary!$B$55*V898</f>
        <v/>
      </c>
      <c r="P898">
        <f>IF(B911=0,0,O898/B911)</f>
        <v/>
      </c>
      <c r="Q898" t="n">
        <v>0</v>
      </c>
      <c r="R898" t="n">
        <v>0</v>
      </c>
      <c r="S898">
        <f>IFERROR(O898/N898,0)</f>
        <v/>
      </c>
      <c r="T898" t="n">
        <v>0</v>
      </c>
      <c r="V898" t="n">
        <v>0</v>
      </c>
    </row>
    <row r="900">
      <c r="A900" t="inlineStr">
        <is>
          <t>Actions Per Second (pre-Adrenalin)</t>
        </is>
      </c>
      <c r="B900">
        <f>1+MIN(150,150*(1-(1-(Inputs!$B$11+((C889=TRUE)*(F889-Calc!F22)))/150)*(1-((C886=TRUE)*F886*IF(AND(Inputs!$B$39&lt;&gt;"pvp",Inputs!$B$44&gt;0),(((R886-1)*(Skills!Y19*(1+Inputs!$B$34/100))+MIN((Skills!Y19*(1+Inputs!$B$34/100)),MAX(0,Inputs!$B$44-((R886-1)*Skills!D19))))/Inputs!$B$44),IF(Inputs!$B$39="pvp",MIN((Skills!Y19*(1+Inputs!$B$34/100)),15)/15,(Skills!Y19*(1+Inputs!$B$34/100))/Skills!D19)))/150)))/100</f>
        <v/>
      </c>
    </row>
    <row r="901">
      <c r="A901" t="inlineStr">
        <is>
          <t>Alchemic Adrenaline Uptime</t>
        </is>
      </c>
      <c r="B901">
        <f>(Skills!Y6*(1+Inputs!$B$34/100))/((Skills!Y6*(1+Inputs!$B$34/100))+(5/B900))</f>
        <v/>
      </c>
    </row>
    <row r="902">
      <c r="A902" t="inlineStr">
        <is>
          <t>Attack Speed Buff Bonus %</t>
        </is>
      </c>
      <c r="B902">
        <f>((C886=TRUE)*F886*IF(AND(Inputs!$B$39&lt;&gt;"pvp",Inputs!$B$44&gt;0),(((R886-1)*(Skills!Y19*(1+Inputs!$B$34/100))+MIN((Skills!Y19*(1+Inputs!$B$34/100)),MAX(0,Inputs!$B$44-((R886-1)*Skills!D19))))/Inputs!$B$44),IF(Inputs!$B$39="pvp",MIN((Skills!Y19*(1+Inputs!$B$34/100)),15)/15,(Skills!Y19*(1+Inputs!$B$34/100))/Skills!D19)))+((C874=TRUE)*F874*B901)</f>
        <v/>
      </c>
    </row>
    <row r="903">
      <c r="A903" t="inlineStr">
        <is>
          <t>Actions Per Second (final)</t>
        </is>
      </c>
      <c r="B903">
        <f>1+MIN(150,150*(1-(1-(Inputs!$B$11+((C889=TRUE)*(F889-Calc!F22)))/150)*(1-B902/150)))/100</f>
        <v/>
      </c>
    </row>
    <row r="904">
      <c r="A904" t="inlineStr">
        <is>
          <t>Skill + Buff Cast Rate</t>
        </is>
      </c>
      <c r="B904">
        <f>IF(AND(Inputs!$B$39&lt;&gt;"pvp",Inputs!$B$44&gt;0),SUMPRODUCT((Skills!E2:E31=TRUE)*(C869:C898=TRUE)*R869:R898*Skills!F2:F31)/Inputs!$B$44,SUMPRODUCT((Skills!E2:E31=TRUE)*(C869:C898=TRUE)*Q869:Q898*Skills!F2:F31))</f>
        <v/>
      </c>
    </row>
    <row r="905">
      <c r="A905" t="inlineStr">
        <is>
          <t>Showdown Casts Per Second</t>
        </is>
      </c>
      <c r="B905">
        <f>MAX(0,B903-B904)</f>
        <v/>
      </c>
    </row>
    <row r="906">
      <c r="A906" t="inlineStr">
        <is>
          <t>Average Buff Multiplier</t>
        </is>
      </c>
      <c r="B906">
        <f>(1+(((C888=TRUE)*F888*IF(AND(Inputs!$B$39&lt;&gt;"pvp",Inputs!$B$44&gt;0),(((R888-1)*(Skills!Y21*(1+Inputs!$B$34/100))+MIN((Skills!Y21*(1+Inputs!$B$34/100)),MAX(0,Inputs!$B$44-((R888-1)*Skills!D21))))/Inputs!$B$44),IF(Inputs!$B$39="pvp",MIN((Skills!Y21*(1+Inputs!$B$34/100)),15)/15,(Skills!Y21*(1+Inputs!$B$34/100))/Skills!D21)))+((C895=TRUE)*(F895-Calc!F28))+((C885=TRUE)*(F885-Calc!F18)))/100)*(1+((C882=TRUE)*F882*IF(AND(Inputs!$B$39&lt;&gt;"pvp",Inputs!$B$44&gt;0),(((R882-1)*(Skills!Y15*(1+Inputs!$B$34/100))+MIN((Skills!Y15*(1+Inputs!$B$34/100)),MAX(0,Inputs!$B$44-((R882-1)*Skills!D15))))/Inputs!$B$44),IF(Inputs!$B$39="pvp",MIN((Skills!Y15*(1+Inputs!$B$34/100)),15)/15,(Skills!Y15*(1+Inputs!$B$34/100))/Skills!D15)))/100)*(1+((C873=TRUE)*F873*B901)/100)</f>
        <v/>
      </c>
    </row>
    <row r="907">
      <c r="A907" t="inlineStr">
        <is>
          <t>Global Crit Rate Bonus %</t>
        </is>
      </c>
      <c r="B907">
        <f>IF(Inputs!$B$3&gt;=47,8,0)+((C887=TRUE)*F887*IF(AND(Inputs!$B$39&lt;&gt;"pvp",Inputs!$B$44&gt;0),(((R887-1)*(Skills!Y20*(1+Inputs!$B$34/100))+MIN((Skills!Y20*(1+Inputs!$B$34/100)),MAX(0,Inputs!$B$44-((R887-1)*Skills!D20))))/Inputs!$B$44),IF(Inputs!$B$39="pvp",MIN((Skills!Y20*(1+Inputs!$B$34/100)),15)/15,(Skills!Y20*(1+Inputs!$B$34/100))/Skills!D20)))</f>
        <v/>
      </c>
    </row>
    <row r="908">
      <c r="A908" t="inlineStr">
        <is>
          <t>Global Monster Damage-Taken Bonus %</t>
        </is>
      </c>
      <c r="B908">
        <f>IF(Inputs!$B$3&gt;=82,15,0)+((C883=TRUE)*F883*IF(AND(Inputs!$B$39&lt;&gt;"pvp",Inputs!$B$44&gt;0),(((R883-1)*(Skills!Y16*(1+Inputs!$B$34/100))+MIN((Skills!Y16*(1+Inputs!$B$34/100)),MAX(0,Inputs!$B$44-((R883-1)*Skills!D16))))/Inputs!$B$44),IF(Inputs!$B$39="pvp",MIN((Skills!Y16*(1+Inputs!$B$34/100)),15)/15,(Skills!Y16*(1+Inputs!$B$34/100))/Skills!D16)))</f>
        <v/>
      </c>
    </row>
    <row r="909">
      <c r="A909" t="inlineStr">
        <is>
          <t>Shadow Partner Average Multiplier</t>
        </is>
      </c>
      <c r="B909">
        <f>1+((C878=TRUE)*F878*I878*Skills!J11/100)/100</f>
        <v/>
      </c>
    </row>
    <row r="910">
      <c r="A910" t="inlineStr">
        <is>
          <t>Global Critical Damage Bonus % (Frailty Curse Mastery Lv.111)</t>
        </is>
      </c>
      <c r="B910">
        <f>IF(Inputs!$B$3&gt;=111,30,0)*IF(AND(Inputs!$B$39&lt;&gt;"pvp",Inputs!$B$44&gt;0),(((R883-1)*(Skills!Y16*(1+Inputs!$B$34/100))+MIN((Skills!Y16*(1+Inputs!$B$34/100)),MAX(0,Inputs!$B$44-((R883-1)*Skills!D16))))/Inputs!$B$44),IF(Inputs!$B$39="pvp",MIN((Skills!Y16*(1+Inputs!$B$34/100)),15)/15,(Skills!Y16*(1+Inputs!$B$34/100))/Skills!D16))</f>
        <v/>
      </c>
    </row>
    <row r="911">
      <c r="A911" s="5" t="inlineStr">
        <is>
          <t>TOTAL DPS</t>
        </is>
      </c>
      <c r="B911" s="5">
        <f>SUM(O869:O898)</f>
        <v/>
      </c>
    </row>
    <row r="912">
      <c r="A912" t="inlineStr">
        <is>
          <t>Buff-Casting Startup Delay (s, fixed-duration only)</t>
        </is>
      </c>
      <c r="B912">
        <f>IF(AND(Inputs!$B$39&lt;&gt;"pvp",Inputs!$B$44&gt;0),SUMPRODUCT((Skills!Y2:Y31&gt;0)*(Skills!E2:E31=TRUE)*(C869:C898=TRUE))/B903,0)</f>
        <v/>
      </c>
    </row>
    <row r="913">
      <c r="A913" t="inlineStr">
        <is>
          <t>Boss-Only Total DPS (this block's swept value)</t>
        </is>
      </c>
      <c r="B913">
        <f>SUM(T869:T898)</f>
        <v/>
      </c>
    </row>
    <row r="914">
      <c r="A914" t="inlineStr">
        <is>
          <t>Normal-Only Total DPS (this block's swept value)</t>
        </is>
      </c>
      <c r="B914">
        <f>SUM(V869:V898)</f>
        <v/>
      </c>
    </row>
    <row r="916">
      <c r="A916" s="5" t="inlineStr">
        <is>
          <t>Stat: Skill Level Bonus — 3rd Job</t>
        </is>
      </c>
    </row>
    <row r="917">
      <c r="A917" s="9" t="inlineStr">
        <is>
          <t>Key</t>
        </is>
      </c>
      <c r="B917" s="9" t="inlineStr">
        <is>
          <t>Name</t>
        </is>
      </c>
      <c r="C917" s="9" t="inlineStr">
        <is>
          <t>Unlocked</t>
        </is>
      </c>
      <c r="D917" s="9" t="inlineStr">
        <is>
          <t>InputLevel</t>
        </is>
      </c>
      <c r="E917" s="9" t="inlineStr">
        <is>
          <t>Factor</t>
        </is>
      </c>
      <c r="F917" s="9" t="inlineStr">
        <is>
          <t>CoefficientPercent</t>
        </is>
      </c>
      <c r="G917" s="9" t="inlineStr">
        <is>
          <t>EffectiveHits</t>
        </is>
      </c>
      <c r="H917" s="9" t="inlineStr">
        <is>
          <t>ProcProbability</t>
        </is>
      </c>
      <c r="I917" s="9" t="inlineStr">
        <is>
          <t>MapleHeroMultiplier</t>
        </is>
      </c>
      <c r="J917" s="9" t="inlineStr">
        <is>
          <t>BaseDamage</t>
        </is>
      </c>
      <c r="K917" s="9" t="inlineStr">
        <is>
          <t>BaseHitDamage</t>
        </is>
      </c>
      <c r="L917" s="9" t="inlineStr">
        <is>
          <t>NonCritAvg</t>
        </is>
      </c>
      <c r="M917" s="9" t="inlineStr">
        <is>
          <t>CritAvg</t>
        </is>
      </c>
      <c r="N917" s="9" t="inlineStr">
        <is>
          <t>ExpectedDamage(perHit)</t>
        </is>
      </c>
      <c r="O917" s="9" t="inlineStr">
        <is>
          <t>DPS</t>
        </is>
      </c>
      <c r="P917" s="9" t="inlineStr">
        <is>
          <t>% of Total</t>
        </is>
      </c>
      <c r="Q917" s="9" t="inlineStr">
        <is>
          <t>InvCooldown</t>
        </is>
      </c>
      <c r="R917" s="9" t="inlineStr">
        <is>
          <t>CastsInFight</t>
        </is>
      </c>
      <c r="S917" s="9" t="inlineStr">
        <is>
          <t>HitRate(perSec)</t>
        </is>
      </c>
      <c r="U917" t="inlineStr">
        <is>
          <t>helpers</t>
        </is>
      </c>
    </row>
    <row r="918">
      <c r="A918">
        <f>Skills!A2</f>
        <v/>
      </c>
      <c r="B918">
        <f>Skills!B2</f>
        <v/>
      </c>
      <c r="C918">
        <f>Inputs!$B$3&gt;=100</f>
        <v/>
      </c>
      <c r="D918" t="inlineStr"/>
      <c r="E918" t="inlineStr"/>
      <c r="F918">
        <f>U922+Skills!O2</f>
        <v/>
      </c>
      <c r="G918">
        <f>Calc!G2</f>
        <v/>
      </c>
      <c r="H918">
        <f>Calc!H2</f>
        <v/>
      </c>
      <c r="I918">
        <f>IF(Skills!AA2&lt;&gt;"",1+(Skills!AA2/10)*(U919/1000)/100,1)</f>
        <v/>
      </c>
      <c r="J918">
        <f>((Inputs!$B$6*(1+Inputs!$B$7/100))+(((Inputs!$B$12*(1+Inputs!$B$13/100))-(Inputs!$B$12*(1+Inputs!$B$13/100)))+0.25*(Inputs!$B$14-Inputs!$B$14))*(1+Inputs!$B$7/100))*(F918/100)</f>
        <v/>
      </c>
      <c r="K918">
        <f>J918*(1+((Inputs!$B$12*(1+Inputs!$B$13/100))*0.01+Inputs!$B$14*0.0025)/100)*(1+Inputs!$B$15/100)*(1+Inputs!$B$16/100)*(5000/(6000+Inputs!$B$43*(1-Inputs!$B$19/100)))*(1+(Inputs!$B$24+((C946=TRUE)*(F946-Calc!F30)))/100)*(1+Skills!R2/100)*(1+(IF(Skills!A2="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918)</f>
        <v/>
      </c>
      <c r="L918">
        <f>K918*(MIN(Inputs!$B$22+((C940=TRUE)*(F940-Calc!F24)),Inputs!$B$23)/100+Inputs!$B$23/100)/2</f>
        <v/>
      </c>
      <c r="M918">
        <f>L918*(1+(Inputs!$B$10+((C942=TRUE)*(F942-Calc!F26))+B959)/100)</f>
        <v/>
      </c>
      <c r="N918">
        <f>L918*(1-MIN((Inputs!$B$9+((C941=TRUE)*(F941-Calc!F25))+B956),100)/100)+M918*(MIN((Inputs!$B$9+((C941=TRUE)*(F941-Calc!F25))+B956),100)/100)</f>
        <v/>
      </c>
      <c r="O918">
        <f>(1-Summary!$B$55)*T918+Summary!$B$55*V918</f>
        <v/>
      </c>
      <c r="P918">
        <f>IF(B960=0,0,O918/B960)</f>
        <v/>
      </c>
      <c r="Q918" t="n">
        <v>0</v>
      </c>
      <c r="R918" t="n">
        <v>0</v>
      </c>
      <c r="S918">
        <f>IFERROR(O918/N918,0)</f>
        <v/>
      </c>
      <c r="T918">
        <f>IF(C918,(Skills!G2*N918*B954)*IF(Inputs!$B$39="pvp",1,1+(Inputs!$B$20+((C943=TRUE)*(F943-Calc!F27))+Skills!P2+B957)/100),0)</f>
        <v/>
      </c>
      <c r="U918">
        <f>MAX(0,(Inputs!$B$3-100)*3)+Inputs!$B$28+Inputs!$B$29</f>
        <v/>
      </c>
      <c r="V918">
        <f>IF(C918,(Skills!G2*N918*B954)*IF(Inputs!$B$39="pvp",1,(1+(Inputs!$B$21+Skills!Q2+B957)/100)*(MIN((6+Inputs!$B$33),Inputs!$B$37))),0)</f>
        <v/>
      </c>
    </row>
    <row r="919">
      <c r="A919">
        <f>Skills!A3</f>
        <v/>
      </c>
      <c r="B919">
        <f>Skills!B3</f>
        <v/>
      </c>
      <c r="C919">
        <f>Inputs!$B$3&gt;=35</f>
        <v/>
      </c>
      <c r="D919">
        <f>IF(Skills!C3=1,60+Inputs!$B$25+Inputs!$B$29,IF(Skills!C3=2,90+Inputs!$B$26+Inputs!$B$29,IF(Skills!C3=3,120+(Inputs!$B$27+1)+Inputs!$B$29,MAX(0,(Inputs!$B$3-100)*3)+Inputs!$B$28+Inputs!$B$29)))</f>
        <v/>
      </c>
      <c r="E919">
        <f>INDEX(FactorTable!$B$2:$Y$301, MATCH(ROUND(MIN(300,MAX(1,D919)),0), FactorTable!$A$2:$A$301,0), Skills!M3+1)</f>
        <v/>
      </c>
      <c r="F919">
        <f>IF(Skills!N3=TRUE,(Skills!L3/10)*(E919/1000),Skills!L3/10)+Skills!O3</f>
        <v/>
      </c>
      <c r="G919">
        <f>Calc!G3</f>
        <v/>
      </c>
      <c r="H919">
        <f>Calc!H3</f>
        <v/>
      </c>
      <c r="I919">
        <f>IF(Skills!AA3&lt;&gt;"",1+(Skills!AA3/10)*(U919/1000)/100,1)</f>
        <v/>
      </c>
      <c r="J919">
        <f>((Inputs!$B$6*(1+Inputs!$B$7/100))+(((Inputs!$B$12*(1+Inputs!$B$13/100))-(Inputs!$B$12*(1+Inputs!$B$13/100)))+0.25*(Inputs!$B$14-Inputs!$B$14))*(1+Inputs!$B$7/100))*(F919/100)</f>
        <v/>
      </c>
      <c r="K919">
        <f>J919*(1+((Inputs!$B$12*(1+Inputs!$B$13/100))*0.01+Inputs!$B$14*0.0025)/100)*(1+Inputs!$B$15/100)*(1+Inputs!$B$16/100)*(5000/(6000+Inputs!$B$43*(1-Inputs!$B$19/100)))*(1+(Inputs!$B$24+((C946=TRUE)*(F946-Calc!F30)))/100)*(1+Skills!R3/100)*(1+(IF(Skills!A3="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919)</f>
        <v/>
      </c>
      <c r="L919">
        <f>K919*(MIN(Inputs!$B$22+((C940=TRUE)*(F940-Calc!F24)),Inputs!$B$23)/100+Inputs!$B$23/100)/2</f>
        <v/>
      </c>
      <c r="M919">
        <f>L919*(1+(Inputs!$B$10+((C942=TRUE)*(F942-Calc!F26))+B959)/100)</f>
        <v/>
      </c>
      <c r="N919">
        <f>L919*(1-MIN((Inputs!$B$9+((C941=TRUE)*(F941-Calc!F25))+B956),100)/100)+M919*(MIN((Inputs!$B$9+((C941=TRUE)*(F941-Calc!F25))+B956),100)/100)</f>
        <v/>
      </c>
      <c r="O919">
        <f>(1-Summary!$B$55)*T919+Summary!$B$55*V919</f>
        <v/>
      </c>
      <c r="P919">
        <f>IF(B960=0,0,O919/B960)</f>
        <v/>
      </c>
      <c r="Q919">
        <f>IFERROR(1/IF(Inputs!$B$39="pvp",15,MAX(0.1,Skills!D3-IF(Skills!E3=TRUE,Inputs!$B$32,0))),0)</f>
        <v/>
      </c>
      <c r="R919">
        <f>IF(AND(Inputs!$B$39&lt;&gt;"pvp",Inputs!$B$44&gt;0),IF(MAX(0,Inputs!$B$44-B961)&lt;=0,0,(INT(MAX(0,Inputs!$B$44-B961)/IF(Inputs!$B$39="pvp",15,MAX(0.1,Skills!D3-IF(Skills!E3=TRUE,Inputs!$B$32,0))))+1)),0)</f>
        <v/>
      </c>
      <c r="S919">
        <f>IFERROR(O919/N919,0)</f>
        <v/>
      </c>
      <c r="T919">
        <f>IF(C919,(H919*N919*IF(AND(Inputs!$B$39&lt;&gt;"pvp",Inputs!$B$44&gt;0),((Skills!G3*((R919-1)*IF(Skills!H3&gt;0,Skills!I3/Skills!H3,1)+IF(Skills!H3&gt;0,MIN(Skills!I3,MAX(0,MAX(0,Inputs!$B$44-B961)-((R919-1)*IF(Inputs!$B$39="pvp",15,MAX(0.1,Skills!D3-IF(Skills!E3=TRUE,Inputs!$B$32,0))))))/Skills!H3,1)))/Inputs!$B$44),G919*Q919))*IF(Inputs!$B$39="pvp",1,1+(Inputs!$B$20+((C943=TRUE)*(F943-Calc!F27))+Skills!P3+B957)/100),0)</f>
        <v/>
      </c>
      <c r="U919">
        <f>INDEX(FactorTable!$B$2:$Y$301, MATCH(ROUND(MIN(300,MAX(1,U918)),0), FactorTable!$A$2:$A$301,0), 24)</f>
        <v/>
      </c>
      <c r="V919">
        <f>IF(C919,(H919*N919*IF(AND(Inputs!$B$39&lt;&gt;"pvp",Inputs!$B$44&gt;0),((Skills!G3*((R919-1)*IF(Skills!H3&gt;0,Skills!I3/Skills!H3,1)+IF(Skills!H3&gt;0,MIN(Skills!I3,MAX(0,MAX(0,Inputs!$B$44-B961)-((R919-1)*IF(Inputs!$B$39="pvp",15,MAX(0.1,Skills!D3-IF(Skills!E3=TRUE,Inputs!$B$32,0))))))/Skills!H3,1)))/Inputs!$B$44),G919*Q919))*IF(Inputs!$B$39="pvp",1,(1+(Inputs!$B$21+Skills!Q3+B957)/100)*(MIN(Skills!W3,Inputs!$B$37))),0)</f>
        <v/>
      </c>
    </row>
    <row r="920">
      <c r="A920">
        <f>Skills!A4</f>
        <v/>
      </c>
      <c r="B920">
        <f>Skills!B4</f>
        <v/>
      </c>
      <c r="C920">
        <f>Inputs!$B$3&gt;=40</f>
        <v/>
      </c>
      <c r="D920">
        <f>IF(Skills!C4=1,60+Inputs!$B$25+Inputs!$B$29,IF(Skills!C4=2,90+Inputs!$B$26+Inputs!$B$29,IF(Skills!C4=3,120+(Inputs!$B$27+1)+Inputs!$B$29,MAX(0,(Inputs!$B$3-100)*3)+Inputs!$B$28+Inputs!$B$29)))</f>
        <v/>
      </c>
      <c r="E920">
        <f>INDEX(FactorTable!$B$2:$Y$301, MATCH(ROUND(MIN(300,MAX(1,D920)),0), FactorTable!$A$2:$A$301,0), Skills!M4+1)</f>
        <v/>
      </c>
      <c r="F920">
        <f>IF(Skills!N4=TRUE,(Skills!L4/10)*(E920/1000),Skills!L4/10)+Skills!O4</f>
        <v/>
      </c>
      <c r="G920">
        <f>Calc!G4</f>
        <v/>
      </c>
      <c r="H920">
        <f>Calc!H4</f>
        <v/>
      </c>
      <c r="I920">
        <f>IF(Skills!AA4&lt;&gt;"",1+(Skills!AA4/10)*(U919/1000)/100,1)</f>
        <v/>
      </c>
      <c r="J920">
        <f>((Inputs!$B$6*(1+Inputs!$B$7/100))+(((Inputs!$B$12*(1+Inputs!$B$13/100))-(Inputs!$B$12*(1+Inputs!$B$13/100)))+0.25*(Inputs!$B$14-Inputs!$B$14))*(1+Inputs!$B$7/100))*(F920/100)</f>
        <v/>
      </c>
      <c r="K920">
        <f>J920*(1+((Inputs!$B$12*(1+Inputs!$B$13/100))*0.01+Inputs!$B$14*0.0025)/100)*(1+Inputs!$B$15/100)*(1+Inputs!$B$16/100)*(5000/(6000+Inputs!$B$43*(1-Inputs!$B$19/100)))*(1+(Inputs!$B$24+((C946=TRUE)*(F946-Calc!F30)))/100)*(1+Skills!R4/100)*(1+(IF(Skills!A4="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920)</f>
        <v/>
      </c>
      <c r="L920">
        <f>K920*(MIN(Inputs!$B$22+((C940=TRUE)*(F940-Calc!F24)),Inputs!$B$23)/100+Inputs!$B$23/100)/2</f>
        <v/>
      </c>
      <c r="M920">
        <f>L920*(1+(Inputs!$B$10+((C942=TRUE)*(F942-Calc!F26))+B959)/100)</f>
        <v/>
      </c>
      <c r="N920">
        <f>L920*(1-MIN((Inputs!$B$9+((C941=TRUE)*(F941-Calc!F25))+B956),100)/100)+M920*(MIN((Inputs!$B$9+((C941=TRUE)*(F941-Calc!F25))+B956),100)/100)</f>
        <v/>
      </c>
      <c r="O920">
        <f>(1-Summary!$B$55)*T920+Summary!$B$55*V920</f>
        <v/>
      </c>
      <c r="P920">
        <f>IF(B960=0,0,O920/B960)</f>
        <v/>
      </c>
      <c r="Q920">
        <f>IFERROR(1/IF(Inputs!$B$39="pvp",15,MAX(0.1,Skills!D4-IF(Skills!E4=TRUE,Inputs!$B$32,0))),0)</f>
        <v/>
      </c>
      <c r="R920">
        <f>IF(AND(Inputs!$B$39&lt;&gt;"pvp",Inputs!$B$44&gt;0),IF(MAX(0,Inputs!$B$44-B961)&lt;=0,0,(INT(MAX(0,Inputs!$B$44-B961)/IF(Inputs!$B$39="pvp",15,MAX(0.1,Skills!D4-IF(Skills!E4=TRUE,Inputs!$B$32,0))))+1)),0)</f>
        <v/>
      </c>
      <c r="S920">
        <f>IFERROR(O920/N920,0)</f>
        <v/>
      </c>
      <c r="T920">
        <f>IF(C920,(H920*N920*IF(AND(Inputs!$B$39&lt;&gt;"pvp",Inputs!$B$44&gt;0),((Skills!G4*((R920-1)*IF(Skills!H4&gt;0,Skills!I4/Skills!H4,1)+IF(Skills!H4&gt;0,MIN(Skills!I4,MAX(0,MAX(0,Inputs!$B$44-B961)-((R920-1)*IF(Inputs!$B$39="pvp",15,MAX(0.1,Skills!D4-IF(Skills!E4=TRUE,Inputs!$B$32,0))))))/Skills!H4,1)))/Inputs!$B$44),G920*Q920))*IF(Inputs!$B$39="pvp",1,1+(Inputs!$B$20+((C943=TRUE)*(F943-Calc!F27))+Skills!P4+B957)/100),0)</f>
        <v/>
      </c>
      <c r="U920">
        <f>MAX(0,(Inputs!$B$3-100)*3)+Inputs!$B$28+Inputs!$B$29</f>
        <v/>
      </c>
      <c r="V920">
        <f>IF(C920,(H920*N920*IF(AND(Inputs!$B$39&lt;&gt;"pvp",Inputs!$B$44&gt;0),((Skills!G4*((R920-1)*IF(Skills!H4&gt;0,Skills!I4/Skills!H4,1)+IF(Skills!H4&gt;0,MIN(Skills!I4,MAX(0,MAX(0,Inputs!$B$44-B961)-((R920-1)*IF(Inputs!$B$39="pvp",15,MAX(0.1,Skills!D4-IF(Skills!E4=TRUE,Inputs!$B$32,0))))))/Skills!H4,1)))/Inputs!$B$44),G920*Q920))*IF(Inputs!$B$39="pvp",1,(1+(Inputs!$B$21+Skills!Q4+B957)/100)*(MIN(Skills!W4,Inputs!$B$37))),0)</f>
        <v/>
      </c>
    </row>
    <row r="921">
      <c r="A921">
        <f>Skills!A5</f>
        <v/>
      </c>
      <c r="B921">
        <f>Skills!B5</f>
        <v/>
      </c>
      <c r="C921">
        <f>Inputs!$B$3&gt;=63</f>
        <v/>
      </c>
      <c r="D921">
        <f>IF(Skills!C5=1,60+Inputs!$B$25+Inputs!$B$29,IF(Skills!C5=2,90+Inputs!$B$26+Inputs!$B$29,IF(Skills!C5=3,120+(Inputs!$B$27+1)+Inputs!$B$29,MAX(0,(Inputs!$B$3-100)*3)+Inputs!$B$28+Inputs!$B$29)))</f>
        <v/>
      </c>
      <c r="E921">
        <f>INDEX(FactorTable!$B$2:$Y$301, MATCH(ROUND(MIN(300,MAX(1,D921)),0), FactorTable!$A$2:$A$301,0), Skills!M5+1)</f>
        <v/>
      </c>
      <c r="F921">
        <f>IF(Skills!N5=TRUE,(Skills!L5/10)*(E921/1000),Skills!L5/10)+Skills!O5</f>
        <v/>
      </c>
      <c r="G921">
        <f>Calc!G5</f>
        <v/>
      </c>
      <c r="H921">
        <f>Calc!H5</f>
        <v/>
      </c>
      <c r="I921">
        <f>IF(Skills!AA5&lt;&gt;"",1+(Skills!AA5/10)*(U919/1000)/100,1)</f>
        <v/>
      </c>
      <c r="J921">
        <f>((Inputs!$B$6*(1+Inputs!$B$7/100))+(((Inputs!$B$12*(1+Inputs!$B$13/100))-(Inputs!$B$12*(1+Inputs!$B$13/100)))+0.25*(Inputs!$B$14-Inputs!$B$14))*(1+Inputs!$B$7/100))*(F921/100)</f>
        <v/>
      </c>
      <c r="K921">
        <f>J921*(1+((Inputs!$B$12*(1+Inputs!$B$13/100))*0.01+Inputs!$B$14*0.0025)/100)*(1+Inputs!$B$15/100)*(1+Inputs!$B$16/100)*(5000/(6000+Inputs!$B$43*(1-Inputs!$B$19/100)))*(1+(Inputs!$B$24+((C946=TRUE)*(F946-Calc!F30)))/100)*(1+Skills!R5/100)*(1+(IF(Skills!A5="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921)</f>
        <v/>
      </c>
      <c r="L921">
        <f>K921*(MIN(Inputs!$B$22+((C940=TRUE)*(F940-Calc!F24)),Inputs!$B$23)/100+Inputs!$B$23/100)/2</f>
        <v/>
      </c>
      <c r="M921">
        <f>L921*(1+(Inputs!$B$10+((C942=TRUE)*(F942-Calc!F26))+B959)/100)</f>
        <v/>
      </c>
      <c r="N921">
        <f>L921*(1-MIN((Inputs!$B$9+((C941=TRUE)*(F941-Calc!F25))+B956),100)/100)+M921*(MIN((Inputs!$B$9+((C941=TRUE)*(F941-Calc!F25))+B956),100)/100)</f>
        <v/>
      </c>
      <c r="O921">
        <f>(1-Summary!$B$55)*T921+Summary!$B$55*V921</f>
        <v/>
      </c>
      <c r="P921">
        <f>IF(B960=0,0,O921/B960)</f>
        <v/>
      </c>
      <c r="Q921">
        <f>IFERROR(1/IF(Inputs!$B$39="pvp",15,MAX(0.1,Skills!D5-IF(Skills!E5=TRUE,Inputs!$B$32,0))),0)</f>
        <v/>
      </c>
      <c r="R921">
        <f>IF(AND(Inputs!$B$39&lt;&gt;"pvp",Inputs!$B$44&gt;0),IF(MAX(0,Inputs!$B$44-B961)&lt;=0,0,(INT(MAX(0,Inputs!$B$44-B961)/IF(Inputs!$B$39="pvp",15,MAX(0.1,Skills!D5-IF(Skills!E5=TRUE,Inputs!$B$32,0))))+1)),0)</f>
        <v/>
      </c>
      <c r="S921">
        <f>IFERROR(O921/N921,0)</f>
        <v/>
      </c>
      <c r="T921">
        <f>IF(C921,(H921*N921*IF(AND(Inputs!$B$39&lt;&gt;"pvp",Inputs!$B$44&gt;0),((Skills!G5*((R921-1)*IF(Skills!H5&gt;0,Skills!I5/Skills!H5,1)+IF(Skills!H5&gt;0,MIN(Skills!I5,MAX(0,MAX(0,Inputs!$B$44-B961)-((R921-1)*IF(Inputs!$B$39="pvp",15,MAX(0.1,Skills!D5-IF(Skills!E5=TRUE,Inputs!$B$32,0))))))/Skills!H5,1)))/Inputs!$B$44),G921*Q921))*IF(Inputs!$B$39="pvp",1,1+(Inputs!$B$20+((C943=TRUE)*(F943-Calc!F27))+Skills!P5+B957)/100),0)</f>
        <v/>
      </c>
      <c r="U921">
        <f>INDEX(FactorTable!$B$2:$Y$301, MATCH(ROUND(MIN(300,MAX(1,U920)),0), FactorTable!$A$2:$A$301,0), 22)</f>
        <v/>
      </c>
      <c r="V921">
        <f>IF(C921,(H921*N921*IF(AND(Inputs!$B$39&lt;&gt;"pvp",Inputs!$B$44&gt;0),((Skills!G5*((R921-1)*IF(Skills!H5&gt;0,Skills!I5/Skills!H5,1)+IF(Skills!H5&gt;0,MIN(Skills!I5,MAX(0,MAX(0,Inputs!$B$44-B961)-((R921-1)*IF(Inputs!$B$39="pvp",15,MAX(0.1,Skills!D5-IF(Skills!E5=TRUE,Inputs!$B$32,0))))))/Skills!H5,1)))/Inputs!$B$44),G921*Q921))*IF(Inputs!$B$39="pvp",1,(1+(Inputs!$B$21+Skills!Q5+B957)/100)*(MIN(Skills!W5,Inputs!$B$37))),0)</f>
        <v/>
      </c>
    </row>
    <row r="922">
      <c r="A922">
        <f>Skills!A6</f>
        <v/>
      </c>
      <c r="B922">
        <f>Skills!B6</f>
        <v/>
      </c>
      <c r="C922">
        <f>Inputs!$B$3&gt;=66</f>
        <v/>
      </c>
      <c r="D922">
        <f>IF(Skills!C6=1,60+Inputs!$B$25+Inputs!$B$29,IF(Skills!C6=2,90+Inputs!$B$26+Inputs!$B$29,IF(Skills!C6=3,120+(Inputs!$B$27+1)+Inputs!$B$29,MAX(0,(Inputs!$B$3-100)*3)+Inputs!$B$28+Inputs!$B$29)))</f>
        <v/>
      </c>
      <c r="E922">
        <f>INDEX(FactorTable!$B$2:$Y$301, MATCH(ROUND(MIN(300,MAX(1,D922)),0), FactorTable!$A$2:$A$301,0), Skills!M6+1)</f>
        <v/>
      </c>
      <c r="F922">
        <f>IF(Skills!N6=TRUE,(Skills!L6/10)*(E922/1000),Skills!L6/10)+Skills!O6</f>
        <v/>
      </c>
      <c r="G922">
        <f>Calc!G6</f>
        <v/>
      </c>
      <c r="H922">
        <f>Calc!H6</f>
        <v/>
      </c>
      <c r="I922">
        <f>IF(Skills!AA6&lt;&gt;"",1+(Skills!AA6/10)*(U919/1000)/100,1)</f>
        <v/>
      </c>
      <c r="J922" t="inlineStr"/>
      <c r="K922" t="inlineStr"/>
      <c r="L922" t="inlineStr"/>
      <c r="M922" t="inlineStr"/>
      <c r="N922" t="inlineStr"/>
      <c r="O922">
        <f>(1-Summary!$B$55)*T922+Summary!$B$55*V922</f>
        <v/>
      </c>
      <c r="P922">
        <f>IF(B960=0,0,O922/B960)</f>
        <v/>
      </c>
      <c r="Q922" t="n">
        <v>0</v>
      </c>
      <c r="R922" t="n">
        <v>0</v>
      </c>
      <c r="S922">
        <f>IFERROR(O922/N922,0)</f>
        <v/>
      </c>
      <c r="T922" t="n">
        <v>0</v>
      </c>
      <c r="U922">
        <f>290*U921/1000</f>
        <v/>
      </c>
      <c r="V922" t="n">
        <v>0</v>
      </c>
    </row>
    <row r="923">
      <c r="A923">
        <f>Skills!A7</f>
        <v/>
      </c>
      <c r="B923">
        <f>Skills!B7</f>
        <v/>
      </c>
      <c r="C923">
        <f>Inputs!$B$3&gt;=66</f>
        <v/>
      </c>
      <c r="D923">
        <f>IF(Skills!C7=1,60+Inputs!$B$25+Inputs!$B$29,IF(Skills!C7=2,90+Inputs!$B$26+Inputs!$B$29,IF(Skills!C7=3,120+(Inputs!$B$27+1)+Inputs!$B$29,MAX(0,(Inputs!$B$3-100)*3)+Inputs!$B$28+Inputs!$B$29)))</f>
        <v/>
      </c>
      <c r="E923">
        <f>INDEX(FactorTable!$B$2:$Y$301, MATCH(ROUND(MIN(300,MAX(1,D923)),0), FactorTable!$A$2:$A$301,0), Skills!M7+1)</f>
        <v/>
      </c>
      <c r="F923">
        <f>IF(Skills!N7=TRUE,(Skills!L7/10)*(E923/1000),Skills!L7/10)+Skills!O7</f>
        <v/>
      </c>
      <c r="G923">
        <f>Calc!G7</f>
        <v/>
      </c>
      <c r="H923">
        <f>Calc!H7</f>
        <v/>
      </c>
      <c r="I923">
        <f>IF(Skills!AA7&lt;&gt;"",1+(Skills!AA7/10)*(U919/1000)/100,1)</f>
        <v/>
      </c>
      <c r="J923" t="inlineStr"/>
      <c r="K923" t="inlineStr"/>
      <c r="L923" t="inlineStr"/>
      <c r="M923" t="inlineStr"/>
      <c r="N923" t="inlineStr"/>
      <c r="O923">
        <f>(1-Summary!$B$55)*T923+Summary!$B$55*V923</f>
        <v/>
      </c>
      <c r="P923">
        <f>IF(B960=0,0,O923/B960)</f>
        <v/>
      </c>
      <c r="Q923" t="n">
        <v>0</v>
      </c>
      <c r="R923" t="n">
        <v>0</v>
      </c>
      <c r="S923">
        <f>IFERROR(O923/N923,0)</f>
        <v/>
      </c>
      <c r="T923" t="n">
        <v>0</v>
      </c>
      <c r="V923" t="n">
        <v>0</v>
      </c>
    </row>
    <row r="924">
      <c r="A924">
        <f>Skills!A8</f>
        <v/>
      </c>
      <c r="B924">
        <f>Skills!B8</f>
        <v/>
      </c>
      <c r="C924">
        <f>Inputs!$B$3&gt;=69</f>
        <v/>
      </c>
      <c r="D924">
        <f>IF(Skills!C8=1,60+Inputs!$B$25+Inputs!$B$29,IF(Skills!C8=2,90+Inputs!$B$26+Inputs!$B$29,IF(Skills!C8=3,120+(Inputs!$B$27+1)+Inputs!$B$29,MAX(0,(Inputs!$B$3-100)*3)+Inputs!$B$28+Inputs!$B$29)))</f>
        <v/>
      </c>
      <c r="E924">
        <f>INDEX(FactorTable!$B$2:$Y$301, MATCH(ROUND(MIN(300,MAX(1,D924)),0), FactorTable!$A$2:$A$301,0), Skills!M8+1)</f>
        <v/>
      </c>
      <c r="F924">
        <f>IF(Skills!N8=TRUE,(Skills!L8/10)*(E924/1000),Skills!L8/10)+Skills!O8</f>
        <v/>
      </c>
      <c r="G924">
        <f>Calc!G8</f>
        <v/>
      </c>
      <c r="H924">
        <f>Calc!H8</f>
        <v/>
      </c>
      <c r="I924">
        <f>IF(Skills!AA8&lt;&gt;"",1+(Skills!AA8/10)*(U919/1000)/100,1)</f>
        <v/>
      </c>
      <c r="J924">
        <f>((Inputs!$B$6*(1+Inputs!$B$7/100))+(((Inputs!$B$12*(1+Inputs!$B$13/100))-(Inputs!$B$12*(1+Inputs!$B$13/100)))+0.25*(Inputs!$B$14-Inputs!$B$14))*(1+Inputs!$B$7/100))*(F924/100)</f>
        <v/>
      </c>
      <c r="K924">
        <f>J924*(1+((Inputs!$B$12*(1+Inputs!$B$13/100))*0.01+Inputs!$B$14*0.0025)/100)*(1+Inputs!$B$15/100)*(1+Inputs!$B$16/100)*(5000/(6000+Inputs!$B$43*(1-Inputs!$B$19/100)))*(1+(Inputs!$B$24+((C946=TRUE)*(F946-Calc!F30)))/100)*(1+Skills!R8/100)*(1+(IF(Skills!A8="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924)</f>
        <v/>
      </c>
      <c r="L924">
        <f>K924*(MIN(Inputs!$B$22+((C940=TRUE)*(F940-Calc!F24)),Inputs!$B$23)/100+Inputs!$B$23/100)/2</f>
        <v/>
      </c>
      <c r="M924">
        <f>L924*(1+(Inputs!$B$10+((C942=TRUE)*(F942-Calc!F26))+B959)/100)</f>
        <v/>
      </c>
      <c r="N924">
        <f>L924*(1-MIN((Inputs!$B$9+((C941=TRUE)*(F941-Calc!F25))+B956),100)/100)+M924*(MIN((Inputs!$B$9+((C941=TRUE)*(F941-Calc!F25))+B956),100)/100)</f>
        <v/>
      </c>
      <c r="O924">
        <f>(1-Summary!$B$55)*T924+Summary!$B$55*V924</f>
        <v/>
      </c>
      <c r="P924">
        <f>IF(B960=0,0,O924/B960)</f>
        <v/>
      </c>
      <c r="Q924">
        <f>IFERROR(1/IF(Inputs!$B$39="pvp",15,MAX(0.1,Skills!D8-IF(Skills!E8=TRUE,Inputs!$B$32,0))),0)</f>
        <v/>
      </c>
      <c r="R924">
        <f>IF(AND(Inputs!$B$39&lt;&gt;"pvp",Inputs!$B$44&gt;0),IF(MAX(0,Inputs!$B$44-B961)&lt;=0,0,(INT(MAX(0,Inputs!$B$44-B961)/IF(Inputs!$B$39="pvp",15,MAX(0.1,Skills!D8-IF(Skills!E8=TRUE,Inputs!$B$32,0))))+1)),0)</f>
        <v/>
      </c>
      <c r="S924">
        <f>IFERROR(O924/N924,0)</f>
        <v/>
      </c>
      <c r="T924">
        <f>IF(C924,(H924*N924*IF(AND(Inputs!$B$39&lt;&gt;"pvp",Inputs!$B$44&gt;0),((Skills!G8*((R924-1)*IF(Skills!H8&gt;0,Skills!I8/Skills!H8,1)+IF(Skills!H8&gt;0,MIN(Skills!I8,MAX(0,MAX(0,Inputs!$B$44-B961)-((R924-1)*IF(Inputs!$B$39="pvp",15,MAX(0.1,Skills!D8-IF(Skills!E8=TRUE,Inputs!$B$32,0))))))/Skills!H8,1)))/Inputs!$B$44),G924*Q924))*IF(Inputs!$B$39="pvp",1,1+(Inputs!$B$20+((C943=TRUE)*(F943-Calc!F27))+Skills!P8+B957)/100),0)</f>
        <v/>
      </c>
      <c r="V924">
        <f>IF(C924,(H924*N924*IF(AND(Inputs!$B$39&lt;&gt;"pvp",Inputs!$B$44&gt;0),((Skills!G8*((R924-1)*IF(Skills!H8&gt;0,Skills!I8/Skills!H8,1)+IF(Skills!H8&gt;0,MIN(Skills!I8,MAX(0,MAX(0,Inputs!$B$44-B961)-((R924-1)*IF(Inputs!$B$39="pvp",15,MAX(0.1,Skills!D8-IF(Skills!E8=TRUE,Inputs!$B$32,0))))))/Skills!H8,1)))/Inputs!$B$44),G924*Q924))*IF(Inputs!$B$39="pvp",1,(1+(Inputs!$B$21+Skills!Q8+B957)/100)*(MIN(Skills!W8,Inputs!$B$37))),0)</f>
        <v/>
      </c>
    </row>
    <row r="925">
      <c r="A925">
        <f>Skills!A9</f>
        <v/>
      </c>
      <c r="B925">
        <f>Skills!B9</f>
        <v/>
      </c>
      <c r="C925">
        <f>Inputs!$B$3&gt;=72</f>
        <v/>
      </c>
      <c r="D925">
        <f>IF(Skills!C9=1,60+Inputs!$B$25+Inputs!$B$29,IF(Skills!C9=2,90+Inputs!$B$26+Inputs!$B$29,IF(Skills!C9=3,120+(Inputs!$B$27+1)+Inputs!$B$29,MAX(0,(Inputs!$B$3-100)*3)+Inputs!$B$28+Inputs!$B$29)))</f>
        <v/>
      </c>
      <c r="E925">
        <f>INDEX(FactorTable!$B$2:$Y$301, MATCH(ROUND(MIN(300,MAX(1,D925)),0), FactorTable!$A$2:$A$301,0), Skills!M9+1)</f>
        <v/>
      </c>
      <c r="F925">
        <f>IF(Skills!N9=TRUE,(Skills!L9/10)*(E925/1000),Skills!L9/10)+Skills!O9</f>
        <v/>
      </c>
      <c r="G925">
        <f>Calc!G9</f>
        <v/>
      </c>
      <c r="H925">
        <f>Calc!H9</f>
        <v/>
      </c>
      <c r="I925">
        <f>IF(Skills!AA9&lt;&gt;"",1+(Skills!AA9/10)*(U919/1000)/100,1)</f>
        <v/>
      </c>
      <c r="J925">
        <f>((Inputs!$B$6*(1+Inputs!$B$7/100))+(((Inputs!$B$12*(1+Inputs!$B$13/100))-(Inputs!$B$12*(1+Inputs!$B$13/100)))+0.25*(Inputs!$B$14-Inputs!$B$14))*(1+Inputs!$B$7/100))*(F925/100)</f>
        <v/>
      </c>
      <c r="K925">
        <f>J925*(1+((Inputs!$B$12*(1+Inputs!$B$13/100))*0.01+Inputs!$B$14*0.0025)/100)*(1+Inputs!$B$15/100)*(1+Inputs!$B$16/100)*(5000/(6000+Inputs!$B$43*(1-Inputs!$B$19/100)))*(1+(Inputs!$B$24+((C946=TRUE)*(F946-Calc!F30)))/100)*(1+Skills!R9/100)*(1+(IF(Skills!A9="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925)</f>
        <v/>
      </c>
      <c r="L925">
        <f>K925*(MIN(Inputs!$B$22+((C940=TRUE)*(F940-Calc!F24)),Inputs!$B$23)/100+Inputs!$B$23/100)/2</f>
        <v/>
      </c>
      <c r="M925">
        <f>L925*(1+(Inputs!$B$10+((C942=TRUE)*(F942-Calc!F26))+B959)/100)</f>
        <v/>
      </c>
      <c r="N925">
        <f>L925*(1-MIN((Inputs!$B$9+((C941=TRUE)*(F941-Calc!F25))+B956),100)/100)+M925*(MIN((Inputs!$B$9+((C941=TRUE)*(F941-Calc!F25))+B956),100)/100)</f>
        <v/>
      </c>
      <c r="O925">
        <f>(1-Summary!$B$55)*T925+Summary!$B$55*V925</f>
        <v/>
      </c>
      <c r="P925">
        <f>IF(B960=0,0,O925/B960)</f>
        <v/>
      </c>
      <c r="Q925">
        <f>IFERROR(1/IF(Inputs!$B$39="pvp",15,MAX(0.1,Skills!D9-IF(Skills!E9=TRUE,Inputs!$B$32,0))),0)</f>
        <v/>
      </c>
      <c r="R925">
        <f>IF(AND(Inputs!$B$39&lt;&gt;"pvp",Inputs!$B$44&gt;0),IF(MAX(0,Inputs!$B$44-B961)&lt;=0,0,(INT(MAX(0,Inputs!$B$44-B961)/IF(Inputs!$B$39="pvp",15,MAX(0.1,Skills!D9-IF(Skills!E9=TRUE,Inputs!$B$32,0))))+1)),0)</f>
        <v/>
      </c>
      <c r="S925">
        <f>IFERROR(O925/N925,0)</f>
        <v/>
      </c>
      <c r="T925">
        <f>IF(C925,(H925*N925*IF(AND(Inputs!$B$39&lt;&gt;"pvp",Inputs!$B$44&gt;0),((Skills!G9*((R925-1)*IF(Skills!H9&gt;0,Skills!I9/Skills!H9,1)+IF(Skills!H9&gt;0,MIN(Skills!I9,MAX(0,MAX(0,Inputs!$B$44-B961)-((R925-1)*IF(Inputs!$B$39="pvp",15,MAX(0.1,Skills!D9-IF(Skills!E9=TRUE,Inputs!$B$32,0))))))/Skills!H9,1)))/Inputs!$B$44),G925*Q925))*IF(Inputs!$B$39="pvp",1,1+(Inputs!$B$20+((C943=TRUE)*(F943-Calc!F27))+Skills!P9+B957)/100),0)</f>
        <v/>
      </c>
      <c r="V925">
        <f>IF(C925,(H925*N925*IF(AND(Inputs!$B$39&lt;&gt;"pvp",Inputs!$B$44&gt;0),((Skills!G9*((R925-1)*IF(Skills!H9&gt;0,Skills!I9/Skills!H9,1)+IF(Skills!H9&gt;0,MIN(Skills!I9,MAX(0,MAX(0,Inputs!$B$44-B961)-((R925-1)*IF(Inputs!$B$39="pvp",15,MAX(0.1,Skills!D9-IF(Skills!E9=TRUE,Inputs!$B$32,0))))))/Skills!H9,1)))/Inputs!$B$44),G925*Q925))*IF(Inputs!$B$39="pvp",1,(1+(Inputs!$B$21+Skills!Q9+B957)/100)*(MIN(Skills!W9,Inputs!$B$37))),0)</f>
        <v/>
      </c>
    </row>
    <row r="926">
      <c r="A926">
        <f>Skills!A10</f>
        <v/>
      </c>
      <c r="B926">
        <f>Skills!B10</f>
        <v/>
      </c>
      <c r="C926">
        <f>Inputs!$B$3&gt;=117</f>
        <v/>
      </c>
      <c r="D926">
        <f>IF(Skills!C10=1,60+Inputs!$B$25+Inputs!$B$29,IF(Skills!C10=2,90+Inputs!$B$26+Inputs!$B$29,IF(Skills!C10=3,120+(Inputs!$B$27+1)+Inputs!$B$29,MAX(0,(Inputs!$B$3-100)*3)+Inputs!$B$28+Inputs!$B$29)))</f>
        <v/>
      </c>
      <c r="E926">
        <f>INDEX(FactorTable!$B$2:$Y$301, MATCH(ROUND(MIN(300,MAX(1,D926)),0), FactorTable!$A$2:$A$301,0), Skills!M10+1)</f>
        <v/>
      </c>
      <c r="F926">
        <f>IF(Skills!N10=TRUE,(Skills!L10/10)*(E926/1000),Skills!L10/10)+Skills!O10</f>
        <v/>
      </c>
      <c r="G926">
        <f>Calc!G10</f>
        <v/>
      </c>
      <c r="H926">
        <f>Calc!H10</f>
        <v/>
      </c>
      <c r="I926">
        <f>IF(Skills!AA10&lt;&gt;"",1+(Skills!AA10/10)*(U919/1000)/100,1)</f>
        <v/>
      </c>
      <c r="J926">
        <f>((Inputs!$B$6*(1+Inputs!$B$7/100))+(((Inputs!$B$12*(1+Inputs!$B$13/100))-(Inputs!$B$12*(1+Inputs!$B$13/100)))+0.25*(Inputs!$B$14-Inputs!$B$14))*(1+Inputs!$B$7/100))*(F926/100)</f>
        <v/>
      </c>
      <c r="K926">
        <f>J926*(1+((Inputs!$B$12*(1+Inputs!$B$13/100))*0.01+Inputs!$B$14*0.0025)/100)*(1+Inputs!$B$15/100)*(1+Inputs!$B$16/100)*(5000/(6000+Inputs!$B$43*(1-Inputs!$B$19/100)))*(1+(Inputs!$B$24+((C946=TRUE)*(F946-Calc!F30)))/100)*(1+Skills!R10/100)*(1+(IF(Skills!A10="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926)</f>
        <v/>
      </c>
      <c r="L926">
        <f>K926*(MIN(Inputs!$B$22+((C940=TRUE)*(F940-Calc!F24)),Inputs!$B$23)/100+Inputs!$B$23/100)/2</f>
        <v/>
      </c>
      <c r="M926">
        <f>L926*(1+(Inputs!$B$10+((C942=TRUE)*(F942-Calc!F26))+B959)/100)</f>
        <v/>
      </c>
      <c r="N926">
        <f>L926*(1-MIN((Inputs!$B$9+((C941=TRUE)*(F941-Calc!F25))+B956),100)/100)+M926*(MIN((Inputs!$B$9+((C941=TRUE)*(F941-Calc!F25))+B956),100)/100)</f>
        <v/>
      </c>
      <c r="O926">
        <f>(1-Summary!$B$55)*T926+Summary!$B$55*V926</f>
        <v/>
      </c>
      <c r="P926">
        <f>IF(B960=0,0,O926/B960)</f>
        <v/>
      </c>
      <c r="Q926" t="n">
        <v>0</v>
      </c>
      <c r="R926" t="n">
        <v>0</v>
      </c>
      <c r="S926" t="n">
        <v>0</v>
      </c>
      <c r="T926">
        <f>IF(C926,(0.2*SUMPRODUCT((Skills!Z2:Z31=TRUE)*(C918:C947=TRUE)*S918:S947)*N926)*IF(Inputs!$B$39="pvp",1,1+(Inputs!$B$20+((C943=TRUE)*(F943-Calc!F27))+Skills!P10+B957)/100),0)</f>
        <v/>
      </c>
      <c r="V926">
        <f>IF(C926,(0.2*SUMPRODUCT((Skills!Z2:Z31=TRUE)*(C918:C947=TRUE)*S918:S947)*N926)*IF(Inputs!$B$39="pvp",1,(1+(Inputs!$B$21+Skills!Q10+B957)/100)*(MIN(Skills!W10,Inputs!$B$37))),0)</f>
        <v/>
      </c>
    </row>
    <row r="927">
      <c r="A927">
        <f>Skills!A11</f>
        <v/>
      </c>
      <c r="B927">
        <f>Skills!B11</f>
        <v/>
      </c>
      <c r="C927">
        <f>Inputs!$B$3&gt;=60</f>
        <v/>
      </c>
      <c r="D927">
        <f>IF(Skills!C11=1,60+Inputs!$B$25+Inputs!$B$29,IF(Skills!C11=2,90+Inputs!$B$26+Inputs!$B$29,IF(Skills!C11=3,120+(Inputs!$B$27+1)+Inputs!$B$29,MAX(0,(Inputs!$B$3-100)*3)+Inputs!$B$28+Inputs!$B$29)))</f>
        <v/>
      </c>
      <c r="E927">
        <f>INDEX(FactorTable!$B$2:$Y$301, MATCH(ROUND(MIN(300,MAX(1,D927)),0), FactorTable!$A$2:$A$301,0), Skills!M11+1)</f>
        <v/>
      </c>
      <c r="F927">
        <f>IF(Skills!N11=TRUE,(Skills!L11/10)*(E927/1000),Skills!L11/10)+Skills!O11</f>
        <v/>
      </c>
      <c r="G927">
        <f>Calc!G11</f>
        <v/>
      </c>
      <c r="H927">
        <f>Calc!H11</f>
        <v/>
      </c>
      <c r="I927">
        <f>IF(Skills!AA11&lt;&gt;"",1+(Skills!AA11/10)*(U919/1000)/100,1)</f>
        <v/>
      </c>
      <c r="J927" t="inlineStr"/>
      <c r="K927" t="inlineStr"/>
      <c r="L927" t="inlineStr"/>
      <c r="M927" t="inlineStr"/>
      <c r="N927" t="inlineStr"/>
      <c r="O927">
        <f>(1-Summary!$B$55)*T927+Summary!$B$55*V927</f>
        <v/>
      </c>
      <c r="P927">
        <f>IF(B960=0,0,O927/B960)</f>
        <v/>
      </c>
      <c r="Q927" t="n">
        <v>0</v>
      </c>
      <c r="R927" t="n">
        <v>0</v>
      </c>
      <c r="S927">
        <f>IFERROR(O927/N927,0)</f>
        <v/>
      </c>
      <c r="T927" t="n">
        <v>0</v>
      </c>
      <c r="V927" t="n">
        <v>0</v>
      </c>
    </row>
    <row r="928">
      <c r="A928">
        <f>Skills!A12</f>
        <v/>
      </c>
      <c r="B928">
        <f>Skills!B12</f>
        <v/>
      </c>
      <c r="C928">
        <f>Inputs!$B$3&gt;=103</f>
        <v/>
      </c>
      <c r="D928">
        <f>IF(Skills!C12=1,60+Inputs!$B$25+Inputs!$B$29,IF(Skills!C12=2,90+Inputs!$B$26+Inputs!$B$29,IF(Skills!C12=3,120+(Inputs!$B$27+1)+Inputs!$B$29,MAX(0,(Inputs!$B$3-100)*3)+Inputs!$B$28+Inputs!$B$29)))</f>
        <v/>
      </c>
      <c r="E928">
        <f>INDEX(FactorTable!$B$2:$Y$301, MATCH(ROUND(MIN(300,MAX(1,D928)),0), FactorTable!$A$2:$A$301,0), Skills!M12+1)</f>
        <v/>
      </c>
      <c r="F928">
        <f>IF(Skills!N12=TRUE,(Skills!L12/10)*(E928/1000),Skills!L12/10)+Skills!O12</f>
        <v/>
      </c>
      <c r="G928">
        <f>Calc!G12</f>
        <v/>
      </c>
      <c r="H928">
        <f>Calc!H12</f>
        <v/>
      </c>
      <c r="I928">
        <f>IF(Skills!AA12&lt;&gt;"",1+(Skills!AA12/10)*(U919/1000)/100,1)</f>
        <v/>
      </c>
      <c r="J928">
        <f>((Inputs!$B$6*(1+Inputs!$B$7/100))+(((Inputs!$B$12*(1+Inputs!$B$13/100))-(Inputs!$B$12*(1+Inputs!$B$13/100)))+0.25*(Inputs!$B$14-Inputs!$B$14))*(1+Inputs!$B$7/100))*(F928/100)</f>
        <v/>
      </c>
      <c r="K928">
        <f>J928*(1+((Inputs!$B$12*(1+Inputs!$B$13/100))*0.01+Inputs!$B$14*0.0025)/100)*(1+Inputs!$B$15/100)*(1+Inputs!$B$16/100)*(5000/(6000+Inputs!$B$43*(1-Inputs!$B$19/100)))*(1+(Inputs!$B$24+((C946=TRUE)*(F946-Calc!F30)))/100)*(1+Skills!R12/100)*(1+(IF(Skills!A12="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928)</f>
        <v/>
      </c>
      <c r="L928">
        <f>K928*(MIN(Inputs!$B$22+((C940=TRUE)*(F940-Calc!F24)),Inputs!$B$23)/100+Inputs!$B$23/100)/2</f>
        <v/>
      </c>
      <c r="M928">
        <f>L928*(1+(Inputs!$B$10+((C942=TRUE)*(F942-Calc!F26))+B959)/100)</f>
        <v/>
      </c>
      <c r="N928">
        <f>L928*(1-MIN((Inputs!$B$9+((C941=TRUE)*(F941-Calc!F25))+B956),100)/100)+M928*(MIN((Inputs!$B$9+((C941=TRUE)*(F941-Calc!F25))+B956),100)/100)</f>
        <v/>
      </c>
      <c r="O928">
        <f>(1-Summary!$B$55)*T928+Summary!$B$55*V928</f>
        <v/>
      </c>
      <c r="P928">
        <f>IF(B960=0,0,O928/B960)</f>
        <v/>
      </c>
      <c r="Q928">
        <f>IFERROR(1/IF(Inputs!$B$39="pvp",15,MAX(0.1,Skills!D12-IF(Skills!E12=TRUE,Inputs!$B$32,0))),0)</f>
        <v/>
      </c>
      <c r="R928">
        <f>IF(AND(Inputs!$B$39&lt;&gt;"pvp",Inputs!$B$44&gt;0),IF(MAX(0,Inputs!$B$44-B961)&lt;=0,0,(INT(MAX(0,Inputs!$B$44-B961)/IF(Inputs!$B$39="pvp",15,MAX(0.1,Skills!D12-IF(Skills!E12=TRUE,Inputs!$B$32,0))))+1)),0)</f>
        <v/>
      </c>
      <c r="S928">
        <f>IFERROR(O928/N928,0)</f>
        <v/>
      </c>
      <c r="T928">
        <f>IF(C928,(H928*N928*IF(AND(Inputs!$B$39&lt;&gt;"pvp",Inputs!$B$44&gt;0),((Skills!G12*((R928-1)*IF(Skills!H12&gt;0,Skills!I12/Skills!H12,1)+IF(Skills!H12&gt;0,MIN(Skills!I12,MAX(0,MAX(0,Inputs!$B$44-B961)-((R928-1)*IF(Inputs!$B$39="pvp",15,MAX(0.1,Skills!D12-IF(Skills!E12=TRUE,Inputs!$B$32,0))))))/Skills!H12,1)))/Inputs!$B$44),G928*Q928))*IF(Inputs!$B$39="pvp",1,1+(Inputs!$B$20+((C943=TRUE)*(F943-Calc!F27))+Skills!P12+B957)/100),0)</f>
        <v/>
      </c>
      <c r="V928">
        <f>IF(C928,(H928*N928*IF(AND(Inputs!$B$39&lt;&gt;"pvp",Inputs!$B$44&gt;0),((Skills!G12*((R928-1)*IF(Skills!H12&gt;0,Skills!I12/Skills!H12,1)+IF(Skills!H12&gt;0,MIN(Skills!I12,MAX(0,MAX(0,Inputs!$B$44-B961)-((R928-1)*IF(Inputs!$B$39="pvp",15,MAX(0.1,Skills!D12-IF(Skills!E12=TRUE,Inputs!$B$32,0))))))/Skills!H12,1)))/Inputs!$B$44),G928*Q928))*IF(Inputs!$B$39="pvp",1,(1+(Inputs!$B$21+Skills!Q12+B957)/100)*(MIN(Skills!W12,Inputs!$B$37))),0)</f>
        <v/>
      </c>
    </row>
    <row r="929">
      <c r="A929">
        <f>Skills!A13</f>
        <v/>
      </c>
      <c r="B929">
        <f>Skills!B13</f>
        <v/>
      </c>
      <c r="C929">
        <f>Inputs!$B$3&gt;=105</f>
        <v/>
      </c>
      <c r="D929">
        <f>IF(Skills!C13=1,60+Inputs!$B$25+Inputs!$B$29,IF(Skills!C13=2,90+Inputs!$B$26+Inputs!$B$29,IF(Skills!C13=3,120+(Inputs!$B$27+1)+Inputs!$B$29,MAX(0,(Inputs!$B$3-100)*3)+Inputs!$B$28+Inputs!$B$29)))</f>
        <v/>
      </c>
      <c r="E929">
        <f>INDEX(FactorTable!$B$2:$Y$301, MATCH(ROUND(MIN(300,MAX(1,D929)),0), FactorTable!$A$2:$A$301,0), Skills!M13+1)</f>
        <v/>
      </c>
      <c r="F929">
        <f>IF(Skills!N13=TRUE,(Skills!L13/10)*(E929/1000),Skills!L13/10)+Skills!O13</f>
        <v/>
      </c>
      <c r="G929">
        <f>Calc!G13</f>
        <v/>
      </c>
      <c r="H929">
        <f>Calc!H13</f>
        <v/>
      </c>
      <c r="I929">
        <f>IF(Skills!AA13&lt;&gt;"",1+(Skills!AA13/10)*(U919/1000)/100,1)</f>
        <v/>
      </c>
      <c r="J929">
        <f>((Inputs!$B$6*(1+Inputs!$B$7/100))+(((Inputs!$B$12*(1+Inputs!$B$13/100))-(Inputs!$B$12*(1+Inputs!$B$13/100)))+0.25*(Inputs!$B$14-Inputs!$B$14))*(1+Inputs!$B$7/100))*(F929/100)</f>
        <v/>
      </c>
      <c r="K929">
        <f>J929*(1+((Inputs!$B$12*(1+Inputs!$B$13/100))*0.01+Inputs!$B$14*0.0025)/100)*(1+Inputs!$B$15/100)*(1+Inputs!$B$16/100)*(5000/(6000+Inputs!$B$43*(1-Inputs!$B$19/100)))*(1+(Inputs!$B$24+((C946=TRUE)*(F946-Calc!F30)))/100)*(1+Skills!R13/100)*(1+(IF(Skills!A13="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929)</f>
        <v/>
      </c>
      <c r="L929">
        <f>K929*(MIN(Inputs!$B$22+((C940=TRUE)*(F940-Calc!F24)),Inputs!$B$23)/100+Inputs!$B$23/100)/2</f>
        <v/>
      </c>
      <c r="M929">
        <f>L929*(1+(Inputs!$B$10+((C942=TRUE)*(F942-Calc!F26))+B959)/100)</f>
        <v/>
      </c>
      <c r="N929">
        <f>L929*(1-MIN((Inputs!$B$9+((C941=TRUE)*(F941-Calc!F25))+B956),100)/100)+M929*(MIN((Inputs!$B$9+((C941=TRUE)*(F941-Calc!F25))+B956),100)/100)</f>
        <v/>
      </c>
      <c r="O929">
        <f>(1-Summary!$B$55)*T929+Summary!$B$55*V929</f>
        <v/>
      </c>
      <c r="P929">
        <f>IF(B960=0,0,O929/B960)</f>
        <v/>
      </c>
      <c r="Q929">
        <f>IFERROR(1/IF(Inputs!$B$39="pvp",15,MAX(0.1,Skills!D13-IF(Skills!E13=TRUE,Inputs!$B$32,0))),0)</f>
        <v/>
      </c>
      <c r="R929">
        <f>IF(AND(Inputs!$B$39&lt;&gt;"pvp",Inputs!$B$44&gt;0),IF(MAX(0,Inputs!$B$44-B961)&lt;=0,0,(INT(MAX(0,Inputs!$B$44-B961)/IF(Inputs!$B$39="pvp",15,MAX(0.1,Skills!D13-IF(Skills!E13=TRUE,Inputs!$B$32,0))))+1)),0)</f>
        <v/>
      </c>
      <c r="S929">
        <f>IFERROR(O929/N929,0)</f>
        <v/>
      </c>
      <c r="T929">
        <f>IF(C929,(H929*N929*IF(AND(Inputs!$B$39&lt;&gt;"pvp",Inputs!$B$44&gt;0),((Skills!G13*((R929-1)*IF(Skills!H13&gt;0,Skills!I13/Skills!H13,1)+IF(Skills!H13&gt;0,MIN(Skills!I13,MAX(0,MAX(0,Inputs!$B$44-B961)-((R929-1)*IF(Inputs!$B$39="pvp",15,MAX(0.1,Skills!D13-IF(Skills!E13=TRUE,Inputs!$B$32,0))))))/Skills!H13,1)))/Inputs!$B$44),G929*Q929))*IF(Inputs!$B$39="pvp",1,1+(Inputs!$B$20+((C943=TRUE)*(F943-Calc!F27))+Skills!P13+B957)/100),0)</f>
        <v/>
      </c>
      <c r="V929">
        <f>IF(C929,(H929*N929*IF(AND(Inputs!$B$39&lt;&gt;"pvp",Inputs!$B$44&gt;0),((Skills!G13*((R929-1)*IF(Skills!H13&gt;0,Skills!I13/Skills!H13,1)+IF(Skills!H13&gt;0,MIN(Skills!I13,MAX(0,MAX(0,Inputs!$B$44-B961)-((R929-1)*IF(Inputs!$B$39="pvp",15,MAX(0.1,Skills!D13-IF(Skills!E13=TRUE,Inputs!$B$32,0))))))/Skills!H13,1)))/Inputs!$B$44),G929*Q929))*IF(Inputs!$B$39="pvp",1,(1+(Inputs!$B$21+Skills!Q13+B957)/100)*(MIN(Skills!W13,Inputs!$B$37))),0)</f>
        <v/>
      </c>
    </row>
    <row r="930">
      <c r="A930">
        <f>Skills!A14</f>
        <v/>
      </c>
      <c r="B930">
        <f>Skills!B14</f>
        <v/>
      </c>
      <c r="C930">
        <f>Inputs!$B$3&gt;=105</f>
        <v/>
      </c>
      <c r="D930">
        <f>IF(Skills!C14=1,60+Inputs!$B$25+Inputs!$B$29,IF(Skills!C14=2,90+Inputs!$B$26+Inputs!$B$29,IF(Skills!C14=3,120+(Inputs!$B$27+1)+Inputs!$B$29,MAX(0,(Inputs!$B$3-100)*3)+Inputs!$B$28+Inputs!$B$29)))</f>
        <v/>
      </c>
      <c r="E930">
        <f>INDEX(FactorTable!$B$2:$Y$301, MATCH(ROUND(MIN(300,MAX(1,D930)),0), FactorTable!$A$2:$A$301,0), Skills!M14+1)</f>
        <v/>
      </c>
      <c r="F930">
        <f>IF(Skills!N14=TRUE,(Skills!L14/10)*(E930/1000),Skills!L14/10)+Skills!O14</f>
        <v/>
      </c>
      <c r="G930">
        <f>Calc!G14</f>
        <v/>
      </c>
      <c r="H930">
        <f>Calc!H14</f>
        <v/>
      </c>
      <c r="I930">
        <f>IF(Skills!AA14&lt;&gt;"",1+(Skills!AA14/10)*(U919/1000)/100,1)</f>
        <v/>
      </c>
      <c r="J930">
        <f>((Inputs!$B$6*(1+Inputs!$B$7/100))+(((Inputs!$B$12*(1+Inputs!$B$13/100))-(Inputs!$B$12*(1+Inputs!$B$13/100)))+0.25*(Inputs!$B$14-Inputs!$B$14))*(1+Inputs!$B$7/100))*(F930/100)</f>
        <v/>
      </c>
      <c r="K930">
        <f>J930*(1+((Inputs!$B$12*(1+Inputs!$B$13/100))*0.01+Inputs!$B$14*0.0025)/100)*(1+Inputs!$B$15/100)*(1+Inputs!$B$16/100)*(5000/(6000+Inputs!$B$43*(1-Inputs!$B$19/100)))*(1+(Inputs!$B$24+((C946=TRUE)*(F946-Calc!F30)))/100)*(1+Skills!R14/100)*(1+(IF(Skills!A14="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930)</f>
        <v/>
      </c>
      <c r="L930">
        <f>K930*(MIN(Inputs!$B$22+((C940=TRUE)*(F940-Calc!F24)),Inputs!$B$23)/100+Inputs!$B$23/100)/2</f>
        <v/>
      </c>
      <c r="M930">
        <f>L930*(1+(Inputs!$B$10+((C942=TRUE)*(F942-Calc!F26))+B959)/100)</f>
        <v/>
      </c>
      <c r="N930">
        <f>L930*(1-MIN((Inputs!$B$9+((C941=TRUE)*(F941-Calc!F25))+B956),100)/100)+M930*(MIN((Inputs!$B$9+((C941=TRUE)*(F941-Calc!F25))+B956),100)/100)</f>
        <v/>
      </c>
      <c r="O930">
        <f>(1-Summary!$B$55)*T930+Summary!$B$55*V930</f>
        <v/>
      </c>
      <c r="P930">
        <f>IF(B960=0,0,O930/B960)</f>
        <v/>
      </c>
      <c r="Q930">
        <f>IFERROR(1/IF(Inputs!$B$39="pvp",15,MAX(0.1,Skills!D14-IF(Skills!E14=TRUE,Inputs!$B$32,0))),0)</f>
        <v/>
      </c>
      <c r="R930">
        <f>IF(AND(Inputs!$B$39&lt;&gt;"pvp",Inputs!$B$44&gt;0),IF(MAX(0,Inputs!$B$44-B961)&lt;=0,0,(INT(MAX(0,Inputs!$B$44-B961)/IF(Inputs!$B$39="pvp",15,MAX(0.1,Skills!D14-IF(Skills!E14=TRUE,Inputs!$B$32,0))))+1)),0)</f>
        <v/>
      </c>
      <c r="S930">
        <f>IFERROR(O930/N930,0)</f>
        <v/>
      </c>
      <c r="T930">
        <f>IF(C930,(H930*N930*IF(AND(Inputs!$B$39&lt;&gt;"pvp",Inputs!$B$44&gt;0),((Skills!G14*((R930-1)*IF(Skills!H14&gt;0,Skills!I14/Skills!H14,1)+IF(Skills!H14&gt;0,MIN(Skills!I14,MAX(0,MAX(0,Inputs!$B$44-B961)-((R930-1)*IF(Inputs!$B$39="pvp",15,MAX(0.1,Skills!D14-IF(Skills!E14=TRUE,Inputs!$B$32,0))))))/Skills!H14,1)))/Inputs!$B$44),G930*Q930))*IF(Inputs!$B$39="pvp",1,1+(Inputs!$B$20+((C943=TRUE)*(F943-Calc!F27))+Skills!P14+B957)/100),0)</f>
        <v/>
      </c>
      <c r="V930">
        <f>IF(C930,(H930*N930*IF(AND(Inputs!$B$39&lt;&gt;"pvp",Inputs!$B$44&gt;0),((Skills!G14*((R930-1)*IF(Skills!H14&gt;0,Skills!I14/Skills!H14,1)+IF(Skills!H14&gt;0,MIN(Skills!I14,MAX(0,MAX(0,Inputs!$B$44-B961)-((R930-1)*IF(Inputs!$B$39="pvp",15,MAX(0.1,Skills!D14-IF(Skills!E14=TRUE,Inputs!$B$32,0))))))/Skills!H14,1)))/Inputs!$B$44),G930*Q930))*IF(Inputs!$B$39="pvp",1,(1+(Inputs!$B$21+Skills!Q14+B957)/100)*(MIN(Skills!W14,Inputs!$B$37))),0)</f>
        <v/>
      </c>
    </row>
    <row r="931">
      <c r="A931">
        <f>Skills!A15</f>
        <v/>
      </c>
      <c r="B931">
        <f>Skills!B15</f>
        <v/>
      </c>
      <c r="C931">
        <f>Inputs!$B$3&gt;=110</f>
        <v/>
      </c>
      <c r="D931">
        <f>IF(Skills!C15=1,60+Inputs!$B$25+Inputs!$B$29,IF(Skills!C15=2,90+Inputs!$B$26+Inputs!$B$29,IF(Skills!C15=3,120+(Inputs!$B$27+1)+Inputs!$B$29,MAX(0,(Inputs!$B$3-100)*3)+Inputs!$B$28+Inputs!$B$29)))</f>
        <v/>
      </c>
      <c r="E931">
        <f>INDEX(FactorTable!$B$2:$Y$301, MATCH(ROUND(MIN(300,MAX(1,D931)),0), FactorTable!$A$2:$A$301,0), Skills!M15+1)</f>
        <v/>
      </c>
      <c r="F931">
        <f>IF(Skills!N15=TRUE,(Skills!L15/10)*(E931/1000),Skills!L15/10)+Skills!O15</f>
        <v/>
      </c>
      <c r="G931">
        <f>Calc!G15</f>
        <v/>
      </c>
      <c r="H931">
        <f>Calc!H15</f>
        <v/>
      </c>
      <c r="I931">
        <f>IF(Skills!AA15&lt;&gt;"",1+(Skills!AA15/10)*(U919/1000)/100,1)</f>
        <v/>
      </c>
      <c r="J931" t="inlineStr"/>
      <c r="K931" t="inlineStr"/>
      <c r="L931" t="inlineStr"/>
      <c r="M931" t="inlineStr"/>
      <c r="N931" t="inlineStr"/>
      <c r="O931">
        <f>(1-Summary!$B$55)*T931+Summary!$B$55*V931</f>
        <v/>
      </c>
      <c r="P931">
        <f>IF(B960=0,0,O931/B960)</f>
        <v/>
      </c>
      <c r="Q931">
        <f>IFERROR(1/IF(Inputs!$B$39="pvp",15,MAX(0.1,Skills!D15-IF(Skills!E15=TRUE,Inputs!$B$32,0))),0)</f>
        <v/>
      </c>
      <c r="R931">
        <f>IF(AND(Inputs!$B$39&lt;&gt;"pvp",Inputs!$B$44&gt;0),IF(Inputs!$B$44&lt;=0,0,(INT(Inputs!$B$44/IF(Inputs!$B$39="pvp",15,MAX(0.1,Skills!D15-IF(Skills!E15=TRUE,Inputs!$B$32,0))))+1)),0)</f>
        <v/>
      </c>
      <c r="S931">
        <f>IFERROR(O931/N931,0)</f>
        <v/>
      </c>
      <c r="T931" t="n">
        <v>0</v>
      </c>
      <c r="V931" t="n">
        <v>0</v>
      </c>
    </row>
    <row r="932">
      <c r="A932">
        <f>Skills!A16</f>
        <v/>
      </c>
      <c r="B932">
        <f>Skills!B16</f>
        <v/>
      </c>
      <c r="C932">
        <f>Inputs!$B$3&gt;=110</f>
        <v/>
      </c>
      <c r="D932">
        <f>IF(Skills!C16=1,60+Inputs!$B$25+Inputs!$B$29,IF(Skills!C16=2,90+Inputs!$B$26+Inputs!$B$29,IF(Skills!C16=3,120+(Inputs!$B$27+1)+Inputs!$B$29,MAX(0,(Inputs!$B$3-100)*3)+Inputs!$B$28+Inputs!$B$29)))</f>
        <v/>
      </c>
      <c r="E932">
        <f>INDEX(FactorTable!$B$2:$Y$301, MATCH(ROUND(MIN(300,MAX(1,D932)),0), FactorTable!$A$2:$A$301,0), Skills!M16+1)</f>
        <v/>
      </c>
      <c r="F932">
        <f>IF(Skills!N16=TRUE,(Skills!L16/10)*(E932/1000),Skills!L16/10)+Skills!O16</f>
        <v/>
      </c>
      <c r="G932">
        <f>Calc!G16</f>
        <v/>
      </c>
      <c r="H932">
        <f>Calc!H16</f>
        <v/>
      </c>
      <c r="I932">
        <f>IF(Skills!AA16&lt;&gt;"",1+(Skills!AA16/10)*(U919/1000)/100,1)</f>
        <v/>
      </c>
      <c r="J932" t="inlineStr"/>
      <c r="K932" t="inlineStr"/>
      <c r="L932" t="inlineStr"/>
      <c r="M932" t="inlineStr"/>
      <c r="N932" t="inlineStr"/>
      <c r="O932">
        <f>(1-Summary!$B$55)*T932+Summary!$B$55*V932</f>
        <v/>
      </c>
      <c r="P932">
        <f>IF(B960=0,0,O932/B960)</f>
        <v/>
      </c>
      <c r="Q932">
        <f>IFERROR(1/IF(Inputs!$B$39="pvp",15,MAX(0.1,Skills!D16-IF(Skills!E16=TRUE,Inputs!$B$32,0))),0)</f>
        <v/>
      </c>
      <c r="R932">
        <f>IF(AND(Inputs!$B$39&lt;&gt;"pvp",Inputs!$B$44&gt;0),IF(Inputs!$B$44&lt;=0,0,(INT(Inputs!$B$44/IF(Inputs!$B$39="pvp",15,MAX(0.1,Skills!D16-IF(Skills!E16=TRUE,Inputs!$B$32,0))))+1)),0)</f>
        <v/>
      </c>
      <c r="S932">
        <f>IFERROR(O932/N932,0)</f>
        <v/>
      </c>
      <c r="T932" t="n">
        <v>0</v>
      </c>
      <c r="V932" t="n">
        <v>0</v>
      </c>
    </row>
    <row r="933">
      <c r="A933">
        <f>Skills!A17</f>
        <v/>
      </c>
      <c r="B933">
        <f>Skills!B17</f>
        <v/>
      </c>
      <c r="C933">
        <f>Inputs!$B$3&gt;=115</f>
        <v/>
      </c>
      <c r="D933">
        <f>IF(Skills!C17=1,60+Inputs!$B$25+Inputs!$B$29,IF(Skills!C17=2,90+Inputs!$B$26+Inputs!$B$29,IF(Skills!C17=3,120+(Inputs!$B$27+1)+Inputs!$B$29,MAX(0,(Inputs!$B$3-100)*3)+Inputs!$B$28+Inputs!$B$29)))</f>
        <v/>
      </c>
      <c r="E933">
        <f>INDEX(FactorTable!$B$2:$Y$301, MATCH(ROUND(MIN(300,MAX(1,D933)),0), FactorTable!$A$2:$A$301,0), Skills!M17+1)</f>
        <v/>
      </c>
      <c r="F933">
        <f>IF(Skills!N17=TRUE,(Skills!L17/10)*(E933/1000),Skills!L17/10)+Skills!O17</f>
        <v/>
      </c>
      <c r="G933">
        <f>Calc!G17</f>
        <v/>
      </c>
      <c r="H933">
        <f>Calc!H17</f>
        <v/>
      </c>
      <c r="I933">
        <f>IF(Skills!AA17&lt;&gt;"",1+(Skills!AA17/10)*(U919/1000)/100,1)</f>
        <v/>
      </c>
      <c r="J933">
        <f>((Inputs!$B$6*(1+Inputs!$B$7/100))+(((Inputs!$B$12*(1+Inputs!$B$13/100))-(Inputs!$B$12*(1+Inputs!$B$13/100)))+0.25*(Inputs!$B$14-Inputs!$B$14))*(1+Inputs!$B$7/100))*(F933/100)</f>
        <v/>
      </c>
      <c r="K933">
        <f>J933*(1+((Inputs!$B$12*(1+Inputs!$B$13/100))*0.01+Inputs!$B$14*0.0025)/100)*(1+Inputs!$B$15/100)*(1+Inputs!$B$16/100)*(5000/(6000+Inputs!$B$43*(1-Inputs!$B$19/100)))*(1+(Inputs!$B$24+((C946=TRUE)*(F946-Calc!F30)))/100)*(1+Skills!R17/100)*(1+(IF(Skills!A17="SHOWDOWN",Inputs!$B$17+((C939=TRUE)*(F939-Calc!F23)),Inputs!$B$18+((C945=TRUE)*(F945-Calc!F29))))/100)*(((1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B958*I933)</f>
        <v/>
      </c>
      <c r="L933">
        <f>K933*(MIN(Inputs!$B$22+((C940=TRUE)*(F940-Calc!F24)),Inputs!$B$23)/100+Inputs!$B$23/100)/2</f>
        <v/>
      </c>
      <c r="M933">
        <f>L933*(1+(Inputs!$B$10+((C942=TRUE)*(F942-Calc!F26))+B959)/100)</f>
        <v/>
      </c>
      <c r="N933">
        <f>L933*(1-MIN((Inputs!$B$9+((C941=TRUE)*(F941-Calc!F25))+B956),100)/100)+M933*(MIN((Inputs!$B$9+((C941=TRUE)*(F941-Calc!F25))+B956),100)/100)</f>
        <v/>
      </c>
      <c r="O933">
        <f>(1-Summary!$B$55)*T933+Summary!$B$55*V933</f>
        <v/>
      </c>
      <c r="P933">
        <f>IF(B960=0,0,O933/B960)</f>
        <v/>
      </c>
      <c r="Q933" t="n">
        <v>0</v>
      </c>
      <c r="R933" t="n">
        <v>0</v>
      </c>
      <c r="S933">
        <f>IFERROR(O933/N933,0)</f>
        <v/>
      </c>
      <c r="T933">
        <f>IF(C933,(Inputs!$B$38*0.2*N933)*IF(Inputs!$B$39="pvp",1,1+(Inputs!$B$20+((C943=TRUE)*(F943-Calc!F27))+Skills!P17+B957)/100),0)</f>
        <v/>
      </c>
      <c r="V933">
        <f>IF(C933,(Inputs!$B$38*0.2*N933)*IF(Inputs!$B$39="pvp",1,(1+(Inputs!$B$21+Skills!Q17+B957)/100)*(MIN(Skills!W17,Inputs!$B$37))),0)</f>
        <v/>
      </c>
    </row>
    <row r="934">
      <c r="A934">
        <f>Skills!A18</f>
        <v/>
      </c>
      <c r="B934">
        <f>Skills!B18</f>
        <v/>
      </c>
      <c r="C934">
        <f>Inputs!$B$3&gt;=115</f>
        <v/>
      </c>
      <c r="D934">
        <f>IF(Skills!C18=1,60+Inputs!$B$25+Inputs!$B$29,IF(Skills!C18=2,90+Inputs!$B$26+Inputs!$B$29,IF(Skills!C18=3,120+(Inputs!$B$27+1)+Inputs!$B$29,MAX(0,(Inputs!$B$3-100)*3)+Inputs!$B$28+Inputs!$B$29)))</f>
        <v/>
      </c>
      <c r="E934">
        <f>INDEX(FactorTable!$B$2:$Y$301, MATCH(ROUND(MIN(300,MAX(1,D934)),0), FactorTable!$A$2:$A$301,0), Skills!M18+1)</f>
        <v/>
      </c>
      <c r="F934">
        <f>IF(Skills!N18=TRUE,(Skills!L18/10)*(E934/1000),Skills!L18/10)+Skills!O18</f>
        <v/>
      </c>
      <c r="G934">
        <f>Calc!G18</f>
        <v/>
      </c>
      <c r="H934">
        <f>Calc!H18</f>
        <v/>
      </c>
      <c r="I934">
        <f>IF(Skills!AA18&lt;&gt;"",1+(Skills!AA18/10)*(U919/1000)/100,1)</f>
        <v/>
      </c>
      <c r="J934" t="inlineStr"/>
      <c r="K934" t="inlineStr"/>
      <c r="L934" t="inlineStr"/>
      <c r="M934" t="inlineStr"/>
      <c r="N934" t="inlineStr"/>
      <c r="O934">
        <f>(1-Summary!$B$55)*T934+Summary!$B$55*V934</f>
        <v/>
      </c>
      <c r="P934">
        <f>IF(B960=0,0,O934/B960)</f>
        <v/>
      </c>
      <c r="Q934" t="n">
        <v>0</v>
      </c>
      <c r="R934" t="n">
        <v>0</v>
      </c>
      <c r="S934">
        <f>IFERROR(O934/N934,0)</f>
        <v/>
      </c>
      <c r="T934" t="n">
        <v>0</v>
      </c>
      <c r="V934" t="n">
        <v>0</v>
      </c>
    </row>
    <row r="935">
      <c r="A935">
        <f>Skills!A19</f>
        <v/>
      </c>
      <c r="B935">
        <f>Skills!B19</f>
        <v/>
      </c>
      <c r="C935">
        <f>TRUE</f>
        <v/>
      </c>
      <c r="D935">
        <f>IF(Skills!C19=1,60+Inputs!$B$25+Inputs!$B$29,IF(Skills!C19=2,90+Inputs!$B$26+Inputs!$B$29,IF(Skills!C19=3,120+(Inputs!$B$27+1)+Inputs!$B$29,MAX(0,(Inputs!$B$3-100)*3)+Inputs!$B$28+Inputs!$B$29)))</f>
        <v/>
      </c>
      <c r="E935">
        <f>INDEX(FactorTable!$B$2:$Y$301, MATCH(ROUND(MIN(300,MAX(1,D935)),0), FactorTable!$A$2:$A$301,0), Skills!M19+1)</f>
        <v/>
      </c>
      <c r="F935">
        <f>IF(Skills!N19=TRUE,(Skills!L19/10)*(E935/1000),Skills!L19/10)+Skills!O19</f>
        <v/>
      </c>
      <c r="G935">
        <f>Calc!G19</f>
        <v/>
      </c>
      <c r="H935">
        <f>Calc!H19</f>
        <v/>
      </c>
      <c r="I935">
        <f>IF(Skills!AA19&lt;&gt;"",1+(Skills!AA19/10)*(U919/1000)/100,1)</f>
        <v/>
      </c>
      <c r="J935" t="inlineStr"/>
      <c r="K935" t="inlineStr"/>
      <c r="L935" t="inlineStr"/>
      <c r="M935" t="inlineStr"/>
      <c r="N935" t="inlineStr"/>
      <c r="O935">
        <f>(1-Summary!$B$55)*T935+Summary!$B$55*V935</f>
        <v/>
      </c>
      <c r="P935">
        <f>IF(B960=0,0,O935/B960)</f>
        <v/>
      </c>
      <c r="Q935">
        <f>IFERROR(1/IF(Inputs!$B$39="pvp",15,MAX(0.1,Skills!D19-IF(Skills!E19=TRUE,Inputs!$B$32,0))),0)</f>
        <v/>
      </c>
      <c r="R935">
        <f>IF(AND(Inputs!$B$39&lt;&gt;"pvp",Inputs!$B$44&gt;0),IF(Inputs!$B$44&lt;=0,0,(INT(Inputs!$B$44/IF(Inputs!$B$39="pvp",15,MAX(0.1,Skills!D19-IF(Skills!E19=TRUE,Inputs!$B$32,0))))+1)),0)</f>
        <v/>
      </c>
      <c r="S935">
        <f>IFERROR(O935/N935,0)</f>
        <v/>
      </c>
      <c r="T935" t="n">
        <v>0</v>
      </c>
      <c r="V935" t="n">
        <v>0</v>
      </c>
    </row>
    <row r="936">
      <c r="A936">
        <f>Skills!A20</f>
        <v/>
      </c>
      <c r="B936">
        <f>Skills!B20</f>
        <v/>
      </c>
      <c r="C936">
        <f>Inputs!$B$3&gt;=15</f>
        <v/>
      </c>
      <c r="D936">
        <f>IF(Skills!C20=1,60+Inputs!$B$25+Inputs!$B$29,IF(Skills!C20=2,90+Inputs!$B$26+Inputs!$B$29,IF(Skills!C20=3,120+(Inputs!$B$27+1)+Inputs!$B$29,MAX(0,(Inputs!$B$3-100)*3)+Inputs!$B$28+Inputs!$B$29)))</f>
        <v/>
      </c>
      <c r="E936">
        <f>INDEX(FactorTable!$B$2:$Y$301, MATCH(ROUND(MIN(300,MAX(1,D936)),0), FactorTable!$A$2:$A$301,0), Skills!M20+1)</f>
        <v/>
      </c>
      <c r="F936">
        <f>IF(Skills!N20=TRUE,(Skills!L20/10)*(E936/1000),Skills!L20/10)+Skills!O20</f>
        <v/>
      </c>
      <c r="G936">
        <f>Calc!G20</f>
        <v/>
      </c>
      <c r="H936">
        <f>Calc!H20</f>
        <v/>
      </c>
      <c r="I936">
        <f>IF(Skills!AA20&lt;&gt;"",1+(Skills!AA20/10)*(U919/1000)/100,1)</f>
        <v/>
      </c>
      <c r="J936" t="inlineStr"/>
      <c r="K936" t="inlineStr"/>
      <c r="L936" t="inlineStr"/>
      <c r="M936" t="inlineStr"/>
      <c r="N936" t="inlineStr"/>
      <c r="O936">
        <f>(1-Summary!$B$55)*T936+Summary!$B$55*V936</f>
        <v/>
      </c>
      <c r="P936">
        <f>IF(B960=0,0,O936/B960)</f>
        <v/>
      </c>
      <c r="Q936">
        <f>IFERROR(1/IF(Inputs!$B$39="pvp",15,MAX(0.1,Skills!D20-IF(Skills!E20=TRUE,Inputs!$B$32,0))),0)</f>
        <v/>
      </c>
      <c r="R936">
        <f>IF(AND(Inputs!$B$39&lt;&gt;"pvp",Inputs!$B$44&gt;0),IF(Inputs!$B$44&lt;=0,0,(INT(Inputs!$B$44/IF(Inputs!$B$39="pvp",15,MAX(0.1,Skills!D20-IF(Skills!E20=TRUE,Inputs!$B$32,0))))+1)),0)</f>
        <v/>
      </c>
      <c r="S936">
        <f>IFERROR(O936/N936,0)</f>
        <v/>
      </c>
      <c r="T936" t="n">
        <v>0</v>
      </c>
      <c r="V936" t="n">
        <v>0</v>
      </c>
    </row>
    <row r="937">
      <c r="A937">
        <f>Skills!A21</f>
        <v/>
      </c>
      <c r="B937">
        <f>Skills!B21</f>
        <v/>
      </c>
      <c r="C937">
        <f>Inputs!$B$3&gt;=15</f>
        <v/>
      </c>
      <c r="D937">
        <f>IF(Skills!C21=1,60+Inputs!$B$25+Inputs!$B$29,IF(Skills!C21=2,90+Inputs!$B$26+Inputs!$B$29,IF(Skills!C21=3,120+(Inputs!$B$27+1)+Inputs!$B$29,MAX(0,(Inputs!$B$3-100)*3)+Inputs!$B$28+Inputs!$B$29)))</f>
        <v/>
      </c>
      <c r="E937">
        <f>INDEX(FactorTable!$B$2:$Y$301, MATCH(ROUND(MIN(300,MAX(1,D937)),0), FactorTable!$A$2:$A$301,0), Skills!M21+1)</f>
        <v/>
      </c>
      <c r="F937">
        <f>IF(Skills!N21=TRUE,(Skills!L21/10)*(E937/1000),Skills!L21/10)+Skills!O21</f>
        <v/>
      </c>
      <c r="G937">
        <f>Calc!G21</f>
        <v/>
      </c>
      <c r="H937">
        <f>Calc!H21</f>
        <v/>
      </c>
      <c r="I937">
        <f>IF(Skills!AA21&lt;&gt;"",1+(Skills!AA21/10)*(U919/1000)/100,1)</f>
        <v/>
      </c>
      <c r="J937" t="inlineStr"/>
      <c r="K937" t="inlineStr"/>
      <c r="L937" t="inlineStr"/>
      <c r="M937" t="inlineStr"/>
      <c r="N937" t="inlineStr"/>
      <c r="O937">
        <f>(1-Summary!$B$55)*T937+Summary!$B$55*V937</f>
        <v/>
      </c>
      <c r="P937">
        <f>IF(B960=0,0,O937/B960)</f>
        <v/>
      </c>
      <c r="Q937">
        <f>IFERROR(1/IF(Inputs!$B$39="pvp",15,MAX(0.1,Skills!D21-IF(Skills!E21=TRUE,Inputs!$B$32,0))),0)</f>
        <v/>
      </c>
      <c r="R937">
        <f>IF(AND(Inputs!$B$39&lt;&gt;"pvp",Inputs!$B$44&gt;0),IF(Inputs!$B$44&lt;=0,0,(INT(Inputs!$B$44/IF(Inputs!$B$39="pvp",15,MAX(0.1,Skills!D21-IF(Skills!E21=TRUE,Inputs!$B$32,0))))+1)),0)</f>
        <v/>
      </c>
      <c r="S937">
        <f>IFERROR(O937/N937,0)</f>
        <v/>
      </c>
      <c r="T937" t="n">
        <v>0</v>
      </c>
      <c r="V937" t="n">
        <v>0</v>
      </c>
    </row>
    <row r="938">
      <c r="A938">
        <f>Skills!A22</f>
        <v/>
      </c>
      <c r="B938">
        <f>Skills!B22</f>
        <v/>
      </c>
      <c r="C938">
        <f>Inputs!$B$3&gt;=33</f>
        <v/>
      </c>
      <c r="D938">
        <f>IF(Skills!C22=1,60+Inputs!$B$25+Inputs!$B$29,IF(Skills!C22=2,90+Inputs!$B$26+Inputs!$B$29,IF(Skills!C22=3,120+(Inputs!$B$27+1)+Inputs!$B$29,MAX(0,(Inputs!$B$3-100)*3)+Inputs!$B$28+Inputs!$B$29)))</f>
        <v/>
      </c>
      <c r="E938">
        <f>INDEX(FactorTable!$B$2:$Y$301, MATCH(ROUND(MIN(300,MAX(1,D938)),0), FactorTable!$A$2:$A$301,0), Skills!M22+1)</f>
        <v/>
      </c>
      <c r="F938">
        <f>IF(Skills!N22=TRUE,(Skills!L22/10)*(E938/1000),Skills!L22/10)+Skills!O22</f>
        <v/>
      </c>
      <c r="G938">
        <f>Calc!G22</f>
        <v/>
      </c>
      <c r="H938">
        <f>Calc!H22</f>
        <v/>
      </c>
      <c r="I938">
        <f>IF(Skills!AA22&lt;&gt;"",1+(Skills!AA22/10)*(U919/1000)/100,1)</f>
        <v/>
      </c>
      <c r="J938" t="inlineStr"/>
      <c r="K938" t="inlineStr"/>
      <c r="L938" t="inlineStr"/>
      <c r="M938" t="inlineStr"/>
      <c r="N938" t="inlineStr"/>
      <c r="O938">
        <f>(1-Summary!$B$55)*T938+Summary!$B$55*V938</f>
        <v/>
      </c>
      <c r="P938">
        <f>IF(B960=0,0,O938/B960)</f>
        <v/>
      </c>
      <c r="Q938" t="n">
        <v>0</v>
      </c>
      <c r="R938" t="n">
        <v>0</v>
      </c>
      <c r="S938">
        <f>IFERROR(O938/N938,0)</f>
        <v/>
      </c>
      <c r="T938" t="n">
        <v>0</v>
      </c>
      <c r="V938" t="n">
        <v>0</v>
      </c>
    </row>
    <row r="939">
      <c r="A939">
        <f>Skills!A23</f>
        <v/>
      </c>
      <c r="B939">
        <f>Skills!B23</f>
        <v/>
      </c>
      <c r="C939">
        <f>Inputs!$B$3&gt;=38</f>
        <v/>
      </c>
      <c r="D939">
        <f>IF(Skills!C23=1,60+Inputs!$B$25+Inputs!$B$29,IF(Skills!C23=2,90+Inputs!$B$26+Inputs!$B$29,IF(Skills!C23=3,120+(Inputs!$B$27+1)+Inputs!$B$29,MAX(0,(Inputs!$B$3-100)*3)+Inputs!$B$28+Inputs!$B$29)))</f>
        <v/>
      </c>
      <c r="E939">
        <f>INDEX(FactorTable!$B$2:$Y$301, MATCH(ROUND(MIN(300,MAX(1,D939)),0), FactorTable!$A$2:$A$301,0), Skills!M23+1)</f>
        <v/>
      </c>
      <c r="F939">
        <f>IF(Skills!N23=TRUE,(Skills!L23/10)*(E939/1000),Skills!L23/10)+Skills!O23</f>
        <v/>
      </c>
      <c r="G939">
        <f>Calc!G23</f>
        <v/>
      </c>
      <c r="H939">
        <f>Calc!H23</f>
        <v/>
      </c>
      <c r="I939">
        <f>IF(Skills!AA23&lt;&gt;"",1+(Skills!AA23/10)*(U919/1000)/100,1)</f>
        <v/>
      </c>
      <c r="J939" t="inlineStr"/>
      <c r="K939" t="inlineStr"/>
      <c r="L939" t="inlineStr"/>
      <c r="M939" t="inlineStr"/>
      <c r="N939" t="inlineStr"/>
      <c r="O939">
        <f>(1-Summary!$B$55)*T939+Summary!$B$55*V939</f>
        <v/>
      </c>
      <c r="P939">
        <f>IF(B960=0,0,O939/B960)</f>
        <v/>
      </c>
      <c r="Q939" t="n">
        <v>0</v>
      </c>
      <c r="R939" t="n">
        <v>0</v>
      </c>
      <c r="S939">
        <f>IFERROR(O939/N939,0)</f>
        <v/>
      </c>
      <c r="T939" t="n">
        <v>0</v>
      </c>
      <c r="V939" t="n">
        <v>0</v>
      </c>
    </row>
    <row r="940">
      <c r="A940">
        <f>Skills!A24</f>
        <v/>
      </c>
      <c r="B940">
        <f>Skills!B24</f>
        <v/>
      </c>
      <c r="C940">
        <f>Inputs!$B$3&gt;=40</f>
        <v/>
      </c>
      <c r="D940">
        <f>IF(Skills!C24=1,60+Inputs!$B$25+Inputs!$B$29,IF(Skills!C24=2,90+Inputs!$B$26+Inputs!$B$29,IF(Skills!C24=3,120+(Inputs!$B$27+1)+Inputs!$B$29,MAX(0,(Inputs!$B$3-100)*3)+Inputs!$B$28+Inputs!$B$29)))</f>
        <v/>
      </c>
      <c r="E940">
        <f>INDEX(FactorTable!$B$2:$Y$301, MATCH(ROUND(MIN(300,MAX(1,D940)),0), FactorTable!$A$2:$A$301,0), Skills!M24+1)</f>
        <v/>
      </c>
      <c r="F940">
        <f>IF(Skills!N24=TRUE,(Skills!L24/10)*(E940/1000),Skills!L24/10)+Skills!O24</f>
        <v/>
      </c>
      <c r="G940">
        <f>Calc!G24</f>
        <v/>
      </c>
      <c r="H940">
        <f>Calc!H24</f>
        <v/>
      </c>
      <c r="I940">
        <f>IF(Skills!AA24&lt;&gt;"",1+(Skills!AA24/10)*(U919/1000)/100,1)</f>
        <v/>
      </c>
      <c r="J940" t="inlineStr"/>
      <c r="K940" t="inlineStr"/>
      <c r="L940" t="inlineStr"/>
      <c r="M940" t="inlineStr"/>
      <c r="N940" t="inlineStr"/>
      <c r="O940">
        <f>(1-Summary!$B$55)*T940+Summary!$B$55*V940</f>
        <v/>
      </c>
      <c r="P940">
        <f>IF(B960=0,0,O940/B960)</f>
        <v/>
      </c>
      <c r="Q940" t="n">
        <v>0</v>
      </c>
      <c r="R940" t="n">
        <v>0</v>
      </c>
      <c r="S940">
        <f>IFERROR(O940/N940,0)</f>
        <v/>
      </c>
      <c r="T940" t="n">
        <v>0</v>
      </c>
      <c r="V940" t="n">
        <v>0</v>
      </c>
    </row>
    <row r="941">
      <c r="A941">
        <f>Skills!A25</f>
        <v/>
      </c>
      <c r="B941">
        <f>Skills!B25</f>
        <v/>
      </c>
      <c r="C941">
        <f>Inputs!$B$3&gt;=45</f>
        <v/>
      </c>
      <c r="D941">
        <f>IF(Skills!C25=1,60+Inputs!$B$25+Inputs!$B$29,IF(Skills!C25=2,90+Inputs!$B$26+Inputs!$B$29,IF(Skills!C25=3,120+(Inputs!$B$27+1)+Inputs!$B$29,MAX(0,(Inputs!$B$3-100)*3)+Inputs!$B$28+Inputs!$B$29)))</f>
        <v/>
      </c>
      <c r="E941">
        <f>INDEX(FactorTable!$B$2:$Y$301, MATCH(ROUND(MIN(300,MAX(1,D941)),0), FactorTable!$A$2:$A$301,0), Skills!M25+1)</f>
        <v/>
      </c>
      <c r="F941">
        <f>IF(Skills!N25=TRUE,(Skills!L25/10)*(E941/1000),Skills!L25/10)+Skills!O25</f>
        <v/>
      </c>
      <c r="G941">
        <f>Calc!G25</f>
        <v/>
      </c>
      <c r="H941">
        <f>Calc!H25</f>
        <v/>
      </c>
      <c r="I941">
        <f>IF(Skills!AA25&lt;&gt;"",1+(Skills!AA25/10)*(U919/1000)/100,1)</f>
        <v/>
      </c>
      <c r="J941" t="inlineStr"/>
      <c r="K941" t="inlineStr"/>
      <c r="L941" t="inlineStr"/>
      <c r="M941" t="inlineStr"/>
      <c r="N941" t="inlineStr"/>
      <c r="O941">
        <f>(1-Summary!$B$55)*T941+Summary!$B$55*V941</f>
        <v/>
      </c>
      <c r="P941">
        <f>IF(B960=0,0,O941/B960)</f>
        <v/>
      </c>
      <c r="Q941" t="n">
        <v>0</v>
      </c>
      <c r="R941" t="n">
        <v>0</v>
      </c>
      <c r="S941">
        <f>IFERROR(O941/N941,0)</f>
        <v/>
      </c>
      <c r="T941" t="n">
        <v>0</v>
      </c>
      <c r="V941" t="n">
        <v>0</v>
      </c>
    </row>
    <row r="942">
      <c r="A942">
        <f>Skills!A26</f>
        <v/>
      </c>
      <c r="B942">
        <f>Skills!B26</f>
        <v/>
      </c>
      <c r="C942">
        <f>Inputs!$B$3&gt;=45</f>
        <v/>
      </c>
      <c r="D942">
        <f>IF(Skills!C26=1,60+Inputs!$B$25+Inputs!$B$29,IF(Skills!C26=2,90+Inputs!$B$26+Inputs!$B$29,IF(Skills!C26=3,120+(Inputs!$B$27+1)+Inputs!$B$29,MAX(0,(Inputs!$B$3-100)*3)+Inputs!$B$28+Inputs!$B$29)))</f>
        <v/>
      </c>
      <c r="E942">
        <f>INDEX(FactorTable!$B$2:$Y$301, MATCH(ROUND(MIN(300,MAX(1,D942)),0), FactorTable!$A$2:$A$301,0), Skills!M26+1)</f>
        <v/>
      </c>
      <c r="F942">
        <f>IF(Skills!N26=TRUE,(Skills!L26/10)*(E942/1000),Skills!L26/10)+Skills!O26</f>
        <v/>
      </c>
      <c r="G942">
        <f>Calc!G26</f>
        <v/>
      </c>
      <c r="H942">
        <f>Calc!H26</f>
        <v/>
      </c>
      <c r="I942">
        <f>IF(Skills!AA26&lt;&gt;"",1+(Skills!AA26/10)*(U919/1000)/100,1)</f>
        <v/>
      </c>
      <c r="J942" t="inlineStr"/>
      <c r="K942" t="inlineStr"/>
      <c r="L942" t="inlineStr"/>
      <c r="M942" t="inlineStr"/>
      <c r="N942" t="inlineStr"/>
      <c r="O942">
        <f>(1-Summary!$B$55)*T942+Summary!$B$55*V942</f>
        <v/>
      </c>
      <c r="P942">
        <f>IF(B960=0,0,O942/B960)</f>
        <v/>
      </c>
      <c r="Q942" t="n">
        <v>0</v>
      </c>
      <c r="R942" t="n">
        <v>0</v>
      </c>
      <c r="S942">
        <f>IFERROR(O942/N942,0)</f>
        <v/>
      </c>
      <c r="T942" t="n">
        <v>0</v>
      </c>
      <c r="V942" t="n">
        <v>0</v>
      </c>
    </row>
    <row r="943">
      <c r="A943">
        <f>Skills!A27</f>
        <v/>
      </c>
      <c r="B943">
        <f>Skills!B27</f>
        <v/>
      </c>
      <c r="C943">
        <f>Inputs!$B$3&gt;=72</f>
        <v/>
      </c>
      <c r="D943">
        <f>IF(Skills!C27=1,60+Inputs!$B$25+Inputs!$B$29,IF(Skills!C27=2,90+Inputs!$B$26+Inputs!$B$29,IF(Skills!C27=3,120+(Inputs!$B$27+1)+Inputs!$B$29,MAX(0,(Inputs!$B$3-100)*3)+Inputs!$B$28+Inputs!$B$29)))</f>
        <v/>
      </c>
      <c r="E943">
        <f>INDEX(FactorTable!$B$2:$Y$301, MATCH(ROUND(MIN(300,MAX(1,D943)),0), FactorTable!$A$2:$A$301,0), Skills!M27+1)</f>
        <v/>
      </c>
      <c r="F943">
        <f>IF(Skills!N27=TRUE,(Skills!L27/10)*(E943/1000),Skills!L27/10)+Skills!O27</f>
        <v/>
      </c>
      <c r="G943">
        <f>Calc!G27</f>
        <v/>
      </c>
      <c r="H943">
        <f>Calc!H27</f>
        <v/>
      </c>
      <c r="I943">
        <f>IF(Skills!AA27&lt;&gt;"",1+(Skills!AA27/10)*(U919/1000)/100,1)</f>
        <v/>
      </c>
      <c r="J943" t="inlineStr"/>
      <c r="K943" t="inlineStr"/>
      <c r="L943" t="inlineStr"/>
      <c r="M943" t="inlineStr"/>
      <c r="N943" t="inlineStr"/>
      <c r="O943">
        <f>(1-Summary!$B$55)*T943+Summary!$B$55*V943</f>
        <v/>
      </c>
      <c r="P943">
        <f>IF(B960=0,0,O943/B960)</f>
        <v/>
      </c>
      <c r="Q943" t="n">
        <v>0</v>
      </c>
      <c r="R943" t="n">
        <v>0</v>
      </c>
      <c r="S943">
        <f>IFERROR(O943/N943,0)</f>
        <v/>
      </c>
      <c r="T943" t="n">
        <v>0</v>
      </c>
      <c r="V943" t="n">
        <v>0</v>
      </c>
    </row>
    <row r="944">
      <c r="A944">
        <f>Skills!A28</f>
        <v/>
      </c>
      <c r="B944">
        <f>Skills!B28</f>
        <v/>
      </c>
      <c r="C944">
        <f>Inputs!$B$3&gt;=75</f>
        <v/>
      </c>
      <c r="D944">
        <f>IF(Skills!C28=1,60+Inputs!$B$25+Inputs!$B$29,IF(Skills!C28=2,90+Inputs!$B$26+Inputs!$B$29,IF(Skills!C28=3,120+(Inputs!$B$27+1)+Inputs!$B$29,MAX(0,(Inputs!$B$3-100)*3)+Inputs!$B$28+Inputs!$B$29)))</f>
        <v/>
      </c>
      <c r="E944">
        <f>INDEX(FactorTable!$B$2:$Y$301, MATCH(ROUND(MIN(300,MAX(1,D944)),0), FactorTable!$A$2:$A$301,0), Skills!M28+1)</f>
        <v/>
      </c>
      <c r="F944">
        <f>IF(Skills!N28=TRUE,(Skills!L28/10)*(E944/1000),Skills!L28/10)+Skills!O28</f>
        <v/>
      </c>
      <c r="G944">
        <f>Calc!G28</f>
        <v/>
      </c>
      <c r="H944">
        <f>Calc!H28</f>
        <v/>
      </c>
      <c r="I944">
        <f>IF(Skills!AA28&lt;&gt;"",1+(Skills!AA28/10)*(U919/1000)/100,1)</f>
        <v/>
      </c>
      <c r="J944" t="inlineStr"/>
      <c r="K944" t="inlineStr"/>
      <c r="L944" t="inlineStr"/>
      <c r="M944" t="inlineStr"/>
      <c r="N944" t="inlineStr"/>
      <c r="O944">
        <f>(1-Summary!$B$55)*T944+Summary!$B$55*V944</f>
        <v/>
      </c>
      <c r="P944">
        <f>IF(B960=0,0,O944/B960)</f>
        <v/>
      </c>
      <c r="Q944" t="n">
        <v>0</v>
      </c>
      <c r="R944" t="n">
        <v>0</v>
      </c>
      <c r="S944">
        <f>IFERROR(O944/N944,0)</f>
        <v/>
      </c>
      <c r="T944" t="n">
        <v>0</v>
      </c>
      <c r="V944" t="n">
        <v>0</v>
      </c>
    </row>
    <row r="945">
      <c r="A945">
        <f>Skills!A29</f>
        <v/>
      </c>
      <c r="B945">
        <f>Skills!B29</f>
        <v/>
      </c>
      <c r="C945">
        <f>Inputs!$B$3&gt;=120</f>
        <v/>
      </c>
      <c r="D945">
        <f>IF(Skills!C29=1,60+Inputs!$B$25+Inputs!$B$29,IF(Skills!C29=2,90+Inputs!$B$26+Inputs!$B$29,IF(Skills!C29=3,120+(Inputs!$B$27+1)+Inputs!$B$29,MAX(0,(Inputs!$B$3-100)*3)+Inputs!$B$28+Inputs!$B$29)))</f>
        <v/>
      </c>
      <c r="E945">
        <f>INDEX(FactorTable!$B$2:$Y$301, MATCH(ROUND(MIN(300,MAX(1,D945)),0), FactorTable!$A$2:$A$301,0), Skills!M29+1)</f>
        <v/>
      </c>
      <c r="F945">
        <f>IF(Skills!N29=TRUE,(Skills!L29/10)*(E945/1000),Skills!L29/10)+Skills!O29</f>
        <v/>
      </c>
      <c r="G945">
        <f>Calc!G29</f>
        <v/>
      </c>
      <c r="H945">
        <f>Calc!H29</f>
        <v/>
      </c>
      <c r="I945">
        <f>IF(Skills!AA29&lt;&gt;"",1+(Skills!AA29/10)*(U919/1000)/100,1)</f>
        <v/>
      </c>
      <c r="J945" t="inlineStr"/>
      <c r="K945" t="inlineStr"/>
      <c r="L945" t="inlineStr"/>
      <c r="M945" t="inlineStr"/>
      <c r="N945" t="inlineStr"/>
      <c r="O945">
        <f>(1-Summary!$B$55)*T945+Summary!$B$55*V945</f>
        <v/>
      </c>
      <c r="P945">
        <f>IF(B960=0,0,O945/B960)</f>
        <v/>
      </c>
      <c r="Q945" t="n">
        <v>0</v>
      </c>
      <c r="R945" t="n">
        <v>0</v>
      </c>
      <c r="S945">
        <f>IFERROR(O945/N945,0)</f>
        <v/>
      </c>
      <c r="T945" t="n">
        <v>0</v>
      </c>
      <c r="V945" t="n">
        <v>0</v>
      </c>
    </row>
    <row r="946">
      <c r="A946">
        <f>Skills!A30</f>
        <v/>
      </c>
      <c r="B946">
        <f>Skills!B30</f>
        <v/>
      </c>
      <c r="C946">
        <f>Inputs!$B$3&gt;=125</f>
        <v/>
      </c>
      <c r="D946">
        <f>IF(Skills!C30=1,60+Inputs!$B$25+Inputs!$B$29,IF(Skills!C30=2,90+Inputs!$B$26+Inputs!$B$29,IF(Skills!C30=3,120+(Inputs!$B$27+1)+Inputs!$B$29,MAX(0,(Inputs!$B$3-100)*3)+Inputs!$B$28+Inputs!$B$29)))</f>
        <v/>
      </c>
      <c r="E946">
        <f>INDEX(FactorTable!$B$2:$Y$301, MATCH(ROUND(MIN(300,MAX(1,D946)),0), FactorTable!$A$2:$A$301,0), Skills!M30+1)</f>
        <v/>
      </c>
      <c r="F946">
        <f>IF(Skills!N30=TRUE,(Skills!L30/10)*(E946/1000),Skills!L30/10)+Skills!O30</f>
        <v/>
      </c>
      <c r="G946">
        <f>Calc!G30</f>
        <v/>
      </c>
      <c r="H946">
        <f>Calc!H30</f>
        <v/>
      </c>
      <c r="I946">
        <f>IF(Skills!AA30&lt;&gt;"",1+(Skills!AA30/10)*(U919/1000)/100,1)</f>
        <v/>
      </c>
      <c r="J946" t="inlineStr"/>
      <c r="K946" t="inlineStr"/>
      <c r="L946" t="inlineStr"/>
      <c r="M946" t="inlineStr"/>
      <c r="N946" t="inlineStr"/>
      <c r="O946">
        <f>(1-Summary!$B$55)*T946+Summary!$B$55*V946</f>
        <v/>
      </c>
      <c r="P946">
        <f>IF(B960=0,0,O946/B960)</f>
        <v/>
      </c>
      <c r="Q946" t="n">
        <v>0</v>
      </c>
      <c r="R946" t="n">
        <v>0</v>
      </c>
      <c r="S946">
        <f>IFERROR(O946/N946,0)</f>
        <v/>
      </c>
      <c r="T946" t="n">
        <v>0</v>
      </c>
      <c r="V946" t="n">
        <v>0</v>
      </c>
    </row>
    <row r="947">
      <c r="A947">
        <f>Skills!A31</f>
        <v/>
      </c>
      <c r="B947">
        <f>Skills!B31</f>
        <v/>
      </c>
      <c r="C947">
        <f>Inputs!$B$3&gt;=107</f>
        <v/>
      </c>
      <c r="D947">
        <f>IF(Skills!C31=1,60+Inputs!$B$25+Inputs!$B$29,IF(Skills!C31=2,90+Inputs!$B$26+Inputs!$B$29,IF(Skills!C31=3,120+(Inputs!$B$27+1)+Inputs!$B$29,MAX(0,(Inputs!$B$3-100)*3)+Inputs!$B$28+Inputs!$B$29)))</f>
        <v/>
      </c>
      <c r="E947">
        <f>INDEX(FactorTable!$B$2:$Y$301, MATCH(ROUND(MIN(300,MAX(1,D947)),0), FactorTable!$A$2:$A$301,0), Skills!M31+1)</f>
        <v/>
      </c>
      <c r="F947">
        <f>IF(Skills!N31=TRUE,(Skills!L31/10)*(E947/1000),Skills!L31/10)+Skills!O31</f>
        <v/>
      </c>
      <c r="G947">
        <f>Calc!G31</f>
        <v/>
      </c>
      <c r="H947">
        <f>Calc!H31</f>
        <v/>
      </c>
      <c r="I947">
        <f>IF(Skills!AA31&lt;&gt;"",1+(Skills!AA31/10)*(U919/1000)/100,1)</f>
        <v/>
      </c>
      <c r="J947" t="inlineStr"/>
      <c r="K947" t="inlineStr"/>
      <c r="L947" t="inlineStr"/>
      <c r="M947" t="inlineStr"/>
      <c r="N947" t="inlineStr"/>
      <c r="O947">
        <f>(1-Summary!$B$55)*T947+Summary!$B$55*V947</f>
        <v/>
      </c>
      <c r="P947">
        <f>IF(B960=0,0,O947/B960)</f>
        <v/>
      </c>
      <c r="Q947" t="n">
        <v>0</v>
      </c>
      <c r="R947" t="n">
        <v>0</v>
      </c>
      <c r="S947">
        <f>IFERROR(O947/N947,0)</f>
        <v/>
      </c>
      <c r="T947" t="n">
        <v>0</v>
      </c>
      <c r="V947" t="n">
        <v>0</v>
      </c>
    </row>
    <row r="949">
      <c r="A949" t="inlineStr">
        <is>
          <t>Actions Per Second (pre-Adrenalin)</t>
        </is>
      </c>
      <c r="B949">
        <f>1+MIN(150,150*(1-(1-(Inputs!$B$11+((C938=TRUE)*(F938-Calc!F22)))/150)*(1-((C935=TRUE)*F935*IF(AND(Inputs!$B$39&lt;&gt;"pvp",Inputs!$B$44&gt;0),(((R935-1)*(Skills!Y19*(1+Inputs!$B$34/100))+MIN((Skills!Y19*(1+Inputs!$B$34/100)),MAX(0,Inputs!$B$44-((R935-1)*Skills!D19))))/Inputs!$B$44),IF(Inputs!$B$39="pvp",MIN((Skills!Y19*(1+Inputs!$B$34/100)),15)/15,(Skills!Y19*(1+Inputs!$B$34/100))/Skills!D19)))/150)))/100</f>
        <v/>
      </c>
    </row>
    <row r="950">
      <c r="A950" t="inlineStr">
        <is>
          <t>Alchemic Adrenaline Uptime</t>
        </is>
      </c>
      <c r="B950">
        <f>(Skills!Y6*(1+Inputs!$B$34/100))/((Skills!Y6*(1+Inputs!$B$34/100))+(5/B949))</f>
        <v/>
      </c>
    </row>
    <row r="951">
      <c r="A951" t="inlineStr">
        <is>
          <t>Attack Speed Buff Bonus %</t>
        </is>
      </c>
      <c r="B951">
        <f>((C935=TRUE)*F935*IF(AND(Inputs!$B$39&lt;&gt;"pvp",Inputs!$B$44&gt;0),(((R935-1)*(Skills!Y19*(1+Inputs!$B$34/100))+MIN((Skills!Y19*(1+Inputs!$B$34/100)),MAX(0,Inputs!$B$44-((R935-1)*Skills!D19))))/Inputs!$B$44),IF(Inputs!$B$39="pvp",MIN((Skills!Y19*(1+Inputs!$B$34/100)),15)/15,(Skills!Y19*(1+Inputs!$B$34/100))/Skills!D19)))+((C923=TRUE)*F923*B950)</f>
        <v/>
      </c>
    </row>
    <row r="952">
      <c r="A952" t="inlineStr">
        <is>
          <t>Actions Per Second (final)</t>
        </is>
      </c>
      <c r="B952">
        <f>1+MIN(150,150*(1-(1-(Inputs!$B$11+((C938=TRUE)*(F938-Calc!F22)))/150)*(1-B951/150)))/100</f>
        <v/>
      </c>
    </row>
    <row r="953">
      <c r="A953" t="inlineStr">
        <is>
          <t>Skill + Buff Cast Rate</t>
        </is>
      </c>
      <c r="B953">
        <f>IF(AND(Inputs!$B$39&lt;&gt;"pvp",Inputs!$B$44&gt;0),SUMPRODUCT((Skills!E2:E31=TRUE)*(C918:C947=TRUE)*R918:R947*Skills!F2:F31)/Inputs!$B$44,SUMPRODUCT((Skills!E2:E31=TRUE)*(C918:C947=TRUE)*Q918:Q947*Skills!F2:F31))</f>
        <v/>
      </c>
    </row>
    <row r="954">
      <c r="A954" t="inlineStr">
        <is>
          <t>Showdown Casts Per Second</t>
        </is>
      </c>
      <c r="B954">
        <f>MAX(0,B952-B953)</f>
        <v/>
      </c>
    </row>
    <row r="955">
      <c r="A955" t="inlineStr">
        <is>
          <t>Average Buff Multiplier</t>
        </is>
      </c>
      <c r="B955">
        <f>(1+(((C937=TRUE)*F937*IF(AND(Inputs!$B$39&lt;&gt;"pvp",Inputs!$B$44&gt;0),(((R937-1)*(Skills!Y21*(1+Inputs!$B$34/100))+MIN((Skills!Y21*(1+Inputs!$B$34/100)),MAX(0,Inputs!$B$44-((R937-1)*Skills!D21))))/Inputs!$B$44),IF(Inputs!$B$39="pvp",MIN((Skills!Y21*(1+Inputs!$B$34/100)),15)/15,(Skills!Y21*(1+Inputs!$B$34/100))/Skills!D21)))+((C944=TRUE)*(F944-Calc!F28))+((C934=TRUE)*(F934-Calc!F18)))/100)*(1+((C931=TRUE)*F931*IF(AND(Inputs!$B$39&lt;&gt;"pvp",Inputs!$B$44&gt;0),(((R931-1)*(Skills!Y15*(1+Inputs!$B$34/100))+MIN((Skills!Y15*(1+Inputs!$B$34/100)),MAX(0,Inputs!$B$44-((R931-1)*Skills!D15))))/Inputs!$B$44),IF(Inputs!$B$39="pvp",MIN((Skills!Y15*(1+Inputs!$B$34/100)),15)/15,(Skills!Y15*(1+Inputs!$B$34/100))/Skills!D15)))/100)*(1+((C922=TRUE)*F922*B950)/100)</f>
        <v/>
      </c>
    </row>
    <row r="956">
      <c r="A956" t="inlineStr">
        <is>
          <t>Global Crit Rate Bonus %</t>
        </is>
      </c>
      <c r="B956">
        <f>IF(Inputs!$B$3&gt;=47,8,0)+((C936=TRUE)*F936*IF(AND(Inputs!$B$39&lt;&gt;"pvp",Inputs!$B$44&gt;0),(((R936-1)*(Skills!Y20*(1+Inputs!$B$34/100))+MIN((Skills!Y20*(1+Inputs!$B$34/100)),MAX(0,Inputs!$B$44-((R936-1)*Skills!D20))))/Inputs!$B$44),IF(Inputs!$B$39="pvp",MIN((Skills!Y20*(1+Inputs!$B$34/100)),15)/15,(Skills!Y20*(1+Inputs!$B$34/100))/Skills!D20)))</f>
        <v/>
      </c>
    </row>
    <row r="957">
      <c r="A957" t="inlineStr">
        <is>
          <t>Global Monster Damage-Taken Bonus %</t>
        </is>
      </c>
      <c r="B957">
        <f>IF(Inputs!$B$3&gt;=82,15,0)+((C932=TRUE)*F932*IF(AND(Inputs!$B$39&lt;&gt;"pvp",Inputs!$B$44&gt;0),(((R932-1)*(Skills!Y16*(1+Inputs!$B$34/100))+MIN((Skills!Y16*(1+Inputs!$B$34/100)),MAX(0,Inputs!$B$44-((R932-1)*Skills!D16))))/Inputs!$B$44),IF(Inputs!$B$39="pvp",MIN((Skills!Y16*(1+Inputs!$B$34/100)),15)/15,(Skills!Y16*(1+Inputs!$B$34/100))/Skills!D16)))</f>
        <v/>
      </c>
    </row>
    <row r="958">
      <c r="A958" t="inlineStr">
        <is>
          <t>Shadow Partner Average Multiplier</t>
        </is>
      </c>
      <c r="B958">
        <f>1+((C927=TRUE)*F927*I927*Skills!J11/100)/100</f>
        <v/>
      </c>
    </row>
    <row r="959">
      <c r="A959" t="inlineStr">
        <is>
          <t>Global Critical Damage Bonus % (Frailty Curse Mastery Lv.111)</t>
        </is>
      </c>
      <c r="B959">
        <f>IF(Inputs!$B$3&gt;=111,30,0)*IF(AND(Inputs!$B$39&lt;&gt;"pvp",Inputs!$B$44&gt;0),(((R932-1)*(Skills!Y16*(1+Inputs!$B$34/100))+MIN((Skills!Y16*(1+Inputs!$B$34/100)),MAX(0,Inputs!$B$44-((R932-1)*Skills!D16))))/Inputs!$B$44),IF(Inputs!$B$39="pvp",MIN((Skills!Y16*(1+Inputs!$B$34/100)),15)/15,(Skills!Y16*(1+Inputs!$B$34/100))/Skills!D16))</f>
        <v/>
      </c>
    </row>
    <row r="960">
      <c r="A960" s="5" t="inlineStr">
        <is>
          <t>TOTAL DPS</t>
        </is>
      </c>
      <c r="B960" s="5">
        <f>SUM(O918:O947)</f>
        <v/>
      </c>
    </row>
    <row r="961">
      <c r="A961" t="inlineStr">
        <is>
          <t>Buff-Casting Startup Delay (s, fixed-duration only)</t>
        </is>
      </c>
      <c r="B961">
        <f>IF(AND(Inputs!$B$39&lt;&gt;"pvp",Inputs!$B$44&gt;0),SUMPRODUCT((Skills!Y2:Y31&gt;0)*(Skills!E2:E31=TRUE)*(C918:C947=TRUE))/B952,0)</f>
        <v/>
      </c>
    </row>
    <row r="962">
      <c r="A962" t="inlineStr">
        <is>
          <t>Boss-Only Total DPS (this block's swept value)</t>
        </is>
      </c>
      <c r="B962">
        <f>SUM(T918:T947)</f>
        <v/>
      </c>
    </row>
    <row r="963">
      <c r="A963" t="inlineStr">
        <is>
          <t>Normal-Only Total DPS (this block's swept value)</t>
        </is>
      </c>
      <c r="B963">
        <f>SUM(V918:V947)</f>
        <v/>
      </c>
    </row>
    <row r="965">
      <c r="A965" s="5" t="inlineStr">
        <is>
          <t>Stat: Skill Level Bonus — 4th Job</t>
        </is>
      </c>
    </row>
    <row r="966">
      <c r="A966" s="9" t="inlineStr">
        <is>
          <t>Key</t>
        </is>
      </c>
      <c r="B966" s="9" t="inlineStr">
        <is>
          <t>Name</t>
        </is>
      </c>
      <c r="C966" s="9" t="inlineStr">
        <is>
          <t>Unlocked</t>
        </is>
      </c>
      <c r="D966" s="9" t="inlineStr">
        <is>
          <t>InputLevel</t>
        </is>
      </c>
      <c r="E966" s="9" t="inlineStr">
        <is>
          <t>Factor</t>
        </is>
      </c>
      <c r="F966" s="9" t="inlineStr">
        <is>
          <t>CoefficientPercent</t>
        </is>
      </c>
      <c r="G966" s="9" t="inlineStr">
        <is>
          <t>EffectiveHits</t>
        </is>
      </c>
      <c r="H966" s="9" t="inlineStr">
        <is>
          <t>ProcProbability</t>
        </is>
      </c>
      <c r="I966" s="9" t="inlineStr">
        <is>
          <t>MapleHeroMultiplier</t>
        </is>
      </c>
      <c r="J966" s="9" t="inlineStr">
        <is>
          <t>BaseDamage</t>
        </is>
      </c>
      <c r="K966" s="9" t="inlineStr">
        <is>
          <t>BaseHitDamage</t>
        </is>
      </c>
      <c r="L966" s="9" t="inlineStr">
        <is>
          <t>NonCritAvg</t>
        </is>
      </c>
      <c r="M966" s="9" t="inlineStr">
        <is>
          <t>CritAvg</t>
        </is>
      </c>
      <c r="N966" s="9" t="inlineStr">
        <is>
          <t>ExpectedDamage(perHit)</t>
        </is>
      </c>
      <c r="O966" s="9" t="inlineStr">
        <is>
          <t>DPS</t>
        </is>
      </c>
      <c r="P966" s="9" t="inlineStr">
        <is>
          <t>% of Total</t>
        </is>
      </c>
      <c r="Q966" s="9" t="inlineStr">
        <is>
          <t>InvCooldown</t>
        </is>
      </c>
      <c r="R966" s="9" t="inlineStr">
        <is>
          <t>CastsInFight</t>
        </is>
      </c>
      <c r="S966" s="9" t="inlineStr">
        <is>
          <t>HitRate(perSec)</t>
        </is>
      </c>
      <c r="U966" t="inlineStr">
        <is>
          <t>helpers</t>
        </is>
      </c>
    </row>
    <row r="967">
      <c r="A967">
        <f>Skills!A2</f>
        <v/>
      </c>
      <c r="B967">
        <f>Skills!B2</f>
        <v/>
      </c>
      <c r="C967">
        <f>Inputs!$B$3&gt;=100</f>
        <v/>
      </c>
      <c r="D967" t="inlineStr"/>
      <c r="E967" t="inlineStr"/>
      <c r="F967">
        <f>U971+Skills!O2</f>
        <v/>
      </c>
      <c r="G967">
        <f>Calc!G2</f>
        <v/>
      </c>
      <c r="H967">
        <f>Calc!H2</f>
        <v/>
      </c>
      <c r="I967">
        <f>IF(Skills!AA2&lt;&gt;"",1+(Skills!AA2/10)*(U968/1000)/100,1)</f>
        <v/>
      </c>
      <c r="J967">
        <f>((Inputs!$B$6*(1+Inputs!$B$7/100))+(((Inputs!$B$12*(1+Inputs!$B$13/100))-(Inputs!$B$12*(1+Inputs!$B$13/100)))+0.25*(Inputs!$B$14-Inputs!$B$14))*(1+Inputs!$B$7/100))*(F967/100)</f>
        <v/>
      </c>
      <c r="K967">
        <f>J967*(1+((Inputs!$B$12*(1+Inputs!$B$13/100))*0.01+Inputs!$B$14*0.0025)/100)*(1+Inputs!$B$15/100)*(1+Inputs!$B$16/100)*(5000/(6000+Inputs!$B$43*(1-Inputs!$B$19/100)))*(1+(Inputs!$B$24+((C995=TRUE)*(F995-Calc!F30)))/100)*(1+Skills!R2/100)*(1+(IF(Skills!A2="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967)</f>
        <v/>
      </c>
      <c r="L967">
        <f>K967*(MIN(Inputs!$B$22+((C989=TRUE)*(F989-Calc!F24)),Inputs!$B$23)/100+Inputs!$B$23/100)/2</f>
        <v/>
      </c>
      <c r="M967">
        <f>L967*(1+(Inputs!$B$10+((C991=TRUE)*(F991-Calc!F26))+B1008)/100)</f>
        <v/>
      </c>
      <c r="N967">
        <f>L967*(1-MIN((Inputs!$B$9+((C990=TRUE)*(F990-Calc!F25))+B1005),100)/100)+M967*(MIN((Inputs!$B$9+((C990=TRUE)*(F990-Calc!F25))+B1005),100)/100)</f>
        <v/>
      </c>
      <c r="O967">
        <f>(1-Summary!$B$55)*T967+Summary!$B$55*V967</f>
        <v/>
      </c>
      <c r="P967">
        <f>IF(B1009=0,0,O967/B1009)</f>
        <v/>
      </c>
      <c r="Q967" t="n">
        <v>0</v>
      </c>
      <c r="R967" t="n">
        <v>0</v>
      </c>
      <c r="S967">
        <f>IFERROR(O967/N967,0)</f>
        <v/>
      </c>
      <c r="T967">
        <f>IF(C967,(Skills!G2*N967*B1003)*IF(Inputs!$B$39="pvp",1,1+(Inputs!$B$20+((C992=TRUE)*(F992-Calc!F27))+Skills!P2+B1006)/100),0)</f>
        <v/>
      </c>
      <c r="U967">
        <f>MAX(0,(Inputs!$B$3-100)*3)+(Inputs!$B$28+1)+Inputs!$B$29</f>
        <v/>
      </c>
      <c r="V967">
        <f>IF(C967,(Skills!G2*N967*B1003)*IF(Inputs!$B$39="pvp",1,(1+(Inputs!$B$21+Skills!Q2+B1006)/100)*(MIN((6+Inputs!$B$33),Inputs!$B$37))),0)</f>
        <v/>
      </c>
    </row>
    <row r="968">
      <c r="A968">
        <f>Skills!A3</f>
        <v/>
      </c>
      <c r="B968">
        <f>Skills!B3</f>
        <v/>
      </c>
      <c r="C968">
        <f>Inputs!$B$3&gt;=35</f>
        <v/>
      </c>
      <c r="D968">
        <f>IF(Skills!C3=1,60+Inputs!$B$25+Inputs!$B$29,IF(Skills!C3=2,90+Inputs!$B$26+Inputs!$B$29,IF(Skills!C3=3,120+Inputs!$B$27+Inputs!$B$29,MAX(0,(Inputs!$B$3-100)*3)+(Inputs!$B$28+1)+Inputs!$B$29)))</f>
        <v/>
      </c>
      <c r="E968">
        <f>INDEX(FactorTable!$B$2:$Y$301, MATCH(ROUND(MIN(300,MAX(1,D968)),0), FactorTable!$A$2:$A$301,0), Skills!M3+1)</f>
        <v/>
      </c>
      <c r="F968">
        <f>IF(Skills!N3=TRUE,(Skills!L3/10)*(E968/1000),Skills!L3/10)+Skills!O3</f>
        <v/>
      </c>
      <c r="G968">
        <f>Calc!G3</f>
        <v/>
      </c>
      <c r="H968">
        <f>Calc!H3</f>
        <v/>
      </c>
      <c r="I968">
        <f>IF(Skills!AA3&lt;&gt;"",1+(Skills!AA3/10)*(U968/1000)/100,1)</f>
        <v/>
      </c>
      <c r="J968">
        <f>((Inputs!$B$6*(1+Inputs!$B$7/100))+(((Inputs!$B$12*(1+Inputs!$B$13/100))-(Inputs!$B$12*(1+Inputs!$B$13/100)))+0.25*(Inputs!$B$14-Inputs!$B$14))*(1+Inputs!$B$7/100))*(F968/100)</f>
        <v/>
      </c>
      <c r="K968">
        <f>J968*(1+((Inputs!$B$12*(1+Inputs!$B$13/100))*0.01+Inputs!$B$14*0.0025)/100)*(1+Inputs!$B$15/100)*(1+Inputs!$B$16/100)*(5000/(6000+Inputs!$B$43*(1-Inputs!$B$19/100)))*(1+(Inputs!$B$24+((C995=TRUE)*(F995-Calc!F30)))/100)*(1+Skills!R3/100)*(1+(IF(Skills!A3="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968)</f>
        <v/>
      </c>
      <c r="L968">
        <f>K968*(MIN(Inputs!$B$22+((C989=TRUE)*(F989-Calc!F24)),Inputs!$B$23)/100+Inputs!$B$23/100)/2</f>
        <v/>
      </c>
      <c r="M968">
        <f>L968*(1+(Inputs!$B$10+((C991=TRUE)*(F991-Calc!F26))+B1008)/100)</f>
        <v/>
      </c>
      <c r="N968">
        <f>L968*(1-MIN((Inputs!$B$9+((C990=TRUE)*(F990-Calc!F25))+B1005),100)/100)+M968*(MIN((Inputs!$B$9+((C990=TRUE)*(F990-Calc!F25))+B1005),100)/100)</f>
        <v/>
      </c>
      <c r="O968">
        <f>(1-Summary!$B$55)*T968+Summary!$B$55*V968</f>
        <v/>
      </c>
      <c r="P968">
        <f>IF(B1009=0,0,O968/B1009)</f>
        <v/>
      </c>
      <c r="Q968">
        <f>IFERROR(1/IF(Inputs!$B$39="pvp",15,MAX(0.1,Skills!D3-IF(Skills!E3=TRUE,Inputs!$B$32,0))),0)</f>
        <v/>
      </c>
      <c r="R968">
        <f>IF(AND(Inputs!$B$39&lt;&gt;"pvp",Inputs!$B$44&gt;0),IF(MAX(0,Inputs!$B$44-B1010)&lt;=0,0,(INT(MAX(0,Inputs!$B$44-B1010)/IF(Inputs!$B$39="pvp",15,MAX(0.1,Skills!D3-IF(Skills!E3=TRUE,Inputs!$B$32,0))))+1)),0)</f>
        <v/>
      </c>
      <c r="S968">
        <f>IFERROR(O968/N968,0)</f>
        <v/>
      </c>
      <c r="T968">
        <f>IF(C968,(H968*N968*IF(AND(Inputs!$B$39&lt;&gt;"pvp",Inputs!$B$44&gt;0),((Skills!G3*((R968-1)*IF(Skills!H3&gt;0,Skills!I3/Skills!H3,1)+IF(Skills!H3&gt;0,MIN(Skills!I3,MAX(0,MAX(0,Inputs!$B$44-B1010)-((R968-1)*IF(Inputs!$B$39="pvp",15,MAX(0.1,Skills!D3-IF(Skills!E3=TRUE,Inputs!$B$32,0))))))/Skills!H3,1)))/Inputs!$B$44),G968*Q968))*IF(Inputs!$B$39="pvp",1,1+(Inputs!$B$20+((C992=TRUE)*(F992-Calc!F27))+Skills!P3+B1006)/100),0)</f>
        <v/>
      </c>
      <c r="U968">
        <f>INDEX(FactorTable!$B$2:$Y$301, MATCH(ROUND(MIN(300,MAX(1,U967)),0), FactorTable!$A$2:$A$301,0), 24)</f>
        <v/>
      </c>
      <c r="V968">
        <f>IF(C968,(H968*N968*IF(AND(Inputs!$B$39&lt;&gt;"pvp",Inputs!$B$44&gt;0),((Skills!G3*((R968-1)*IF(Skills!H3&gt;0,Skills!I3/Skills!H3,1)+IF(Skills!H3&gt;0,MIN(Skills!I3,MAX(0,MAX(0,Inputs!$B$44-B1010)-((R968-1)*IF(Inputs!$B$39="pvp",15,MAX(0.1,Skills!D3-IF(Skills!E3=TRUE,Inputs!$B$32,0))))))/Skills!H3,1)))/Inputs!$B$44),G968*Q968))*IF(Inputs!$B$39="pvp",1,(1+(Inputs!$B$21+Skills!Q3+B1006)/100)*(MIN(Skills!W3,Inputs!$B$37))),0)</f>
        <v/>
      </c>
    </row>
    <row r="969">
      <c r="A969">
        <f>Skills!A4</f>
        <v/>
      </c>
      <c r="B969">
        <f>Skills!B4</f>
        <v/>
      </c>
      <c r="C969">
        <f>Inputs!$B$3&gt;=40</f>
        <v/>
      </c>
      <c r="D969">
        <f>IF(Skills!C4=1,60+Inputs!$B$25+Inputs!$B$29,IF(Skills!C4=2,90+Inputs!$B$26+Inputs!$B$29,IF(Skills!C4=3,120+Inputs!$B$27+Inputs!$B$29,MAX(0,(Inputs!$B$3-100)*3)+(Inputs!$B$28+1)+Inputs!$B$29)))</f>
        <v/>
      </c>
      <c r="E969">
        <f>INDEX(FactorTable!$B$2:$Y$301, MATCH(ROUND(MIN(300,MAX(1,D969)),0), FactorTable!$A$2:$A$301,0), Skills!M4+1)</f>
        <v/>
      </c>
      <c r="F969">
        <f>IF(Skills!N4=TRUE,(Skills!L4/10)*(E969/1000),Skills!L4/10)+Skills!O4</f>
        <v/>
      </c>
      <c r="G969">
        <f>Calc!G4</f>
        <v/>
      </c>
      <c r="H969">
        <f>Calc!H4</f>
        <v/>
      </c>
      <c r="I969">
        <f>IF(Skills!AA4&lt;&gt;"",1+(Skills!AA4/10)*(U968/1000)/100,1)</f>
        <v/>
      </c>
      <c r="J969">
        <f>((Inputs!$B$6*(1+Inputs!$B$7/100))+(((Inputs!$B$12*(1+Inputs!$B$13/100))-(Inputs!$B$12*(1+Inputs!$B$13/100)))+0.25*(Inputs!$B$14-Inputs!$B$14))*(1+Inputs!$B$7/100))*(F969/100)</f>
        <v/>
      </c>
      <c r="K969">
        <f>J969*(1+((Inputs!$B$12*(1+Inputs!$B$13/100))*0.01+Inputs!$B$14*0.0025)/100)*(1+Inputs!$B$15/100)*(1+Inputs!$B$16/100)*(5000/(6000+Inputs!$B$43*(1-Inputs!$B$19/100)))*(1+(Inputs!$B$24+((C995=TRUE)*(F995-Calc!F30)))/100)*(1+Skills!R4/100)*(1+(IF(Skills!A4="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969)</f>
        <v/>
      </c>
      <c r="L969">
        <f>K969*(MIN(Inputs!$B$22+((C989=TRUE)*(F989-Calc!F24)),Inputs!$B$23)/100+Inputs!$B$23/100)/2</f>
        <v/>
      </c>
      <c r="M969">
        <f>L969*(1+(Inputs!$B$10+((C991=TRUE)*(F991-Calc!F26))+B1008)/100)</f>
        <v/>
      </c>
      <c r="N969">
        <f>L969*(1-MIN((Inputs!$B$9+((C990=TRUE)*(F990-Calc!F25))+B1005),100)/100)+M969*(MIN((Inputs!$B$9+((C990=TRUE)*(F990-Calc!F25))+B1005),100)/100)</f>
        <v/>
      </c>
      <c r="O969">
        <f>(1-Summary!$B$55)*T969+Summary!$B$55*V969</f>
        <v/>
      </c>
      <c r="P969">
        <f>IF(B1009=0,0,O969/B1009)</f>
        <v/>
      </c>
      <c r="Q969">
        <f>IFERROR(1/IF(Inputs!$B$39="pvp",15,MAX(0.1,Skills!D4-IF(Skills!E4=TRUE,Inputs!$B$32,0))),0)</f>
        <v/>
      </c>
      <c r="R969">
        <f>IF(AND(Inputs!$B$39&lt;&gt;"pvp",Inputs!$B$44&gt;0),IF(MAX(0,Inputs!$B$44-B1010)&lt;=0,0,(INT(MAX(0,Inputs!$B$44-B1010)/IF(Inputs!$B$39="pvp",15,MAX(0.1,Skills!D4-IF(Skills!E4=TRUE,Inputs!$B$32,0))))+1)),0)</f>
        <v/>
      </c>
      <c r="S969">
        <f>IFERROR(O969/N969,0)</f>
        <v/>
      </c>
      <c r="T969">
        <f>IF(C969,(H969*N969*IF(AND(Inputs!$B$39&lt;&gt;"pvp",Inputs!$B$44&gt;0),((Skills!G4*((R969-1)*IF(Skills!H4&gt;0,Skills!I4/Skills!H4,1)+IF(Skills!H4&gt;0,MIN(Skills!I4,MAX(0,MAX(0,Inputs!$B$44-B1010)-((R969-1)*IF(Inputs!$B$39="pvp",15,MAX(0.1,Skills!D4-IF(Skills!E4=TRUE,Inputs!$B$32,0))))))/Skills!H4,1)))/Inputs!$B$44),G969*Q969))*IF(Inputs!$B$39="pvp",1,1+(Inputs!$B$20+((C992=TRUE)*(F992-Calc!F27))+Skills!P4+B1006)/100),0)</f>
        <v/>
      </c>
      <c r="U969">
        <f>MAX(0,(Inputs!$B$3-100)*3)+(Inputs!$B$28+1)+Inputs!$B$29</f>
        <v/>
      </c>
      <c r="V969">
        <f>IF(C969,(H969*N969*IF(AND(Inputs!$B$39&lt;&gt;"pvp",Inputs!$B$44&gt;0),((Skills!G4*((R969-1)*IF(Skills!H4&gt;0,Skills!I4/Skills!H4,1)+IF(Skills!H4&gt;0,MIN(Skills!I4,MAX(0,MAX(0,Inputs!$B$44-B1010)-((R969-1)*IF(Inputs!$B$39="pvp",15,MAX(0.1,Skills!D4-IF(Skills!E4=TRUE,Inputs!$B$32,0))))))/Skills!H4,1)))/Inputs!$B$44),G969*Q969))*IF(Inputs!$B$39="pvp",1,(1+(Inputs!$B$21+Skills!Q4+B1006)/100)*(MIN(Skills!W4,Inputs!$B$37))),0)</f>
        <v/>
      </c>
    </row>
    <row r="970">
      <c r="A970">
        <f>Skills!A5</f>
        <v/>
      </c>
      <c r="B970">
        <f>Skills!B5</f>
        <v/>
      </c>
      <c r="C970">
        <f>Inputs!$B$3&gt;=63</f>
        <v/>
      </c>
      <c r="D970">
        <f>IF(Skills!C5=1,60+Inputs!$B$25+Inputs!$B$29,IF(Skills!C5=2,90+Inputs!$B$26+Inputs!$B$29,IF(Skills!C5=3,120+Inputs!$B$27+Inputs!$B$29,MAX(0,(Inputs!$B$3-100)*3)+(Inputs!$B$28+1)+Inputs!$B$29)))</f>
        <v/>
      </c>
      <c r="E970">
        <f>INDEX(FactorTable!$B$2:$Y$301, MATCH(ROUND(MIN(300,MAX(1,D970)),0), FactorTable!$A$2:$A$301,0), Skills!M5+1)</f>
        <v/>
      </c>
      <c r="F970">
        <f>IF(Skills!N5=TRUE,(Skills!L5/10)*(E970/1000),Skills!L5/10)+Skills!O5</f>
        <v/>
      </c>
      <c r="G970">
        <f>Calc!G5</f>
        <v/>
      </c>
      <c r="H970">
        <f>Calc!H5</f>
        <v/>
      </c>
      <c r="I970">
        <f>IF(Skills!AA5&lt;&gt;"",1+(Skills!AA5/10)*(U968/1000)/100,1)</f>
        <v/>
      </c>
      <c r="J970">
        <f>((Inputs!$B$6*(1+Inputs!$B$7/100))+(((Inputs!$B$12*(1+Inputs!$B$13/100))-(Inputs!$B$12*(1+Inputs!$B$13/100)))+0.25*(Inputs!$B$14-Inputs!$B$14))*(1+Inputs!$B$7/100))*(F970/100)</f>
        <v/>
      </c>
      <c r="K970">
        <f>J970*(1+((Inputs!$B$12*(1+Inputs!$B$13/100))*0.01+Inputs!$B$14*0.0025)/100)*(1+Inputs!$B$15/100)*(1+Inputs!$B$16/100)*(5000/(6000+Inputs!$B$43*(1-Inputs!$B$19/100)))*(1+(Inputs!$B$24+((C995=TRUE)*(F995-Calc!F30)))/100)*(1+Skills!R5/100)*(1+(IF(Skills!A5="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970)</f>
        <v/>
      </c>
      <c r="L970">
        <f>K970*(MIN(Inputs!$B$22+((C989=TRUE)*(F989-Calc!F24)),Inputs!$B$23)/100+Inputs!$B$23/100)/2</f>
        <v/>
      </c>
      <c r="M970">
        <f>L970*(1+(Inputs!$B$10+((C991=TRUE)*(F991-Calc!F26))+B1008)/100)</f>
        <v/>
      </c>
      <c r="N970">
        <f>L970*(1-MIN((Inputs!$B$9+((C990=TRUE)*(F990-Calc!F25))+B1005),100)/100)+M970*(MIN((Inputs!$B$9+((C990=TRUE)*(F990-Calc!F25))+B1005),100)/100)</f>
        <v/>
      </c>
      <c r="O970">
        <f>(1-Summary!$B$55)*T970+Summary!$B$55*V970</f>
        <v/>
      </c>
      <c r="P970">
        <f>IF(B1009=0,0,O970/B1009)</f>
        <v/>
      </c>
      <c r="Q970">
        <f>IFERROR(1/IF(Inputs!$B$39="pvp",15,MAX(0.1,Skills!D5-IF(Skills!E5=TRUE,Inputs!$B$32,0))),0)</f>
        <v/>
      </c>
      <c r="R970">
        <f>IF(AND(Inputs!$B$39&lt;&gt;"pvp",Inputs!$B$44&gt;0),IF(MAX(0,Inputs!$B$44-B1010)&lt;=0,0,(INT(MAX(0,Inputs!$B$44-B1010)/IF(Inputs!$B$39="pvp",15,MAX(0.1,Skills!D5-IF(Skills!E5=TRUE,Inputs!$B$32,0))))+1)),0)</f>
        <v/>
      </c>
      <c r="S970">
        <f>IFERROR(O970/N970,0)</f>
        <v/>
      </c>
      <c r="T970">
        <f>IF(C970,(H970*N970*IF(AND(Inputs!$B$39&lt;&gt;"pvp",Inputs!$B$44&gt;0),((Skills!G5*((R970-1)*IF(Skills!H5&gt;0,Skills!I5/Skills!H5,1)+IF(Skills!H5&gt;0,MIN(Skills!I5,MAX(0,MAX(0,Inputs!$B$44-B1010)-((R970-1)*IF(Inputs!$B$39="pvp",15,MAX(0.1,Skills!D5-IF(Skills!E5=TRUE,Inputs!$B$32,0))))))/Skills!H5,1)))/Inputs!$B$44),G970*Q970))*IF(Inputs!$B$39="pvp",1,1+(Inputs!$B$20+((C992=TRUE)*(F992-Calc!F27))+Skills!P5+B1006)/100),0)</f>
        <v/>
      </c>
      <c r="U970">
        <f>INDEX(FactorTable!$B$2:$Y$301, MATCH(ROUND(MIN(300,MAX(1,U969)),0), FactorTable!$A$2:$A$301,0), 22)</f>
        <v/>
      </c>
      <c r="V970">
        <f>IF(C970,(H970*N970*IF(AND(Inputs!$B$39&lt;&gt;"pvp",Inputs!$B$44&gt;0),((Skills!G5*((R970-1)*IF(Skills!H5&gt;0,Skills!I5/Skills!H5,1)+IF(Skills!H5&gt;0,MIN(Skills!I5,MAX(0,MAX(0,Inputs!$B$44-B1010)-((R970-1)*IF(Inputs!$B$39="pvp",15,MAX(0.1,Skills!D5-IF(Skills!E5=TRUE,Inputs!$B$32,0))))))/Skills!H5,1)))/Inputs!$B$44),G970*Q970))*IF(Inputs!$B$39="pvp",1,(1+(Inputs!$B$21+Skills!Q5+B1006)/100)*(MIN(Skills!W5,Inputs!$B$37))),0)</f>
        <v/>
      </c>
    </row>
    <row r="971">
      <c r="A971">
        <f>Skills!A6</f>
        <v/>
      </c>
      <c r="B971">
        <f>Skills!B6</f>
        <v/>
      </c>
      <c r="C971">
        <f>Inputs!$B$3&gt;=66</f>
        <v/>
      </c>
      <c r="D971">
        <f>IF(Skills!C6=1,60+Inputs!$B$25+Inputs!$B$29,IF(Skills!C6=2,90+Inputs!$B$26+Inputs!$B$29,IF(Skills!C6=3,120+Inputs!$B$27+Inputs!$B$29,MAX(0,(Inputs!$B$3-100)*3)+(Inputs!$B$28+1)+Inputs!$B$29)))</f>
        <v/>
      </c>
      <c r="E971">
        <f>INDEX(FactorTable!$B$2:$Y$301, MATCH(ROUND(MIN(300,MAX(1,D971)),0), FactorTable!$A$2:$A$301,0), Skills!M6+1)</f>
        <v/>
      </c>
      <c r="F971">
        <f>IF(Skills!N6=TRUE,(Skills!L6/10)*(E971/1000),Skills!L6/10)+Skills!O6</f>
        <v/>
      </c>
      <c r="G971">
        <f>Calc!G6</f>
        <v/>
      </c>
      <c r="H971">
        <f>Calc!H6</f>
        <v/>
      </c>
      <c r="I971">
        <f>IF(Skills!AA6&lt;&gt;"",1+(Skills!AA6/10)*(U968/1000)/100,1)</f>
        <v/>
      </c>
      <c r="J971" t="inlineStr"/>
      <c r="K971" t="inlineStr"/>
      <c r="L971" t="inlineStr"/>
      <c r="M971" t="inlineStr"/>
      <c r="N971" t="inlineStr"/>
      <c r="O971">
        <f>(1-Summary!$B$55)*T971+Summary!$B$55*V971</f>
        <v/>
      </c>
      <c r="P971">
        <f>IF(B1009=0,0,O971/B1009)</f>
        <v/>
      </c>
      <c r="Q971" t="n">
        <v>0</v>
      </c>
      <c r="R971" t="n">
        <v>0</v>
      </c>
      <c r="S971">
        <f>IFERROR(O971/N971,0)</f>
        <v/>
      </c>
      <c r="T971" t="n">
        <v>0</v>
      </c>
      <c r="U971">
        <f>290*U970/1000</f>
        <v/>
      </c>
      <c r="V971" t="n">
        <v>0</v>
      </c>
    </row>
    <row r="972">
      <c r="A972">
        <f>Skills!A7</f>
        <v/>
      </c>
      <c r="B972">
        <f>Skills!B7</f>
        <v/>
      </c>
      <c r="C972">
        <f>Inputs!$B$3&gt;=66</f>
        <v/>
      </c>
      <c r="D972">
        <f>IF(Skills!C7=1,60+Inputs!$B$25+Inputs!$B$29,IF(Skills!C7=2,90+Inputs!$B$26+Inputs!$B$29,IF(Skills!C7=3,120+Inputs!$B$27+Inputs!$B$29,MAX(0,(Inputs!$B$3-100)*3)+(Inputs!$B$28+1)+Inputs!$B$29)))</f>
        <v/>
      </c>
      <c r="E972">
        <f>INDEX(FactorTable!$B$2:$Y$301, MATCH(ROUND(MIN(300,MAX(1,D972)),0), FactorTable!$A$2:$A$301,0), Skills!M7+1)</f>
        <v/>
      </c>
      <c r="F972">
        <f>IF(Skills!N7=TRUE,(Skills!L7/10)*(E972/1000),Skills!L7/10)+Skills!O7</f>
        <v/>
      </c>
      <c r="G972">
        <f>Calc!G7</f>
        <v/>
      </c>
      <c r="H972">
        <f>Calc!H7</f>
        <v/>
      </c>
      <c r="I972">
        <f>IF(Skills!AA7&lt;&gt;"",1+(Skills!AA7/10)*(U968/1000)/100,1)</f>
        <v/>
      </c>
      <c r="J972" t="inlineStr"/>
      <c r="K972" t="inlineStr"/>
      <c r="L972" t="inlineStr"/>
      <c r="M972" t="inlineStr"/>
      <c r="N972" t="inlineStr"/>
      <c r="O972">
        <f>(1-Summary!$B$55)*T972+Summary!$B$55*V972</f>
        <v/>
      </c>
      <c r="P972">
        <f>IF(B1009=0,0,O972/B1009)</f>
        <v/>
      </c>
      <c r="Q972" t="n">
        <v>0</v>
      </c>
      <c r="R972" t="n">
        <v>0</v>
      </c>
      <c r="S972">
        <f>IFERROR(O972/N972,0)</f>
        <v/>
      </c>
      <c r="T972" t="n">
        <v>0</v>
      </c>
      <c r="V972" t="n">
        <v>0</v>
      </c>
    </row>
    <row r="973">
      <c r="A973">
        <f>Skills!A8</f>
        <v/>
      </c>
      <c r="B973">
        <f>Skills!B8</f>
        <v/>
      </c>
      <c r="C973">
        <f>Inputs!$B$3&gt;=69</f>
        <v/>
      </c>
      <c r="D973">
        <f>IF(Skills!C8=1,60+Inputs!$B$25+Inputs!$B$29,IF(Skills!C8=2,90+Inputs!$B$26+Inputs!$B$29,IF(Skills!C8=3,120+Inputs!$B$27+Inputs!$B$29,MAX(0,(Inputs!$B$3-100)*3)+(Inputs!$B$28+1)+Inputs!$B$29)))</f>
        <v/>
      </c>
      <c r="E973">
        <f>INDEX(FactorTable!$B$2:$Y$301, MATCH(ROUND(MIN(300,MAX(1,D973)),0), FactorTable!$A$2:$A$301,0), Skills!M8+1)</f>
        <v/>
      </c>
      <c r="F973">
        <f>IF(Skills!N8=TRUE,(Skills!L8/10)*(E973/1000),Skills!L8/10)+Skills!O8</f>
        <v/>
      </c>
      <c r="G973">
        <f>Calc!G8</f>
        <v/>
      </c>
      <c r="H973">
        <f>Calc!H8</f>
        <v/>
      </c>
      <c r="I973">
        <f>IF(Skills!AA8&lt;&gt;"",1+(Skills!AA8/10)*(U968/1000)/100,1)</f>
        <v/>
      </c>
      <c r="J973">
        <f>((Inputs!$B$6*(1+Inputs!$B$7/100))+(((Inputs!$B$12*(1+Inputs!$B$13/100))-(Inputs!$B$12*(1+Inputs!$B$13/100)))+0.25*(Inputs!$B$14-Inputs!$B$14))*(1+Inputs!$B$7/100))*(F973/100)</f>
        <v/>
      </c>
      <c r="K973">
        <f>J973*(1+((Inputs!$B$12*(1+Inputs!$B$13/100))*0.01+Inputs!$B$14*0.0025)/100)*(1+Inputs!$B$15/100)*(1+Inputs!$B$16/100)*(5000/(6000+Inputs!$B$43*(1-Inputs!$B$19/100)))*(1+(Inputs!$B$24+((C995=TRUE)*(F995-Calc!F30)))/100)*(1+Skills!R8/100)*(1+(IF(Skills!A8="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973)</f>
        <v/>
      </c>
      <c r="L973">
        <f>K973*(MIN(Inputs!$B$22+((C989=TRUE)*(F989-Calc!F24)),Inputs!$B$23)/100+Inputs!$B$23/100)/2</f>
        <v/>
      </c>
      <c r="M973">
        <f>L973*(1+(Inputs!$B$10+((C991=TRUE)*(F991-Calc!F26))+B1008)/100)</f>
        <v/>
      </c>
      <c r="N973">
        <f>L973*(1-MIN((Inputs!$B$9+((C990=TRUE)*(F990-Calc!F25))+B1005),100)/100)+M973*(MIN((Inputs!$B$9+((C990=TRUE)*(F990-Calc!F25))+B1005),100)/100)</f>
        <v/>
      </c>
      <c r="O973">
        <f>(1-Summary!$B$55)*T973+Summary!$B$55*V973</f>
        <v/>
      </c>
      <c r="P973">
        <f>IF(B1009=0,0,O973/B1009)</f>
        <v/>
      </c>
      <c r="Q973">
        <f>IFERROR(1/IF(Inputs!$B$39="pvp",15,MAX(0.1,Skills!D8-IF(Skills!E8=TRUE,Inputs!$B$32,0))),0)</f>
        <v/>
      </c>
      <c r="R973">
        <f>IF(AND(Inputs!$B$39&lt;&gt;"pvp",Inputs!$B$44&gt;0),IF(MAX(0,Inputs!$B$44-B1010)&lt;=0,0,(INT(MAX(0,Inputs!$B$44-B1010)/IF(Inputs!$B$39="pvp",15,MAX(0.1,Skills!D8-IF(Skills!E8=TRUE,Inputs!$B$32,0))))+1)),0)</f>
        <v/>
      </c>
      <c r="S973">
        <f>IFERROR(O973/N973,0)</f>
        <v/>
      </c>
      <c r="T973">
        <f>IF(C973,(H973*N973*IF(AND(Inputs!$B$39&lt;&gt;"pvp",Inputs!$B$44&gt;0),((Skills!G8*((R973-1)*IF(Skills!H8&gt;0,Skills!I8/Skills!H8,1)+IF(Skills!H8&gt;0,MIN(Skills!I8,MAX(0,MAX(0,Inputs!$B$44-B1010)-((R973-1)*IF(Inputs!$B$39="pvp",15,MAX(0.1,Skills!D8-IF(Skills!E8=TRUE,Inputs!$B$32,0))))))/Skills!H8,1)))/Inputs!$B$44),G973*Q973))*IF(Inputs!$B$39="pvp",1,1+(Inputs!$B$20+((C992=TRUE)*(F992-Calc!F27))+Skills!P8+B1006)/100),0)</f>
        <v/>
      </c>
      <c r="V973">
        <f>IF(C973,(H973*N973*IF(AND(Inputs!$B$39&lt;&gt;"pvp",Inputs!$B$44&gt;0),((Skills!G8*((R973-1)*IF(Skills!H8&gt;0,Skills!I8/Skills!H8,1)+IF(Skills!H8&gt;0,MIN(Skills!I8,MAX(0,MAX(0,Inputs!$B$44-B1010)-((R973-1)*IF(Inputs!$B$39="pvp",15,MAX(0.1,Skills!D8-IF(Skills!E8=TRUE,Inputs!$B$32,0))))))/Skills!H8,1)))/Inputs!$B$44),G973*Q973))*IF(Inputs!$B$39="pvp",1,(1+(Inputs!$B$21+Skills!Q8+B1006)/100)*(MIN(Skills!W8,Inputs!$B$37))),0)</f>
        <v/>
      </c>
    </row>
    <row r="974">
      <c r="A974">
        <f>Skills!A9</f>
        <v/>
      </c>
      <c r="B974">
        <f>Skills!B9</f>
        <v/>
      </c>
      <c r="C974">
        <f>Inputs!$B$3&gt;=72</f>
        <v/>
      </c>
      <c r="D974">
        <f>IF(Skills!C9=1,60+Inputs!$B$25+Inputs!$B$29,IF(Skills!C9=2,90+Inputs!$B$26+Inputs!$B$29,IF(Skills!C9=3,120+Inputs!$B$27+Inputs!$B$29,MAX(0,(Inputs!$B$3-100)*3)+(Inputs!$B$28+1)+Inputs!$B$29)))</f>
        <v/>
      </c>
      <c r="E974">
        <f>INDEX(FactorTable!$B$2:$Y$301, MATCH(ROUND(MIN(300,MAX(1,D974)),0), FactorTable!$A$2:$A$301,0), Skills!M9+1)</f>
        <v/>
      </c>
      <c r="F974">
        <f>IF(Skills!N9=TRUE,(Skills!L9/10)*(E974/1000),Skills!L9/10)+Skills!O9</f>
        <v/>
      </c>
      <c r="G974">
        <f>Calc!G9</f>
        <v/>
      </c>
      <c r="H974">
        <f>Calc!H9</f>
        <v/>
      </c>
      <c r="I974">
        <f>IF(Skills!AA9&lt;&gt;"",1+(Skills!AA9/10)*(U968/1000)/100,1)</f>
        <v/>
      </c>
      <c r="J974">
        <f>((Inputs!$B$6*(1+Inputs!$B$7/100))+(((Inputs!$B$12*(1+Inputs!$B$13/100))-(Inputs!$B$12*(1+Inputs!$B$13/100)))+0.25*(Inputs!$B$14-Inputs!$B$14))*(1+Inputs!$B$7/100))*(F974/100)</f>
        <v/>
      </c>
      <c r="K974">
        <f>J974*(1+((Inputs!$B$12*(1+Inputs!$B$13/100))*0.01+Inputs!$B$14*0.0025)/100)*(1+Inputs!$B$15/100)*(1+Inputs!$B$16/100)*(5000/(6000+Inputs!$B$43*(1-Inputs!$B$19/100)))*(1+(Inputs!$B$24+((C995=TRUE)*(F995-Calc!F30)))/100)*(1+Skills!R9/100)*(1+(IF(Skills!A9="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974)</f>
        <v/>
      </c>
      <c r="L974">
        <f>K974*(MIN(Inputs!$B$22+((C989=TRUE)*(F989-Calc!F24)),Inputs!$B$23)/100+Inputs!$B$23/100)/2</f>
        <v/>
      </c>
      <c r="M974">
        <f>L974*(1+(Inputs!$B$10+((C991=TRUE)*(F991-Calc!F26))+B1008)/100)</f>
        <v/>
      </c>
      <c r="N974">
        <f>L974*(1-MIN((Inputs!$B$9+((C990=TRUE)*(F990-Calc!F25))+B1005),100)/100)+M974*(MIN((Inputs!$B$9+((C990=TRUE)*(F990-Calc!F25))+B1005),100)/100)</f>
        <v/>
      </c>
      <c r="O974">
        <f>(1-Summary!$B$55)*T974+Summary!$B$55*V974</f>
        <v/>
      </c>
      <c r="P974">
        <f>IF(B1009=0,0,O974/B1009)</f>
        <v/>
      </c>
      <c r="Q974">
        <f>IFERROR(1/IF(Inputs!$B$39="pvp",15,MAX(0.1,Skills!D9-IF(Skills!E9=TRUE,Inputs!$B$32,0))),0)</f>
        <v/>
      </c>
      <c r="R974">
        <f>IF(AND(Inputs!$B$39&lt;&gt;"pvp",Inputs!$B$44&gt;0),IF(MAX(0,Inputs!$B$44-B1010)&lt;=0,0,(INT(MAX(0,Inputs!$B$44-B1010)/IF(Inputs!$B$39="pvp",15,MAX(0.1,Skills!D9-IF(Skills!E9=TRUE,Inputs!$B$32,0))))+1)),0)</f>
        <v/>
      </c>
      <c r="S974">
        <f>IFERROR(O974/N974,0)</f>
        <v/>
      </c>
      <c r="T974">
        <f>IF(C974,(H974*N974*IF(AND(Inputs!$B$39&lt;&gt;"pvp",Inputs!$B$44&gt;0),((Skills!G9*((R974-1)*IF(Skills!H9&gt;0,Skills!I9/Skills!H9,1)+IF(Skills!H9&gt;0,MIN(Skills!I9,MAX(0,MAX(0,Inputs!$B$44-B1010)-((R974-1)*IF(Inputs!$B$39="pvp",15,MAX(0.1,Skills!D9-IF(Skills!E9=TRUE,Inputs!$B$32,0))))))/Skills!H9,1)))/Inputs!$B$44),G974*Q974))*IF(Inputs!$B$39="pvp",1,1+(Inputs!$B$20+((C992=TRUE)*(F992-Calc!F27))+Skills!P9+B1006)/100),0)</f>
        <v/>
      </c>
      <c r="V974">
        <f>IF(C974,(H974*N974*IF(AND(Inputs!$B$39&lt;&gt;"pvp",Inputs!$B$44&gt;0),((Skills!G9*((R974-1)*IF(Skills!H9&gt;0,Skills!I9/Skills!H9,1)+IF(Skills!H9&gt;0,MIN(Skills!I9,MAX(0,MAX(0,Inputs!$B$44-B1010)-((R974-1)*IF(Inputs!$B$39="pvp",15,MAX(0.1,Skills!D9-IF(Skills!E9=TRUE,Inputs!$B$32,0))))))/Skills!H9,1)))/Inputs!$B$44),G974*Q974))*IF(Inputs!$B$39="pvp",1,(1+(Inputs!$B$21+Skills!Q9+B1006)/100)*(MIN(Skills!W9,Inputs!$B$37))),0)</f>
        <v/>
      </c>
    </row>
    <row r="975">
      <c r="A975">
        <f>Skills!A10</f>
        <v/>
      </c>
      <c r="B975">
        <f>Skills!B10</f>
        <v/>
      </c>
      <c r="C975">
        <f>Inputs!$B$3&gt;=117</f>
        <v/>
      </c>
      <c r="D975">
        <f>IF(Skills!C10=1,60+Inputs!$B$25+Inputs!$B$29,IF(Skills!C10=2,90+Inputs!$B$26+Inputs!$B$29,IF(Skills!C10=3,120+Inputs!$B$27+Inputs!$B$29,MAX(0,(Inputs!$B$3-100)*3)+(Inputs!$B$28+1)+Inputs!$B$29)))</f>
        <v/>
      </c>
      <c r="E975">
        <f>INDEX(FactorTable!$B$2:$Y$301, MATCH(ROUND(MIN(300,MAX(1,D975)),0), FactorTable!$A$2:$A$301,0), Skills!M10+1)</f>
        <v/>
      </c>
      <c r="F975">
        <f>IF(Skills!N10=TRUE,(Skills!L10/10)*(E975/1000),Skills!L10/10)+Skills!O10</f>
        <v/>
      </c>
      <c r="G975">
        <f>Calc!G10</f>
        <v/>
      </c>
      <c r="H975">
        <f>Calc!H10</f>
        <v/>
      </c>
      <c r="I975">
        <f>IF(Skills!AA10&lt;&gt;"",1+(Skills!AA10/10)*(U968/1000)/100,1)</f>
        <v/>
      </c>
      <c r="J975">
        <f>((Inputs!$B$6*(1+Inputs!$B$7/100))+(((Inputs!$B$12*(1+Inputs!$B$13/100))-(Inputs!$B$12*(1+Inputs!$B$13/100)))+0.25*(Inputs!$B$14-Inputs!$B$14))*(1+Inputs!$B$7/100))*(F975/100)</f>
        <v/>
      </c>
      <c r="K975">
        <f>J975*(1+((Inputs!$B$12*(1+Inputs!$B$13/100))*0.01+Inputs!$B$14*0.0025)/100)*(1+Inputs!$B$15/100)*(1+Inputs!$B$16/100)*(5000/(6000+Inputs!$B$43*(1-Inputs!$B$19/100)))*(1+(Inputs!$B$24+((C995=TRUE)*(F995-Calc!F30)))/100)*(1+Skills!R10/100)*(1+(IF(Skills!A10="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975)</f>
        <v/>
      </c>
      <c r="L975">
        <f>K975*(MIN(Inputs!$B$22+((C989=TRUE)*(F989-Calc!F24)),Inputs!$B$23)/100+Inputs!$B$23/100)/2</f>
        <v/>
      </c>
      <c r="M975">
        <f>L975*(1+(Inputs!$B$10+((C991=TRUE)*(F991-Calc!F26))+B1008)/100)</f>
        <v/>
      </c>
      <c r="N975">
        <f>L975*(1-MIN((Inputs!$B$9+((C990=TRUE)*(F990-Calc!F25))+B1005),100)/100)+M975*(MIN((Inputs!$B$9+((C990=TRUE)*(F990-Calc!F25))+B1005),100)/100)</f>
        <v/>
      </c>
      <c r="O975">
        <f>(1-Summary!$B$55)*T975+Summary!$B$55*V975</f>
        <v/>
      </c>
      <c r="P975">
        <f>IF(B1009=0,0,O975/B1009)</f>
        <v/>
      </c>
      <c r="Q975" t="n">
        <v>0</v>
      </c>
      <c r="R975" t="n">
        <v>0</v>
      </c>
      <c r="S975" t="n">
        <v>0</v>
      </c>
      <c r="T975">
        <f>IF(C975,(0.2*SUMPRODUCT((Skills!Z2:Z31=TRUE)*(C967:C996=TRUE)*S967:S996)*N975)*IF(Inputs!$B$39="pvp",1,1+(Inputs!$B$20+((C992=TRUE)*(F992-Calc!F27))+Skills!P10+B1006)/100),0)</f>
        <v/>
      </c>
      <c r="V975">
        <f>IF(C975,(0.2*SUMPRODUCT((Skills!Z2:Z31=TRUE)*(C967:C996=TRUE)*S967:S996)*N975)*IF(Inputs!$B$39="pvp",1,(1+(Inputs!$B$21+Skills!Q10+B1006)/100)*(MIN(Skills!W10,Inputs!$B$37))),0)</f>
        <v/>
      </c>
    </row>
    <row r="976">
      <c r="A976">
        <f>Skills!A11</f>
        <v/>
      </c>
      <c r="B976">
        <f>Skills!B11</f>
        <v/>
      </c>
      <c r="C976">
        <f>Inputs!$B$3&gt;=60</f>
        <v/>
      </c>
      <c r="D976">
        <f>IF(Skills!C11=1,60+Inputs!$B$25+Inputs!$B$29,IF(Skills!C11=2,90+Inputs!$B$26+Inputs!$B$29,IF(Skills!C11=3,120+Inputs!$B$27+Inputs!$B$29,MAX(0,(Inputs!$B$3-100)*3)+(Inputs!$B$28+1)+Inputs!$B$29)))</f>
        <v/>
      </c>
      <c r="E976">
        <f>INDEX(FactorTable!$B$2:$Y$301, MATCH(ROUND(MIN(300,MAX(1,D976)),0), FactorTable!$A$2:$A$301,0), Skills!M11+1)</f>
        <v/>
      </c>
      <c r="F976">
        <f>IF(Skills!N11=TRUE,(Skills!L11/10)*(E976/1000),Skills!L11/10)+Skills!O11</f>
        <v/>
      </c>
      <c r="G976">
        <f>Calc!G11</f>
        <v/>
      </c>
      <c r="H976">
        <f>Calc!H11</f>
        <v/>
      </c>
      <c r="I976">
        <f>IF(Skills!AA11&lt;&gt;"",1+(Skills!AA11/10)*(U968/1000)/100,1)</f>
        <v/>
      </c>
      <c r="J976" t="inlineStr"/>
      <c r="K976" t="inlineStr"/>
      <c r="L976" t="inlineStr"/>
      <c r="M976" t="inlineStr"/>
      <c r="N976" t="inlineStr"/>
      <c r="O976">
        <f>(1-Summary!$B$55)*T976+Summary!$B$55*V976</f>
        <v/>
      </c>
      <c r="P976">
        <f>IF(B1009=0,0,O976/B1009)</f>
        <v/>
      </c>
      <c r="Q976" t="n">
        <v>0</v>
      </c>
      <c r="R976" t="n">
        <v>0</v>
      </c>
      <c r="S976">
        <f>IFERROR(O976/N976,0)</f>
        <v/>
      </c>
      <c r="T976" t="n">
        <v>0</v>
      </c>
      <c r="V976" t="n">
        <v>0</v>
      </c>
    </row>
    <row r="977">
      <c r="A977">
        <f>Skills!A12</f>
        <v/>
      </c>
      <c r="B977">
        <f>Skills!B12</f>
        <v/>
      </c>
      <c r="C977">
        <f>Inputs!$B$3&gt;=103</f>
        <v/>
      </c>
      <c r="D977">
        <f>IF(Skills!C12=1,60+Inputs!$B$25+Inputs!$B$29,IF(Skills!C12=2,90+Inputs!$B$26+Inputs!$B$29,IF(Skills!C12=3,120+Inputs!$B$27+Inputs!$B$29,MAX(0,(Inputs!$B$3-100)*3)+(Inputs!$B$28+1)+Inputs!$B$29)))</f>
        <v/>
      </c>
      <c r="E977">
        <f>INDEX(FactorTable!$B$2:$Y$301, MATCH(ROUND(MIN(300,MAX(1,D977)),0), FactorTable!$A$2:$A$301,0), Skills!M12+1)</f>
        <v/>
      </c>
      <c r="F977">
        <f>IF(Skills!N12=TRUE,(Skills!L12/10)*(E977/1000),Skills!L12/10)+Skills!O12</f>
        <v/>
      </c>
      <c r="G977">
        <f>Calc!G12</f>
        <v/>
      </c>
      <c r="H977">
        <f>Calc!H12</f>
        <v/>
      </c>
      <c r="I977">
        <f>IF(Skills!AA12&lt;&gt;"",1+(Skills!AA12/10)*(U968/1000)/100,1)</f>
        <v/>
      </c>
      <c r="J977">
        <f>((Inputs!$B$6*(1+Inputs!$B$7/100))+(((Inputs!$B$12*(1+Inputs!$B$13/100))-(Inputs!$B$12*(1+Inputs!$B$13/100)))+0.25*(Inputs!$B$14-Inputs!$B$14))*(1+Inputs!$B$7/100))*(F977/100)</f>
        <v/>
      </c>
      <c r="K977">
        <f>J977*(1+((Inputs!$B$12*(1+Inputs!$B$13/100))*0.01+Inputs!$B$14*0.0025)/100)*(1+Inputs!$B$15/100)*(1+Inputs!$B$16/100)*(5000/(6000+Inputs!$B$43*(1-Inputs!$B$19/100)))*(1+(Inputs!$B$24+((C995=TRUE)*(F995-Calc!F30)))/100)*(1+Skills!R12/100)*(1+(IF(Skills!A12="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977)</f>
        <v/>
      </c>
      <c r="L977">
        <f>K977*(MIN(Inputs!$B$22+((C989=TRUE)*(F989-Calc!F24)),Inputs!$B$23)/100+Inputs!$B$23/100)/2</f>
        <v/>
      </c>
      <c r="M977">
        <f>L977*(1+(Inputs!$B$10+((C991=TRUE)*(F991-Calc!F26))+B1008)/100)</f>
        <v/>
      </c>
      <c r="N977">
        <f>L977*(1-MIN((Inputs!$B$9+((C990=TRUE)*(F990-Calc!F25))+B1005),100)/100)+M977*(MIN((Inputs!$B$9+((C990=TRUE)*(F990-Calc!F25))+B1005),100)/100)</f>
        <v/>
      </c>
      <c r="O977">
        <f>(1-Summary!$B$55)*T977+Summary!$B$55*V977</f>
        <v/>
      </c>
      <c r="P977">
        <f>IF(B1009=0,0,O977/B1009)</f>
        <v/>
      </c>
      <c r="Q977">
        <f>IFERROR(1/IF(Inputs!$B$39="pvp",15,MAX(0.1,Skills!D12-IF(Skills!E12=TRUE,Inputs!$B$32,0))),0)</f>
        <v/>
      </c>
      <c r="R977">
        <f>IF(AND(Inputs!$B$39&lt;&gt;"pvp",Inputs!$B$44&gt;0),IF(MAX(0,Inputs!$B$44-B1010)&lt;=0,0,(INT(MAX(0,Inputs!$B$44-B1010)/IF(Inputs!$B$39="pvp",15,MAX(0.1,Skills!D12-IF(Skills!E12=TRUE,Inputs!$B$32,0))))+1)),0)</f>
        <v/>
      </c>
      <c r="S977">
        <f>IFERROR(O977/N977,0)</f>
        <v/>
      </c>
      <c r="T977">
        <f>IF(C977,(H977*N977*IF(AND(Inputs!$B$39&lt;&gt;"pvp",Inputs!$B$44&gt;0),((Skills!G12*((R977-1)*IF(Skills!H12&gt;0,Skills!I12/Skills!H12,1)+IF(Skills!H12&gt;0,MIN(Skills!I12,MAX(0,MAX(0,Inputs!$B$44-B1010)-((R977-1)*IF(Inputs!$B$39="pvp",15,MAX(0.1,Skills!D12-IF(Skills!E12=TRUE,Inputs!$B$32,0))))))/Skills!H12,1)))/Inputs!$B$44),G977*Q977))*IF(Inputs!$B$39="pvp",1,1+(Inputs!$B$20+((C992=TRUE)*(F992-Calc!F27))+Skills!P12+B1006)/100),0)</f>
        <v/>
      </c>
      <c r="V977">
        <f>IF(C977,(H977*N977*IF(AND(Inputs!$B$39&lt;&gt;"pvp",Inputs!$B$44&gt;0),((Skills!G12*((R977-1)*IF(Skills!H12&gt;0,Skills!I12/Skills!H12,1)+IF(Skills!H12&gt;0,MIN(Skills!I12,MAX(0,MAX(0,Inputs!$B$44-B1010)-((R977-1)*IF(Inputs!$B$39="pvp",15,MAX(0.1,Skills!D12-IF(Skills!E12=TRUE,Inputs!$B$32,0))))))/Skills!H12,1)))/Inputs!$B$44),G977*Q977))*IF(Inputs!$B$39="pvp",1,(1+(Inputs!$B$21+Skills!Q12+B1006)/100)*(MIN(Skills!W12,Inputs!$B$37))),0)</f>
        <v/>
      </c>
    </row>
    <row r="978">
      <c r="A978">
        <f>Skills!A13</f>
        <v/>
      </c>
      <c r="B978">
        <f>Skills!B13</f>
        <v/>
      </c>
      <c r="C978">
        <f>Inputs!$B$3&gt;=105</f>
        <v/>
      </c>
      <c r="D978">
        <f>IF(Skills!C13=1,60+Inputs!$B$25+Inputs!$B$29,IF(Skills!C13=2,90+Inputs!$B$26+Inputs!$B$29,IF(Skills!C13=3,120+Inputs!$B$27+Inputs!$B$29,MAX(0,(Inputs!$B$3-100)*3)+(Inputs!$B$28+1)+Inputs!$B$29)))</f>
        <v/>
      </c>
      <c r="E978">
        <f>INDEX(FactorTable!$B$2:$Y$301, MATCH(ROUND(MIN(300,MAX(1,D978)),0), FactorTable!$A$2:$A$301,0), Skills!M13+1)</f>
        <v/>
      </c>
      <c r="F978">
        <f>IF(Skills!N13=TRUE,(Skills!L13/10)*(E978/1000),Skills!L13/10)+Skills!O13</f>
        <v/>
      </c>
      <c r="G978">
        <f>Calc!G13</f>
        <v/>
      </c>
      <c r="H978">
        <f>Calc!H13</f>
        <v/>
      </c>
      <c r="I978">
        <f>IF(Skills!AA13&lt;&gt;"",1+(Skills!AA13/10)*(U968/1000)/100,1)</f>
        <v/>
      </c>
      <c r="J978">
        <f>((Inputs!$B$6*(1+Inputs!$B$7/100))+(((Inputs!$B$12*(1+Inputs!$B$13/100))-(Inputs!$B$12*(1+Inputs!$B$13/100)))+0.25*(Inputs!$B$14-Inputs!$B$14))*(1+Inputs!$B$7/100))*(F978/100)</f>
        <v/>
      </c>
      <c r="K978">
        <f>J978*(1+((Inputs!$B$12*(1+Inputs!$B$13/100))*0.01+Inputs!$B$14*0.0025)/100)*(1+Inputs!$B$15/100)*(1+Inputs!$B$16/100)*(5000/(6000+Inputs!$B$43*(1-Inputs!$B$19/100)))*(1+(Inputs!$B$24+((C995=TRUE)*(F995-Calc!F30)))/100)*(1+Skills!R13/100)*(1+(IF(Skills!A13="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978)</f>
        <v/>
      </c>
      <c r="L978">
        <f>K978*(MIN(Inputs!$B$22+((C989=TRUE)*(F989-Calc!F24)),Inputs!$B$23)/100+Inputs!$B$23/100)/2</f>
        <v/>
      </c>
      <c r="M978">
        <f>L978*(1+(Inputs!$B$10+((C991=TRUE)*(F991-Calc!F26))+B1008)/100)</f>
        <v/>
      </c>
      <c r="N978">
        <f>L978*(1-MIN((Inputs!$B$9+((C990=TRUE)*(F990-Calc!F25))+B1005),100)/100)+M978*(MIN((Inputs!$B$9+((C990=TRUE)*(F990-Calc!F25))+B1005),100)/100)</f>
        <v/>
      </c>
      <c r="O978">
        <f>(1-Summary!$B$55)*T978+Summary!$B$55*V978</f>
        <v/>
      </c>
      <c r="P978">
        <f>IF(B1009=0,0,O978/B1009)</f>
        <v/>
      </c>
      <c r="Q978">
        <f>IFERROR(1/IF(Inputs!$B$39="pvp",15,MAX(0.1,Skills!D13-IF(Skills!E13=TRUE,Inputs!$B$32,0))),0)</f>
        <v/>
      </c>
      <c r="R978">
        <f>IF(AND(Inputs!$B$39&lt;&gt;"pvp",Inputs!$B$44&gt;0),IF(MAX(0,Inputs!$B$44-B1010)&lt;=0,0,(INT(MAX(0,Inputs!$B$44-B1010)/IF(Inputs!$B$39="pvp",15,MAX(0.1,Skills!D13-IF(Skills!E13=TRUE,Inputs!$B$32,0))))+1)),0)</f>
        <v/>
      </c>
      <c r="S978">
        <f>IFERROR(O978/N978,0)</f>
        <v/>
      </c>
      <c r="T978">
        <f>IF(C978,(H978*N978*IF(AND(Inputs!$B$39&lt;&gt;"pvp",Inputs!$B$44&gt;0),((Skills!G13*((R978-1)*IF(Skills!H13&gt;0,Skills!I13/Skills!H13,1)+IF(Skills!H13&gt;0,MIN(Skills!I13,MAX(0,MAX(0,Inputs!$B$44-B1010)-((R978-1)*IF(Inputs!$B$39="pvp",15,MAX(0.1,Skills!D13-IF(Skills!E13=TRUE,Inputs!$B$32,0))))))/Skills!H13,1)))/Inputs!$B$44),G978*Q978))*IF(Inputs!$B$39="pvp",1,1+(Inputs!$B$20+((C992=TRUE)*(F992-Calc!F27))+Skills!P13+B1006)/100),0)</f>
        <v/>
      </c>
      <c r="V978">
        <f>IF(C978,(H978*N978*IF(AND(Inputs!$B$39&lt;&gt;"pvp",Inputs!$B$44&gt;0),((Skills!G13*((R978-1)*IF(Skills!H13&gt;0,Skills!I13/Skills!H13,1)+IF(Skills!H13&gt;0,MIN(Skills!I13,MAX(0,MAX(0,Inputs!$B$44-B1010)-((R978-1)*IF(Inputs!$B$39="pvp",15,MAX(0.1,Skills!D13-IF(Skills!E13=TRUE,Inputs!$B$32,0))))))/Skills!H13,1)))/Inputs!$B$44),G978*Q978))*IF(Inputs!$B$39="pvp",1,(1+(Inputs!$B$21+Skills!Q13+B1006)/100)*(MIN(Skills!W13,Inputs!$B$37))),0)</f>
        <v/>
      </c>
    </row>
    <row r="979">
      <c r="A979">
        <f>Skills!A14</f>
        <v/>
      </c>
      <c r="B979">
        <f>Skills!B14</f>
        <v/>
      </c>
      <c r="C979">
        <f>Inputs!$B$3&gt;=105</f>
        <v/>
      </c>
      <c r="D979">
        <f>IF(Skills!C14=1,60+Inputs!$B$25+Inputs!$B$29,IF(Skills!C14=2,90+Inputs!$B$26+Inputs!$B$29,IF(Skills!C14=3,120+Inputs!$B$27+Inputs!$B$29,MAX(0,(Inputs!$B$3-100)*3)+(Inputs!$B$28+1)+Inputs!$B$29)))</f>
        <v/>
      </c>
      <c r="E979">
        <f>INDEX(FactorTable!$B$2:$Y$301, MATCH(ROUND(MIN(300,MAX(1,D979)),0), FactorTable!$A$2:$A$301,0), Skills!M14+1)</f>
        <v/>
      </c>
      <c r="F979">
        <f>IF(Skills!N14=TRUE,(Skills!L14/10)*(E979/1000),Skills!L14/10)+Skills!O14</f>
        <v/>
      </c>
      <c r="G979">
        <f>Calc!G14</f>
        <v/>
      </c>
      <c r="H979">
        <f>Calc!H14</f>
        <v/>
      </c>
      <c r="I979">
        <f>IF(Skills!AA14&lt;&gt;"",1+(Skills!AA14/10)*(U968/1000)/100,1)</f>
        <v/>
      </c>
      <c r="J979">
        <f>((Inputs!$B$6*(1+Inputs!$B$7/100))+(((Inputs!$B$12*(1+Inputs!$B$13/100))-(Inputs!$B$12*(1+Inputs!$B$13/100)))+0.25*(Inputs!$B$14-Inputs!$B$14))*(1+Inputs!$B$7/100))*(F979/100)</f>
        <v/>
      </c>
      <c r="K979">
        <f>J979*(1+((Inputs!$B$12*(1+Inputs!$B$13/100))*0.01+Inputs!$B$14*0.0025)/100)*(1+Inputs!$B$15/100)*(1+Inputs!$B$16/100)*(5000/(6000+Inputs!$B$43*(1-Inputs!$B$19/100)))*(1+(Inputs!$B$24+((C995=TRUE)*(F995-Calc!F30)))/100)*(1+Skills!R14/100)*(1+(IF(Skills!A14="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979)</f>
        <v/>
      </c>
      <c r="L979">
        <f>K979*(MIN(Inputs!$B$22+((C989=TRUE)*(F989-Calc!F24)),Inputs!$B$23)/100+Inputs!$B$23/100)/2</f>
        <v/>
      </c>
      <c r="M979">
        <f>L979*(1+(Inputs!$B$10+((C991=TRUE)*(F991-Calc!F26))+B1008)/100)</f>
        <v/>
      </c>
      <c r="N979">
        <f>L979*(1-MIN((Inputs!$B$9+((C990=TRUE)*(F990-Calc!F25))+B1005),100)/100)+M979*(MIN((Inputs!$B$9+((C990=TRUE)*(F990-Calc!F25))+B1005),100)/100)</f>
        <v/>
      </c>
      <c r="O979">
        <f>(1-Summary!$B$55)*T979+Summary!$B$55*V979</f>
        <v/>
      </c>
      <c r="P979">
        <f>IF(B1009=0,0,O979/B1009)</f>
        <v/>
      </c>
      <c r="Q979">
        <f>IFERROR(1/IF(Inputs!$B$39="pvp",15,MAX(0.1,Skills!D14-IF(Skills!E14=TRUE,Inputs!$B$32,0))),0)</f>
        <v/>
      </c>
      <c r="R979">
        <f>IF(AND(Inputs!$B$39&lt;&gt;"pvp",Inputs!$B$44&gt;0),IF(MAX(0,Inputs!$B$44-B1010)&lt;=0,0,(INT(MAX(0,Inputs!$B$44-B1010)/IF(Inputs!$B$39="pvp",15,MAX(0.1,Skills!D14-IF(Skills!E14=TRUE,Inputs!$B$32,0))))+1)),0)</f>
        <v/>
      </c>
      <c r="S979">
        <f>IFERROR(O979/N979,0)</f>
        <v/>
      </c>
      <c r="T979">
        <f>IF(C979,(H979*N979*IF(AND(Inputs!$B$39&lt;&gt;"pvp",Inputs!$B$44&gt;0),((Skills!G14*((R979-1)*IF(Skills!H14&gt;0,Skills!I14/Skills!H14,1)+IF(Skills!H14&gt;0,MIN(Skills!I14,MAX(0,MAX(0,Inputs!$B$44-B1010)-((R979-1)*IF(Inputs!$B$39="pvp",15,MAX(0.1,Skills!D14-IF(Skills!E14=TRUE,Inputs!$B$32,0))))))/Skills!H14,1)))/Inputs!$B$44),G979*Q979))*IF(Inputs!$B$39="pvp",1,1+(Inputs!$B$20+((C992=TRUE)*(F992-Calc!F27))+Skills!P14+B1006)/100),0)</f>
        <v/>
      </c>
      <c r="V979">
        <f>IF(C979,(H979*N979*IF(AND(Inputs!$B$39&lt;&gt;"pvp",Inputs!$B$44&gt;0),((Skills!G14*((R979-1)*IF(Skills!H14&gt;0,Skills!I14/Skills!H14,1)+IF(Skills!H14&gt;0,MIN(Skills!I14,MAX(0,MAX(0,Inputs!$B$44-B1010)-((R979-1)*IF(Inputs!$B$39="pvp",15,MAX(0.1,Skills!D14-IF(Skills!E14=TRUE,Inputs!$B$32,0))))))/Skills!H14,1)))/Inputs!$B$44),G979*Q979))*IF(Inputs!$B$39="pvp",1,(1+(Inputs!$B$21+Skills!Q14+B1006)/100)*(MIN(Skills!W14,Inputs!$B$37))),0)</f>
        <v/>
      </c>
    </row>
    <row r="980">
      <c r="A980">
        <f>Skills!A15</f>
        <v/>
      </c>
      <c r="B980">
        <f>Skills!B15</f>
        <v/>
      </c>
      <c r="C980">
        <f>Inputs!$B$3&gt;=110</f>
        <v/>
      </c>
      <c r="D980">
        <f>IF(Skills!C15=1,60+Inputs!$B$25+Inputs!$B$29,IF(Skills!C15=2,90+Inputs!$B$26+Inputs!$B$29,IF(Skills!C15=3,120+Inputs!$B$27+Inputs!$B$29,MAX(0,(Inputs!$B$3-100)*3)+(Inputs!$B$28+1)+Inputs!$B$29)))</f>
        <v/>
      </c>
      <c r="E980">
        <f>INDEX(FactorTable!$B$2:$Y$301, MATCH(ROUND(MIN(300,MAX(1,D980)),0), FactorTable!$A$2:$A$301,0), Skills!M15+1)</f>
        <v/>
      </c>
      <c r="F980">
        <f>IF(Skills!N15=TRUE,(Skills!L15/10)*(E980/1000),Skills!L15/10)+Skills!O15</f>
        <v/>
      </c>
      <c r="G980">
        <f>Calc!G15</f>
        <v/>
      </c>
      <c r="H980">
        <f>Calc!H15</f>
        <v/>
      </c>
      <c r="I980">
        <f>IF(Skills!AA15&lt;&gt;"",1+(Skills!AA15/10)*(U968/1000)/100,1)</f>
        <v/>
      </c>
      <c r="J980" t="inlineStr"/>
      <c r="K980" t="inlineStr"/>
      <c r="L980" t="inlineStr"/>
      <c r="M980" t="inlineStr"/>
      <c r="N980" t="inlineStr"/>
      <c r="O980">
        <f>(1-Summary!$B$55)*T980+Summary!$B$55*V980</f>
        <v/>
      </c>
      <c r="P980">
        <f>IF(B1009=0,0,O980/B1009)</f>
        <v/>
      </c>
      <c r="Q980">
        <f>IFERROR(1/IF(Inputs!$B$39="pvp",15,MAX(0.1,Skills!D15-IF(Skills!E15=TRUE,Inputs!$B$32,0))),0)</f>
        <v/>
      </c>
      <c r="R980">
        <f>IF(AND(Inputs!$B$39&lt;&gt;"pvp",Inputs!$B$44&gt;0),IF(Inputs!$B$44&lt;=0,0,(INT(Inputs!$B$44/IF(Inputs!$B$39="pvp",15,MAX(0.1,Skills!D15-IF(Skills!E15=TRUE,Inputs!$B$32,0))))+1)),0)</f>
        <v/>
      </c>
      <c r="S980">
        <f>IFERROR(O980/N980,0)</f>
        <v/>
      </c>
      <c r="T980" t="n">
        <v>0</v>
      </c>
      <c r="V980" t="n">
        <v>0</v>
      </c>
    </row>
    <row r="981">
      <c r="A981">
        <f>Skills!A16</f>
        <v/>
      </c>
      <c r="B981">
        <f>Skills!B16</f>
        <v/>
      </c>
      <c r="C981">
        <f>Inputs!$B$3&gt;=110</f>
        <v/>
      </c>
      <c r="D981">
        <f>IF(Skills!C16=1,60+Inputs!$B$25+Inputs!$B$29,IF(Skills!C16=2,90+Inputs!$B$26+Inputs!$B$29,IF(Skills!C16=3,120+Inputs!$B$27+Inputs!$B$29,MAX(0,(Inputs!$B$3-100)*3)+(Inputs!$B$28+1)+Inputs!$B$29)))</f>
        <v/>
      </c>
      <c r="E981">
        <f>INDEX(FactorTable!$B$2:$Y$301, MATCH(ROUND(MIN(300,MAX(1,D981)),0), FactorTable!$A$2:$A$301,0), Skills!M16+1)</f>
        <v/>
      </c>
      <c r="F981">
        <f>IF(Skills!N16=TRUE,(Skills!L16/10)*(E981/1000),Skills!L16/10)+Skills!O16</f>
        <v/>
      </c>
      <c r="G981">
        <f>Calc!G16</f>
        <v/>
      </c>
      <c r="H981">
        <f>Calc!H16</f>
        <v/>
      </c>
      <c r="I981">
        <f>IF(Skills!AA16&lt;&gt;"",1+(Skills!AA16/10)*(U968/1000)/100,1)</f>
        <v/>
      </c>
      <c r="J981" t="inlineStr"/>
      <c r="K981" t="inlineStr"/>
      <c r="L981" t="inlineStr"/>
      <c r="M981" t="inlineStr"/>
      <c r="N981" t="inlineStr"/>
      <c r="O981">
        <f>(1-Summary!$B$55)*T981+Summary!$B$55*V981</f>
        <v/>
      </c>
      <c r="P981">
        <f>IF(B1009=0,0,O981/B1009)</f>
        <v/>
      </c>
      <c r="Q981">
        <f>IFERROR(1/IF(Inputs!$B$39="pvp",15,MAX(0.1,Skills!D16-IF(Skills!E16=TRUE,Inputs!$B$32,0))),0)</f>
        <v/>
      </c>
      <c r="R981">
        <f>IF(AND(Inputs!$B$39&lt;&gt;"pvp",Inputs!$B$44&gt;0),IF(Inputs!$B$44&lt;=0,0,(INT(Inputs!$B$44/IF(Inputs!$B$39="pvp",15,MAX(0.1,Skills!D16-IF(Skills!E16=TRUE,Inputs!$B$32,0))))+1)),0)</f>
        <v/>
      </c>
      <c r="S981">
        <f>IFERROR(O981/N981,0)</f>
        <v/>
      </c>
      <c r="T981" t="n">
        <v>0</v>
      </c>
      <c r="V981" t="n">
        <v>0</v>
      </c>
    </row>
    <row r="982">
      <c r="A982">
        <f>Skills!A17</f>
        <v/>
      </c>
      <c r="B982">
        <f>Skills!B17</f>
        <v/>
      </c>
      <c r="C982">
        <f>Inputs!$B$3&gt;=115</f>
        <v/>
      </c>
      <c r="D982">
        <f>IF(Skills!C17=1,60+Inputs!$B$25+Inputs!$B$29,IF(Skills!C17=2,90+Inputs!$B$26+Inputs!$B$29,IF(Skills!C17=3,120+Inputs!$B$27+Inputs!$B$29,MAX(0,(Inputs!$B$3-100)*3)+(Inputs!$B$28+1)+Inputs!$B$29)))</f>
        <v/>
      </c>
      <c r="E982">
        <f>INDEX(FactorTable!$B$2:$Y$301, MATCH(ROUND(MIN(300,MAX(1,D982)),0), FactorTable!$A$2:$A$301,0), Skills!M17+1)</f>
        <v/>
      </c>
      <c r="F982">
        <f>IF(Skills!N17=TRUE,(Skills!L17/10)*(E982/1000),Skills!L17/10)+Skills!O17</f>
        <v/>
      </c>
      <c r="G982">
        <f>Calc!G17</f>
        <v/>
      </c>
      <c r="H982">
        <f>Calc!H17</f>
        <v/>
      </c>
      <c r="I982">
        <f>IF(Skills!AA17&lt;&gt;"",1+(Skills!AA17/10)*(U968/1000)/100,1)</f>
        <v/>
      </c>
      <c r="J982">
        <f>((Inputs!$B$6*(1+Inputs!$B$7/100))+(((Inputs!$B$12*(1+Inputs!$B$13/100))-(Inputs!$B$12*(1+Inputs!$B$13/100)))+0.25*(Inputs!$B$14-Inputs!$B$14))*(1+Inputs!$B$7/100))*(F982/100)</f>
        <v/>
      </c>
      <c r="K982">
        <f>J982*(1+((Inputs!$B$12*(1+Inputs!$B$13/100))*0.01+Inputs!$B$14*0.0025)/100)*(1+Inputs!$B$15/100)*(1+Inputs!$B$16/100)*(5000/(6000+Inputs!$B$43*(1-Inputs!$B$19/100)))*(1+(Inputs!$B$24+((C995=TRUE)*(F995-Calc!F30)))/100)*(1+Skills!R17/100)*(1+(IF(Skills!A17="SHOWDOWN",Inputs!$B$17+((C988=TRUE)*(F988-Calc!F23)),Inputs!$B$18+((C994=TRUE)*(F994-Calc!F29))))/100)*(((1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B1007*I982)</f>
        <v/>
      </c>
      <c r="L982">
        <f>K982*(MIN(Inputs!$B$22+((C989=TRUE)*(F989-Calc!F24)),Inputs!$B$23)/100+Inputs!$B$23/100)/2</f>
        <v/>
      </c>
      <c r="M982">
        <f>L982*(1+(Inputs!$B$10+((C991=TRUE)*(F991-Calc!F26))+B1008)/100)</f>
        <v/>
      </c>
      <c r="N982">
        <f>L982*(1-MIN((Inputs!$B$9+((C990=TRUE)*(F990-Calc!F25))+B1005),100)/100)+M982*(MIN((Inputs!$B$9+((C990=TRUE)*(F990-Calc!F25))+B1005),100)/100)</f>
        <v/>
      </c>
      <c r="O982">
        <f>(1-Summary!$B$55)*T982+Summary!$B$55*V982</f>
        <v/>
      </c>
      <c r="P982">
        <f>IF(B1009=0,0,O982/B1009)</f>
        <v/>
      </c>
      <c r="Q982" t="n">
        <v>0</v>
      </c>
      <c r="R982" t="n">
        <v>0</v>
      </c>
      <c r="S982">
        <f>IFERROR(O982/N982,0)</f>
        <v/>
      </c>
      <c r="T982">
        <f>IF(C982,(Inputs!$B$38*0.2*N982)*IF(Inputs!$B$39="pvp",1,1+(Inputs!$B$20+((C992=TRUE)*(F992-Calc!F27))+Skills!P17+B1006)/100),0)</f>
        <v/>
      </c>
      <c r="V982">
        <f>IF(C982,(Inputs!$B$38*0.2*N982)*IF(Inputs!$B$39="pvp",1,(1+(Inputs!$B$21+Skills!Q17+B1006)/100)*(MIN(Skills!W17,Inputs!$B$37))),0)</f>
        <v/>
      </c>
    </row>
    <row r="983">
      <c r="A983">
        <f>Skills!A18</f>
        <v/>
      </c>
      <c r="B983">
        <f>Skills!B18</f>
        <v/>
      </c>
      <c r="C983">
        <f>Inputs!$B$3&gt;=115</f>
        <v/>
      </c>
      <c r="D983">
        <f>IF(Skills!C18=1,60+Inputs!$B$25+Inputs!$B$29,IF(Skills!C18=2,90+Inputs!$B$26+Inputs!$B$29,IF(Skills!C18=3,120+Inputs!$B$27+Inputs!$B$29,MAX(0,(Inputs!$B$3-100)*3)+(Inputs!$B$28+1)+Inputs!$B$29)))</f>
        <v/>
      </c>
      <c r="E983">
        <f>INDEX(FactorTable!$B$2:$Y$301, MATCH(ROUND(MIN(300,MAX(1,D983)),0), FactorTable!$A$2:$A$301,0), Skills!M18+1)</f>
        <v/>
      </c>
      <c r="F983">
        <f>IF(Skills!N18=TRUE,(Skills!L18/10)*(E983/1000),Skills!L18/10)+Skills!O18</f>
        <v/>
      </c>
      <c r="G983">
        <f>Calc!G18</f>
        <v/>
      </c>
      <c r="H983">
        <f>Calc!H18</f>
        <v/>
      </c>
      <c r="I983">
        <f>IF(Skills!AA18&lt;&gt;"",1+(Skills!AA18/10)*(U968/1000)/100,1)</f>
        <v/>
      </c>
      <c r="J983" t="inlineStr"/>
      <c r="K983" t="inlineStr"/>
      <c r="L983" t="inlineStr"/>
      <c r="M983" t="inlineStr"/>
      <c r="N983" t="inlineStr"/>
      <c r="O983">
        <f>(1-Summary!$B$55)*T983+Summary!$B$55*V983</f>
        <v/>
      </c>
      <c r="P983">
        <f>IF(B1009=0,0,O983/B1009)</f>
        <v/>
      </c>
      <c r="Q983" t="n">
        <v>0</v>
      </c>
      <c r="R983" t="n">
        <v>0</v>
      </c>
      <c r="S983">
        <f>IFERROR(O983/N983,0)</f>
        <v/>
      </c>
      <c r="T983" t="n">
        <v>0</v>
      </c>
      <c r="V983" t="n">
        <v>0</v>
      </c>
    </row>
    <row r="984">
      <c r="A984">
        <f>Skills!A19</f>
        <v/>
      </c>
      <c r="B984">
        <f>Skills!B19</f>
        <v/>
      </c>
      <c r="C984">
        <f>TRUE</f>
        <v/>
      </c>
      <c r="D984">
        <f>IF(Skills!C19=1,60+Inputs!$B$25+Inputs!$B$29,IF(Skills!C19=2,90+Inputs!$B$26+Inputs!$B$29,IF(Skills!C19=3,120+Inputs!$B$27+Inputs!$B$29,MAX(0,(Inputs!$B$3-100)*3)+(Inputs!$B$28+1)+Inputs!$B$29)))</f>
        <v/>
      </c>
      <c r="E984">
        <f>INDEX(FactorTable!$B$2:$Y$301, MATCH(ROUND(MIN(300,MAX(1,D984)),0), FactorTable!$A$2:$A$301,0), Skills!M19+1)</f>
        <v/>
      </c>
      <c r="F984">
        <f>IF(Skills!N19=TRUE,(Skills!L19/10)*(E984/1000),Skills!L19/10)+Skills!O19</f>
        <v/>
      </c>
      <c r="G984">
        <f>Calc!G19</f>
        <v/>
      </c>
      <c r="H984">
        <f>Calc!H19</f>
        <v/>
      </c>
      <c r="I984">
        <f>IF(Skills!AA19&lt;&gt;"",1+(Skills!AA19/10)*(U968/1000)/100,1)</f>
        <v/>
      </c>
      <c r="J984" t="inlineStr"/>
      <c r="K984" t="inlineStr"/>
      <c r="L984" t="inlineStr"/>
      <c r="M984" t="inlineStr"/>
      <c r="N984" t="inlineStr"/>
      <c r="O984">
        <f>(1-Summary!$B$55)*T984+Summary!$B$55*V984</f>
        <v/>
      </c>
      <c r="P984">
        <f>IF(B1009=0,0,O984/B1009)</f>
        <v/>
      </c>
      <c r="Q984">
        <f>IFERROR(1/IF(Inputs!$B$39="pvp",15,MAX(0.1,Skills!D19-IF(Skills!E19=TRUE,Inputs!$B$32,0))),0)</f>
        <v/>
      </c>
      <c r="R984">
        <f>IF(AND(Inputs!$B$39&lt;&gt;"pvp",Inputs!$B$44&gt;0),IF(Inputs!$B$44&lt;=0,0,(INT(Inputs!$B$44/IF(Inputs!$B$39="pvp",15,MAX(0.1,Skills!D19-IF(Skills!E19=TRUE,Inputs!$B$32,0))))+1)),0)</f>
        <v/>
      </c>
      <c r="S984">
        <f>IFERROR(O984/N984,0)</f>
        <v/>
      </c>
      <c r="T984" t="n">
        <v>0</v>
      </c>
      <c r="V984" t="n">
        <v>0</v>
      </c>
    </row>
    <row r="985">
      <c r="A985">
        <f>Skills!A20</f>
        <v/>
      </c>
      <c r="B985">
        <f>Skills!B20</f>
        <v/>
      </c>
      <c r="C985">
        <f>Inputs!$B$3&gt;=15</f>
        <v/>
      </c>
      <c r="D985">
        <f>IF(Skills!C20=1,60+Inputs!$B$25+Inputs!$B$29,IF(Skills!C20=2,90+Inputs!$B$26+Inputs!$B$29,IF(Skills!C20=3,120+Inputs!$B$27+Inputs!$B$29,MAX(0,(Inputs!$B$3-100)*3)+(Inputs!$B$28+1)+Inputs!$B$29)))</f>
        <v/>
      </c>
      <c r="E985">
        <f>INDEX(FactorTable!$B$2:$Y$301, MATCH(ROUND(MIN(300,MAX(1,D985)),0), FactorTable!$A$2:$A$301,0), Skills!M20+1)</f>
        <v/>
      </c>
      <c r="F985">
        <f>IF(Skills!N20=TRUE,(Skills!L20/10)*(E985/1000),Skills!L20/10)+Skills!O20</f>
        <v/>
      </c>
      <c r="G985">
        <f>Calc!G20</f>
        <v/>
      </c>
      <c r="H985">
        <f>Calc!H20</f>
        <v/>
      </c>
      <c r="I985">
        <f>IF(Skills!AA20&lt;&gt;"",1+(Skills!AA20/10)*(U968/1000)/100,1)</f>
        <v/>
      </c>
      <c r="J985" t="inlineStr"/>
      <c r="K985" t="inlineStr"/>
      <c r="L985" t="inlineStr"/>
      <c r="M985" t="inlineStr"/>
      <c r="N985" t="inlineStr"/>
      <c r="O985">
        <f>(1-Summary!$B$55)*T985+Summary!$B$55*V985</f>
        <v/>
      </c>
      <c r="P985">
        <f>IF(B1009=0,0,O985/B1009)</f>
        <v/>
      </c>
      <c r="Q985">
        <f>IFERROR(1/IF(Inputs!$B$39="pvp",15,MAX(0.1,Skills!D20-IF(Skills!E20=TRUE,Inputs!$B$32,0))),0)</f>
        <v/>
      </c>
      <c r="R985">
        <f>IF(AND(Inputs!$B$39&lt;&gt;"pvp",Inputs!$B$44&gt;0),IF(Inputs!$B$44&lt;=0,0,(INT(Inputs!$B$44/IF(Inputs!$B$39="pvp",15,MAX(0.1,Skills!D20-IF(Skills!E20=TRUE,Inputs!$B$32,0))))+1)),0)</f>
        <v/>
      </c>
      <c r="S985">
        <f>IFERROR(O985/N985,0)</f>
        <v/>
      </c>
      <c r="T985" t="n">
        <v>0</v>
      </c>
      <c r="V985" t="n">
        <v>0</v>
      </c>
    </row>
    <row r="986">
      <c r="A986">
        <f>Skills!A21</f>
        <v/>
      </c>
      <c r="B986">
        <f>Skills!B21</f>
        <v/>
      </c>
      <c r="C986">
        <f>Inputs!$B$3&gt;=15</f>
        <v/>
      </c>
      <c r="D986">
        <f>IF(Skills!C21=1,60+Inputs!$B$25+Inputs!$B$29,IF(Skills!C21=2,90+Inputs!$B$26+Inputs!$B$29,IF(Skills!C21=3,120+Inputs!$B$27+Inputs!$B$29,MAX(0,(Inputs!$B$3-100)*3)+(Inputs!$B$28+1)+Inputs!$B$29)))</f>
        <v/>
      </c>
      <c r="E986">
        <f>INDEX(FactorTable!$B$2:$Y$301, MATCH(ROUND(MIN(300,MAX(1,D986)),0), FactorTable!$A$2:$A$301,0), Skills!M21+1)</f>
        <v/>
      </c>
      <c r="F986">
        <f>IF(Skills!N21=TRUE,(Skills!L21/10)*(E986/1000),Skills!L21/10)+Skills!O21</f>
        <v/>
      </c>
      <c r="G986">
        <f>Calc!G21</f>
        <v/>
      </c>
      <c r="H986">
        <f>Calc!H21</f>
        <v/>
      </c>
      <c r="I986">
        <f>IF(Skills!AA21&lt;&gt;"",1+(Skills!AA21/10)*(U968/1000)/100,1)</f>
        <v/>
      </c>
      <c r="J986" t="inlineStr"/>
      <c r="K986" t="inlineStr"/>
      <c r="L986" t="inlineStr"/>
      <c r="M986" t="inlineStr"/>
      <c r="N986" t="inlineStr"/>
      <c r="O986">
        <f>(1-Summary!$B$55)*T986+Summary!$B$55*V986</f>
        <v/>
      </c>
      <c r="P986">
        <f>IF(B1009=0,0,O986/B1009)</f>
        <v/>
      </c>
      <c r="Q986">
        <f>IFERROR(1/IF(Inputs!$B$39="pvp",15,MAX(0.1,Skills!D21-IF(Skills!E21=TRUE,Inputs!$B$32,0))),0)</f>
        <v/>
      </c>
      <c r="R986">
        <f>IF(AND(Inputs!$B$39&lt;&gt;"pvp",Inputs!$B$44&gt;0),IF(Inputs!$B$44&lt;=0,0,(INT(Inputs!$B$44/IF(Inputs!$B$39="pvp",15,MAX(0.1,Skills!D21-IF(Skills!E21=TRUE,Inputs!$B$32,0))))+1)),0)</f>
        <v/>
      </c>
      <c r="S986">
        <f>IFERROR(O986/N986,0)</f>
        <v/>
      </c>
      <c r="T986" t="n">
        <v>0</v>
      </c>
      <c r="V986" t="n">
        <v>0</v>
      </c>
    </row>
    <row r="987">
      <c r="A987">
        <f>Skills!A22</f>
        <v/>
      </c>
      <c r="B987">
        <f>Skills!B22</f>
        <v/>
      </c>
      <c r="C987">
        <f>Inputs!$B$3&gt;=33</f>
        <v/>
      </c>
      <c r="D987">
        <f>IF(Skills!C22=1,60+Inputs!$B$25+Inputs!$B$29,IF(Skills!C22=2,90+Inputs!$B$26+Inputs!$B$29,IF(Skills!C22=3,120+Inputs!$B$27+Inputs!$B$29,MAX(0,(Inputs!$B$3-100)*3)+(Inputs!$B$28+1)+Inputs!$B$29)))</f>
        <v/>
      </c>
      <c r="E987">
        <f>INDEX(FactorTable!$B$2:$Y$301, MATCH(ROUND(MIN(300,MAX(1,D987)),0), FactorTable!$A$2:$A$301,0), Skills!M22+1)</f>
        <v/>
      </c>
      <c r="F987">
        <f>IF(Skills!N22=TRUE,(Skills!L22/10)*(E987/1000),Skills!L22/10)+Skills!O22</f>
        <v/>
      </c>
      <c r="G987">
        <f>Calc!G22</f>
        <v/>
      </c>
      <c r="H987">
        <f>Calc!H22</f>
        <v/>
      </c>
      <c r="I987">
        <f>IF(Skills!AA22&lt;&gt;"",1+(Skills!AA22/10)*(U968/1000)/100,1)</f>
        <v/>
      </c>
      <c r="J987" t="inlineStr"/>
      <c r="K987" t="inlineStr"/>
      <c r="L987" t="inlineStr"/>
      <c r="M987" t="inlineStr"/>
      <c r="N987" t="inlineStr"/>
      <c r="O987">
        <f>(1-Summary!$B$55)*T987+Summary!$B$55*V987</f>
        <v/>
      </c>
      <c r="P987">
        <f>IF(B1009=0,0,O987/B1009)</f>
        <v/>
      </c>
      <c r="Q987" t="n">
        <v>0</v>
      </c>
      <c r="R987" t="n">
        <v>0</v>
      </c>
      <c r="S987">
        <f>IFERROR(O987/N987,0)</f>
        <v/>
      </c>
      <c r="T987" t="n">
        <v>0</v>
      </c>
      <c r="V987" t="n">
        <v>0</v>
      </c>
    </row>
    <row r="988">
      <c r="A988">
        <f>Skills!A23</f>
        <v/>
      </c>
      <c r="B988">
        <f>Skills!B23</f>
        <v/>
      </c>
      <c r="C988">
        <f>Inputs!$B$3&gt;=38</f>
        <v/>
      </c>
      <c r="D988">
        <f>IF(Skills!C23=1,60+Inputs!$B$25+Inputs!$B$29,IF(Skills!C23=2,90+Inputs!$B$26+Inputs!$B$29,IF(Skills!C23=3,120+Inputs!$B$27+Inputs!$B$29,MAX(0,(Inputs!$B$3-100)*3)+(Inputs!$B$28+1)+Inputs!$B$29)))</f>
        <v/>
      </c>
      <c r="E988">
        <f>INDEX(FactorTable!$B$2:$Y$301, MATCH(ROUND(MIN(300,MAX(1,D988)),0), FactorTable!$A$2:$A$301,0), Skills!M23+1)</f>
        <v/>
      </c>
      <c r="F988">
        <f>IF(Skills!N23=TRUE,(Skills!L23/10)*(E988/1000),Skills!L23/10)+Skills!O23</f>
        <v/>
      </c>
      <c r="G988">
        <f>Calc!G23</f>
        <v/>
      </c>
      <c r="H988">
        <f>Calc!H23</f>
        <v/>
      </c>
      <c r="I988">
        <f>IF(Skills!AA23&lt;&gt;"",1+(Skills!AA23/10)*(U968/1000)/100,1)</f>
        <v/>
      </c>
      <c r="J988" t="inlineStr"/>
      <c r="K988" t="inlineStr"/>
      <c r="L988" t="inlineStr"/>
      <c r="M988" t="inlineStr"/>
      <c r="N988" t="inlineStr"/>
      <c r="O988">
        <f>(1-Summary!$B$55)*T988+Summary!$B$55*V988</f>
        <v/>
      </c>
      <c r="P988">
        <f>IF(B1009=0,0,O988/B1009)</f>
        <v/>
      </c>
      <c r="Q988" t="n">
        <v>0</v>
      </c>
      <c r="R988" t="n">
        <v>0</v>
      </c>
      <c r="S988">
        <f>IFERROR(O988/N988,0)</f>
        <v/>
      </c>
      <c r="T988" t="n">
        <v>0</v>
      </c>
      <c r="V988" t="n">
        <v>0</v>
      </c>
    </row>
    <row r="989">
      <c r="A989">
        <f>Skills!A24</f>
        <v/>
      </c>
      <c r="B989">
        <f>Skills!B24</f>
        <v/>
      </c>
      <c r="C989">
        <f>Inputs!$B$3&gt;=40</f>
        <v/>
      </c>
      <c r="D989">
        <f>IF(Skills!C24=1,60+Inputs!$B$25+Inputs!$B$29,IF(Skills!C24=2,90+Inputs!$B$26+Inputs!$B$29,IF(Skills!C24=3,120+Inputs!$B$27+Inputs!$B$29,MAX(0,(Inputs!$B$3-100)*3)+(Inputs!$B$28+1)+Inputs!$B$29)))</f>
        <v/>
      </c>
      <c r="E989">
        <f>INDEX(FactorTable!$B$2:$Y$301, MATCH(ROUND(MIN(300,MAX(1,D989)),0), FactorTable!$A$2:$A$301,0), Skills!M24+1)</f>
        <v/>
      </c>
      <c r="F989">
        <f>IF(Skills!N24=TRUE,(Skills!L24/10)*(E989/1000),Skills!L24/10)+Skills!O24</f>
        <v/>
      </c>
      <c r="G989">
        <f>Calc!G24</f>
        <v/>
      </c>
      <c r="H989">
        <f>Calc!H24</f>
        <v/>
      </c>
      <c r="I989">
        <f>IF(Skills!AA24&lt;&gt;"",1+(Skills!AA24/10)*(U968/1000)/100,1)</f>
        <v/>
      </c>
      <c r="J989" t="inlineStr"/>
      <c r="K989" t="inlineStr"/>
      <c r="L989" t="inlineStr"/>
      <c r="M989" t="inlineStr"/>
      <c r="N989" t="inlineStr"/>
      <c r="O989">
        <f>(1-Summary!$B$55)*T989+Summary!$B$55*V989</f>
        <v/>
      </c>
      <c r="P989">
        <f>IF(B1009=0,0,O989/B1009)</f>
        <v/>
      </c>
      <c r="Q989" t="n">
        <v>0</v>
      </c>
      <c r="R989" t="n">
        <v>0</v>
      </c>
      <c r="S989">
        <f>IFERROR(O989/N989,0)</f>
        <v/>
      </c>
      <c r="T989" t="n">
        <v>0</v>
      </c>
      <c r="V989" t="n">
        <v>0</v>
      </c>
    </row>
    <row r="990">
      <c r="A990">
        <f>Skills!A25</f>
        <v/>
      </c>
      <c r="B990">
        <f>Skills!B25</f>
        <v/>
      </c>
      <c r="C990">
        <f>Inputs!$B$3&gt;=45</f>
        <v/>
      </c>
      <c r="D990">
        <f>IF(Skills!C25=1,60+Inputs!$B$25+Inputs!$B$29,IF(Skills!C25=2,90+Inputs!$B$26+Inputs!$B$29,IF(Skills!C25=3,120+Inputs!$B$27+Inputs!$B$29,MAX(0,(Inputs!$B$3-100)*3)+(Inputs!$B$28+1)+Inputs!$B$29)))</f>
        <v/>
      </c>
      <c r="E990">
        <f>INDEX(FactorTable!$B$2:$Y$301, MATCH(ROUND(MIN(300,MAX(1,D990)),0), FactorTable!$A$2:$A$301,0), Skills!M25+1)</f>
        <v/>
      </c>
      <c r="F990">
        <f>IF(Skills!N25=TRUE,(Skills!L25/10)*(E990/1000),Skills!L25/10)+Skills!O25</f>
        <v/>
      </c>
      <c r="G990">
        <f>Calc!G25</f>
        <v/>
      </c>
      <c r="H990">
        <f>Calc!H25</f>
        <v/>
      </c>
      <c r="I990">
        <f>IF(Skills!AA25&lt;&gt;"",1+(Skills!AA25/10)*(U968/1000)/100,1)</f>
        <v/>
      </c>
      <c r="J990" t="inlineStr"/>
      <c r="K990" t="inlineStr"/>
      <c r="L990" t="inlineStr"/>
      <c r="M990" t="inlineStr"/>
      <c r="N990" t="inlineStr"/>
      <c r="O990">
        <f>(1-Summary!$B$55)*T990+Summary!$B$55*V990</f>
        <v/>
      </c>
      <c r="P990">
        <f>IF(B1009=0,0,O990/B1009)</f>
        <v/>
      </c>
      <c r="Q990" t="n">
        <v>0</v>
      </c>
      <c r="R990" t="n">
        <v>0</v>
      </c>
      <c r="S990">
        <f>IFERROR(O990/N990,0)</f>
        <v/>
      </c>
      <c r="T990" t="n">
        <v>0</v>
      </c>
      <c r="V990" t="n">
        <v>0</v>
      </c>
    </row>
    <row r="991">
      <c r="A991">
        <f>Skills!A26</f>
        <v/>
      </c>
      <c r="B991">
        <f>Skills!B26</f>
        <v/>
      </c>
      <c r="C991">
        <f>Inputs!$B$3&gt;=45</f>
        <v/>
      </c>
      <c r="D991">
        <f>IF(Skills!C26=1,60+Inputs!$B$25+Inputs!$B$29,IF(Skills!C26=2,90+Inputs!$B$26+Inputs!$B$29,IF(Skills!C26=3,120+Inputs!$B$27+Inputs!$B$29,MAX(0,(Inputs!$B$3-100)*3)+(Inputs!$B$28+1)+Inputs!$B$29)))</f>
        <v/>
      </c>
      <c r="E991">
        <f>INDEX(FactorTable!$B$2:$Y$301, MATCH(ROUND(MIN(300,MAX(1,D991)),0), FactorTable!$A$2:$A$301,0), Skills!M26+1)</f>
        <v/>
      </c>
      <c r="F991">
        <f>IF(Skills!N26=TRUE,(Skills!L26/10)*(E991/1000),Skills!L26/10)+Skills!O26</f>
        <v/>
      </c>
      <c r="G991">
        <f>Calc!G26</f>
        <v/>
      </c>
      <c r="H991">
        <f>Calc!H26</f>
        <v/>
      </c>
      <c r="I991">
        <f>IF(Skills!AA26&lt;&gt;"",1+(Skills!AA26/10)*(U968/1000)/100,1)</f>
        <v/>
      </c>
      <c r="J991" t="inlineStr"/>
      <c r="K991" t="inlineStr"/>
      <c r="L991" t="inlineStr"/>
      <c r="M991" t="inlineStr"/>
      <c r="N991" t="inlineStr"/>
      <c r="O991">
        <f>(1-Summary!$B$55)*T991+Summary!$B$55*V991</f>
        <v/>
      </c>
      <c r="P991">
        <f>IF(B1009=0,0,O991/B1009)</f>
        <v/>
      </c>
      <c r="Q991" t="n">
        <v>0</v>
      </c>
      <c r="R991" t="n">
        <v>0</v>
      </c>
      <c r="S991">
        <f>IFERROR(O991/N991,0)</f>
        <v/>
      </c>
      <c r="T991" t="n">
        <v>0</v>
      </c>
      <c r="V991" t="n">
        <v>0</v>
      </c>
    </row>
    <row r="992">
      <c r="A992">
        <f>Skills!A27</f>
        <v/>
      </c>
      <c r="B992">
        <f>Skills!B27</f>
        <v/>
      </c>
      <c r="C992">
        <f>Inputs!$B$3&gt;=72</f>
        <v/>
      </c>
      <c r="D992">
        <f>IF(Skills!C27=1,60+Inputs!$B$25+Inputs!$B$29,IF(Skills!C27=2,90+Inputs!$B$26+Inputs!$B$29,IF(Skills!C27=3,120+Inputs!$B$27+Inputs!$B$29,MAX(0,(Inputs!$B$3-100)*3)+(Inputs!$B$28+1)+Inputs!$B$29)))</f>
        <v/>
      </c>
      <c r="E992">
        <f>INDEX(FactorTable!$B$2:$Y$301, MATCH(ROUND(MIN(300,MAX(1,D992)),0), FactorTable!$A$2:$A$301,0), Skills!M27+1)</f>
        <v/>
      </c>
      <c r="F992">
        <f>IF(Skills!N27=TRUE,(Skills!L27/10)*(E992/1000),Skills!L27/10)+Skills!O27</f>
        <v/>
      </c>
      <c r="G992">
        <f>Calc!G27</f>
        <v/>
      </c>
      <c r="H992">
        <f>Calc!H27</f>
        <v/>
      </c>
      <c r="I992">
        <f>IF(Skills!AA27&lt;&gt;"",1+(Skills!AA27/10)*(U968/1000)/100,1)</f>
        <v/>
      </c>
      <c r="J992" t="inlineStr"/>
      <c r="K992" t="inlineStr"/>
      <c r="L992" t="inlineStr"/>
      <c r="M992" t="inlineStr"/>
      <c r="N992" t="inlineStr"/>
      <c r="O992">
        <f>(1-Summary!$B$55)*T992+Summary!$B$55*V992</f>
        <v/>
      </c>
      <c r="P992">
        <f>IF(B1009=0,0,O992/B1009)</f>
        <v/>
      </c>
      <c r="Q992" t="n">
        <v>0</v>
      </c>
      <c r="R992" t="n">
        <v>0</v>
      </c>
      <c r="S992">
        <f>IFERROR(O992/N992,0)</f>
        <v/>
      </c>
      <c r="T992" t="n">
        <v>0</v>
      </c>
      <c r="V992" t="n">
        <v>0</v>
      </c>
    </row>
    <row r="993">
      <c r="A993">
        <f>Skills!A28</f>
        <v/>
      </c>
      <c r="B993">
        <f>Skills!B28</f>
        <v/>
      </c>
      <c r="C993">
        <f>Inputs!$B$3&gt;=75</f>
        <v/>
      </c>
      <c r="D993">
        <f>IF(Skills!C28=1,60+Inputs!$B$25+Inputs!$B$29,IF(Skills!C28=2,90+Inputs!$B$26+Inputs!$B$29,IF(Skills!C28=3,120+Inputs!$B$27+Inputs!$B$29,MAX(0,(Inputs!$B$3-100)*3)+(Inputs!$B$28+1)+Inputs!$B$29)))</f>
        <v/>
      </c>
      <c r="E993">
        <f>INDEX(FactorTable!$B$2:$Y$301, MATCH(ROUND(MIN(300,MAX(1,D993)),0), FactorTable!$A$2:$A$301,0), Skills!M28+1)</f>
        <v/>
      </c>
      <c r="F993">
        <f>IF(Skills!N28=TRUE,(Skills!L28/10)*(E993/1000),Skills!L28/10)+Skills!O28</f>
        <v/>
      </c>
      <c r="G993">
        <f>Calc!G28</f>
        <v/>
      </c>
      <c r="H993">
        <f>Calc!H28</f>
        <v/>
      </c>
      <c r="I993">
        <f>IF(Skills!AA28&lt;&gt;"",1+(Skills!AA28/10)*(U968/1000)/100,1)</f>
        <v/>
      </c>
      <c r="J993" t="inlineStr"/>
      <c r="K993" t="inlineStr"/>
      <c r="L993" t="inlineStr"/>
      <c r="M993" t="inlineStr"/>
      <c r="N993" t="inlineStr"/>
      <c r="O993">
        <f>(1-Summary!$B$55)*T993+Summary!$B$55*V993</f>
        <v/>
      </c>
      <c r="P993">
        <f>IF(B1009=0,0,O993/B1009)</f>
        <v/>
      </c>
      <c r="Q993" t="n">
        <v>0</v>
      </c>
      <c r="R993" t="n">
        <v>0</v>
      </c>
      <c r="S993">
        <f>IFERROR(O993/N993,0)</f>
        <v/>
      </c>
      <c r="T993" t="n">
        <v>0</v>
      </c>
      <c r="V993" t="n">
        <v>0</v>
      </c>
    </row>
    <row r="994">
      <c r="A994">
        <f>Skills!A29</f>
        <v/>
      </c>
      <c r="B994">
        <f>Skills!B29</f>
        <v/>
      </c>
      <c r="C994">
        <f>Inputs!$B$3&gt;=120</f>
        <v/>
      </c>
      <c r="D994">
        <f>IF(Skills!C29=1,60+Inputs!$B$25+Inputs!$B$29,IF(Skills!C29=2,90+Inputs!$B$26+Inputs!$B$29,IF(Skills!C29=3,120+Inputs!$B$27+Inputs!$B$29,MAX(0,(Inputs!$B$3-100)*3)+(Inputs!$B$28+1)+Inputs!$B$29)))</f>
        <v/>
      </c>
      <c r="E994">
        <f>INDEX(FactorTable!$B$2:$Y$301, MATCH(ROUND(MIN(300,MAX(1,D994)),0), FactorTable!$A$2:$A$301,0), Skills!M29+1)</f>
        <v/>
      </c>
      <c r="F994">
        <f>IF(Skills!N29=TRUE,(Skills!L29/10)*(E994/1000),Skills!L29/10)+Skills!O29</f>
        <v/>
      </c>
      <c r="G994">
        <f>Calc!G29</f>
        <v/>
      </c>
      <c r="H994">
        <f>Calc!H29</f>
        <v/>
      </c>
      <c r="I994">
        <f>IF(Skills!AA29&lt;&gt;"",1+(Skills!AA29/10)*(U968/1000)/100,1)</f>
        <v/>
      </c>
      <c r="J994" t="inlineStr"/>
      <c r="K994" t="inlineStr"/>
      <c r="L994" t="inlineStr"/>
      <c r="M994" t="inlineStr"/>
      <c r="N994" t="inlineStr"/>
      <c r="O994">
        <f>(1-Summary!$B$55)*T994+Summary!$B$55*V994</f>
        <v/>
      </c>
      <c r="P994">
        <f>IF(B1009=0,0,O994/B1009)</f>
        <v/>
      </c>
      <c r="Q994" t="n">
        <v>0</v>
      </c>
      <c r="R994" t="n">
        <v>0</v>
      </c>
      <c r="S994">
        <f>IFERROR(O994/N994,0)</f>
        <v/>
      </c>
      <c r="T994" t="n">
        <v>0</v>
      </c>
      <c r="V994" t="n">
        <v>0</v>
      </c>
    </row>
    <row r="995">
      <c r="A995">
        <f>Skills!A30</f>
        <v/>
      </c>
      <c r="B995">
        <f>Skills!B30</f>
        <v/>
      </c>
      <c r="C995">
        <f>Inputs!$B$3&gt;=125</f>
        <v/>
      </c>
      <c r="D995">
        <f>IF(Skills!C30=1,60+Inputs!$B$25+Inputs!$B$29,IF(Skills!C30=2,90+Inputs!$B$26+Inputs!$B$29,IF(Skills!C30=3,120+Inputs!$B$27+Inputs!$B$29,MAX(0,(Inputs!$B$3-100)*3)+(Inputs!$B$28+1)+Inputs!$B$29)))</f>
        <v/>
      </c>
      <c r="E995">
        <f>INDEX(FactorTable!$B$2:$Y$301, MATCH(ROUND(MIN(300,MAX(1,D995)),0), FactorTable!$A$2:$A$301,0), Skills!M30+1)</f>
        <v/>
      </c>
      <c r="F995">
        <f>IF(Skills!N30=TRUE,(Skills!L30/10)*(E995/1000),Skills!L30/10)+Skills!O30</f>
        <v/>
      </c>
      <c r="G995">
        <f>Calc!G30</f>
        <v/>
      </c>
      <c r="H995">
        <f>Calc!H30</f>
        <v/>
      </c>
      <c r="I995">
        <f>IF(Skills!AA30&lt;&gt;"",1+(Skills!AA30/10)*(U968/1000)/100,1)</f>
        <v/>
      </c>
      <c r="J995" t="inlineStr"/>
      <c r="K995" t="inlineStr"/>
      <c r="L995" t="inlineStr"/>
      <c r="M995" t="inlineStr"/>
      <c r="N995" t="inlineStr"/>
      <c r="O995">
        <f>(1-Summary!$B$55)*T995+Summary!$B$55*V995</f>
        <v/>
      </c>
      <c r="P995">
        <f>IF(B1009=0,0,O995/B1009)</f>
        <v/>
      </c>
      <c r="Q995" t="n">
        <v>0</v>
      </c>
      <c r="R995" t="n">
        <v>0</v>
      </c>
      <c r="S995">
        <f>IFERROR(O995/N995,0)</f>
        <v/>
      </c>
      <c r="T995" t="n">
        <v>0</v>
      </c>
      <c r="V995" t="n">
        <v>0</v>
      </c>
    </row>
    <row r="996">
      <c r="A996">
        <f>Skills!A31</f>
        <v/>
      </c>
      <c r="B996">
        <f>Skills!B31</f>
        <v/>
      </c>
      <c r="C996">
        <f>Inputs!$B$3&gt;=107</f>
        <v/>
      </c>
      <c r="D996">
        <f>IF(Skills!C31=1,60+Inputs!$B$25+Inputs!$B$29,IF(Skills!C31=2,90+Inputs!$B$26+Inputs!$B$29,IF(Skills!C31=3,120+Inputs!$B$27+Inputs!$B$29,MAX(0,(Inputs!$B$3-100)*3)+(Inputs!$B$28+1)+Inputs!$B$29)))</f>
        <v/>
      </c>
      <c r="E996">
        <f>INDEX(FactorTable!$B$2:$Y$301, MATCH(ROUND(MIN(300,MAX(1,D996)),0), FactorTable!$A$2:$A$301,0), Skills!M31+1)</f>
        <v/>
      </c>
      <c r="F996">
        <f>IF(Skills!N31=TRUE,(Skills!L31/10)*(E996/1000),Skills!L31/10)+Skills!O31</f>
        <v/>
      </c>
      <c r="G996">
        <f>Calc!G31</f>
        <v/>
      </c>
      <c r="H996">
        <f>Calc!H31</f>
        <v/>
      </c>
      <c r="I996">
        <f>IF(Skills!AA31&lt;&gt;"",1+(Skills!AA31/10)*(U968/1000)/100,1)</f>
        <v/>
      </c>
      <c r="J996" t="inlineStr"/>
      <c r="K996" t="inlineStr"/>
      <c r="L996" t="inlineStr"/>
      <c r="M996" t="inlineStr"/>
      <c r="N996" t="inlineStr"/>
      <c r="O996">
        <f>(1-Summary!$B$55)*T996+Summary!$B$55*V996</f>
        <v/>
      </c>
      <c r="P996">
        <f>IF(B1009=0,0,O996/B1009)</f>
        <v/>
      </c>
      <c r="Q996" t="n">
        <v>0</v>
      </c>
      <c r="R996" t="n">
        <v>0</v>
      </c>
      <c r="S996">
        <f>IFERROR(O996/N996,0)</f>
        <v/>
      </c>
      <c r="T996" t="n">
        <v>0</v>
      </c>
      <c r="V996" t="n">
        <v>0</v>
      </c>
    </row>
    <row r="998">
      <c r="A998" t="inlineStr">
        <is>
          <t>Actions Per Second (pre-Adrenalin)</t>
        </is>
      </c>
      <c r="B998">
        <f>1+MIN(150,150*(1-(1-(Inputs!$B$11+((C987=TRUE)*(F987-Calc!F22)))/150)*(1-((C984=TRUE)*F984*IF(AND(Inputs!$B$39&lt;&gt;"pvp",Inputs!$B$44&gt;0),(((R984-1)*(Skills!Y19*(1+Inputs!$B$34/100))+MIN((Skills!Y19*(1+Inputs!$B$34/100)),MAX(0,Inputs!$B$44-((R984-1)*Skills!D19))))/Inputs!$B$44),IF(Inputs!$B$39="pvp",MIN((Skills!Y19*(1+Inputs!$B$34/100)),15)/15,(Skills!Y19*(1+Inputs!$B$34/100))/Skills!D19)))/150)))/100</f>
        <v/>
      </c>
    </row>
    <row r="999">
      <c r="A999" t="inlineStr">
        <is>
          <t>Alchemic Adrenaline Uptime</t>
        </is>
      </c>
      <c r="B999">
        <f>(Skills!Y6*(1+Inputs!$B$34/100))/((Skills!Y6*(1+Inputs!$B$34/100))+(5/B998))</f>
        <v/>
      </c>
    </row>
    <row r="1000">
      <c r="A1000" t="inlineStr">
        <is>
          <t>Attack Speed Buff Bonus %</t>
        </is>
      </c>
      <c r="B1000">
        <f>((C984=TRUE)*F984*IF(AND(Inputs!$B$39&lt;&gt;"pvp",Inputs!$B$44&gt;0),(((R984-1)*(Skills!Y19*(1+Inputs!$B$34/100))+MIN((Skills!Y19*(1+Inputs!$B$34/100)),MAX(0,Inputs!$B$44-((R984-1)*Skills!D19))))/Inputs!$B$44),IF(Inputs!$B$39="pvp",MIN((Skills!Y19*(1+Inputs!$B$34/100)),15)/15,(Skills!Y19*(1+Inputs!$B$34/100))/Skills!D19)))+((C972=TRUE)*F972*B999)</f>
        <v/>
      </c>
    </row>
    <row r="1001">
      <c r="A1001" t="inlineStr">
        <is>
          <t>Actions Per Second (final)</t>
        </is>
      </c>
      <c r="B1001">
        <f>1+MIN(150,150*(1-(1-(Inputs!$B$11+((C987=TRUE)*(F987-Calc!F22)))/150)*(1-B1000/150)))/100</f>
        <v/>
      </c>
    </row>
    <row r="1002">
      <c r="A1002" t="inlineStr">
        <is>
          <t>Skill + Buff Cast Rate</t>
        </is>
      </c>
      <c r="B1002">
        <f>IF(AND(Inputs!$B$39&lt;&gt;"pvp",Inputs!$B$44&gt;0),SUMPRODUCT((Skills!E2:E31=TRUE)*(C967:C996=TRUE)*R967:R996*Skills!F2:F31)/Inputs!$B$44,SUMPRODUCT((Skills!E2:E31=TRUE)*(C967:C996=TRUE)*Q967:Q996*Skills!F2:F31))</f>
        <v/>
      </c>
    </row>
    <row r="1003">
      <c r="A1003" t="inlineStr">
        <is>
          <t>Showdown Casts Per Second</t>
        </is>
      </c>
      <c r="B1003">
        <f>MAX(0,B1001-B1002)</f>
        <v/>
      </c>
    </row>
    <row r="1004">
      <c r="A1004" t="inlineStr">
        <is>
          <t>Average Buff Multiplier</t>
        </is>
      </c>
      <c r="B1004">
        <f>(1+(((C986=TRUE)*F986*IF(AND(Inputs!$B$39&lt;&gt;"pvp",Inputs!$B$44&gt;0),(((R986-1)*(Skills!Y21*(1+Inputs!$B$34/100))+MIN((Skills!Y21*(1+Inputs!$B$34/100)),MAX(0,Inputs!$B$44-((R986-1)*Skills!D21))))/Inputs!$B$44),IF(Inputs!$B$39="pvp",MIN((Skills!Y21*(1+Inputs!$B$34/100)),15)/15,(Skills!Y21*(1+Inputs!$B$34/100))/Skills!D21)))+((C993=TRUE)*(F993-Calc!F28))+((C983=TRUE)*(F983-Calc!F18)))/100)*(1+((C980=TRUE)*F980*IF(AND(Inputs!$B$39&lt;&gt;"pvp",Inputs!$B$44&gt;0),(((R980-1)*(Skills!Y15*(1+Inputs!$B$34/100))+MIN((Skills!Y15*(1+Inputs!$B$34/100)),MAX(0,Inputs!$B$44-((R980-1)*Skills!D15))))/Inputs!$B$44),IF(Inputs!$B$39="pvp",MIN((Skills!Y15*(1+Inputs!$B$34/100)),15)/15,(Skills!Y15*(1+Inputs!$B$34/100))/Skills!D15)))/100)*(1+((C971=TRUE)*F971*B999)/100)</f>
        <v/>
      </c>
    </row>
    <row r="1005">
      <c r="A1005" t="inlineStr">
        <is>
          <t>Global Crit Rate Bonus %</t>
        </is>
      </c>
      <c r="B1005">
        <f>IF(Inputs!$B$3&gt;=47,8,0)+((C985=TRUE)*F985*IF(AND(Inputs!$B$39&lt;&gt;"pvp",Inputs!$B$44&gt;0),(((R985-1)*(Skills!Y20*(1+Inputs!$B$34/100))+MIN((Skills!Y20*(1+Inputs!$B$34/100)),MAX(0,Inputs!$B$44-((R985-1)*Skills!D20))))/Inputs!$B$44),IF(Inputs!$B$39="pvp",MIN((Skills!Y20*(1+Inputs!$B$34/100)),15)/15,(Skills!Y20*(1+Inputs!$B$34/100))/Skills!D20)))</f>
        <v/>
      </c>
    </row>
    <row r="1006">
      <c r="A1006" t="inlineStr">
        <is>
          <t>Global Monster Damage-Taken Bonus %</t>
        </is>
      </c>
      <c r="B1006">
        <f>IF(Inputs!$B$3&gt;=82,15,0)+((C981=TRUE)*F981*IF(AND(Inputs!$B$39&lt;&gt;"pvp",Inputs!$B$44&gt;0),(((R981-1)*(Skills!Y16*(1+Inputs!$B$34/100))+MIN((Skills!Y16*(1+Inputs!$B$34/100)),MAX(0,Inputs!$B$44-((R981-1)*Skills!D16))))/Inputs!$B$44),IF(Inputs!$B$39="pvp",MIN((Skills!Y16*(1+Inputs!$B$34/100)),15)/15,(Skills!Y16*(1+Inputs!$B$34/100))/Skills!D16)))</f>
        <v/>
      </c>
    </row>
    <row r="1007">
      <c r="A1007" t="inlineStr">
        <is>
          <t>Shadow Partner Average Multiplier</t>
        </is>
      </c>
      <c r="B1007">
        <f>1+((C976=TRUE)*F976*I976*Skills!J11/100)/100</f>
        <v/>
      </c>
    </row>
    <row r="1008">
      <c r="A1008" t="inlineStr">
        <is>
          <t>Global Critical Damage Bonus % (Frailty Curse Mastery Lv.111)</t>
        </is>
      </c>
      <c r="B1008">
        <f>IF(Inputs!$B$3&gt;=111,30,0)*IF(AND(Inputs!$B$39&lt;&gt;"pvp",Inputs!$B$44&gt;0),(((R981-1)*(Skills!Y16*(1+Inputs!$B$34/100))+MIN((Skills!Y16*(1+Inputs!$B$34/100)),MAX(0,Inputs!$B$44-((R981-1)*Skills!D16))))/Inputs!$B$44),IF(Inputs!$B$39="pvp",MIN((Skills!Y16*(1+Inputs!$B$34/100)),15)/15,(Skills!Y16*(1+Inputs!$B$34/100))/Skills!D16))</f>
        <v/>
      </c>
    </row>
    <row r="1009">
      <c r="A1009" s="5" t="inlineStr">
        <is>
          <t>TOTAL DPS</t>
        </is>
      </c>
      <c r="B1009" s="5">
        <f>SUM(O967:O996)</f>
        <v/>
      </c>
    </row>
    <row r="1010">
      <c r="A1010" t="inlineStr">
        <is>
          <t>Buff-Casting Startup Delay (s, fixed-duration only)</t>
        </is>
      </c>
      <c r="B1010">
        <f>IF(AND(Inputs!$B$39&lt;&gt;"pvp",Inputs!$B$44&gt;0),SUMPRODUCT((Skills!Y2:Y31&gt;0)*(Skills!E2:E31=TRUE)*(C967:C996=TRUE))/B1001,0)</f>
        <v/>
      </c>
    </row>
    <row r="1011">
      <c r="A1011" t="inlineStr">
        <is>
          <t>Boss-Only Total DPS (this block's swept value)</t>
        </is>
      </c>
      <c r="B1011">
        <f>SUM(T967:T996)</f>
        <v/>
      </c>
    </row>
    <row r="1012">
      <c r="A1012" t="inlineStr">
        <is>
          <t>Normal-Only Total DPS (this block's swept value)</t>
        </is>
      </c>
      <c r="B1012">
        <f>SUM(V967:V996)</f>
        <v/>
      </c>
    </row>
    <row r="1014">
      <c r="A1014" s="5" t="inlineStr">
        <is>
          <t>Stat: Skill Level Bonus — All Skills</t>
        </is>
      </c>
    </row>
    <row r="1015">
      <c r="A1015" s="9" t="inlineStr">
        <is>
          <t>Key</t>
        </is>
      </c>
      <c r="B1015" s="9" t="inlineStr">
        <is>
          <t>Name</t>
        </is>
      </c>
      <c r="C1015" s="9" t="inlineStr">
        <is>
          <t>Unlocked</t>
        </is>
      </c>
      <c r="D1015" s="9" t="inlineStr">
        <is>
          <t>InputLevel</t>
        </is>
      </c>
      <c r="E1015" s="9" t="inlineStr">
        <is>
          <t>Factor</t>
        </is>
      </c>
      <c r="F1015" s="9" t="inlineStr">
        <is>
          <t>CoefficientPercent</t>
        </is>
      </c>
      <c r="G1015" s="9" t="inlineStr">
        <is>
          <t>EffectiveHits</t>
        </is>
      </c>
      <c r="H1015" s="9" t="inlineStr">
        <is>
          <t>ProcProbability</t>
        </is>
      </c>
      <c r="I1015" s="9" t="inlineStr">
        <is>
          <t>MapleHeroMultiplier</t>
        </is>
      </c>
      <c r="J1015" s="9" t="inlineStr">
        <is>
          <t>BaseDamage</t>
        </is>
      </c>
      <c r="K1015" s="9" t="inlineStr">
        <is>
          <t>BaseHitDamage</t>
        </is>
      </c>
      <c r="L1015" s="9" t="inlineStr">
        <is>
          <t>NonCritAvg</t>
        </is>
      </c>
      <c r="M1015" s="9" t="inlineStr">
        <is>
          <t>CritAvg</t>
        </is>
      </c>
      <c r="N1015" s="9" t="inlineStr">
        <is>
          <t>ExpectedDamage(perHit)</t>
        </is>
      </c>
      <c r="O1015" s="9" t="inlineStr">
        <is>
          <t>DPS</t>
        </is>
      </c>
      <c r="P1015" s="9" t="inlineStr">
        <is>
          <t>% of Total</t>
        </is>
      </c>
      <c r="Q1015" s="9" t="inlineStr">
        <is>
          <t>InvCooldown</t>
        </is>
      </c>
      <c r="R1015" s="9" t="inlineStr">
        <is>
          <t>CastsInFight</t>
        </is>
      </c>
      <c r="S1015" s="9" t="inlineStr">
        <is>
          <t>HitRate(perSec)</t>
        </is>
      </c>
      <c r="U1015" t="inlineStr">
        <is>
          <t>helpers</t>
        </is>
      </c>
    </row>
    <row r="1016">
      <c r="A1016">
        <f>Skills!A2</f>
        <v/>
      </c>
      <c r="B1016">
        <f>Skills!B2</f>
        <v/>
      </c>
      <c r="C1016">
        <f>Inputs!$B$3&gt;=100</f>
        <v/>
      </c>
      <c r="D1016" t="inlineStr"/>
      <c r="E1016" t="inlineStr"/>
      <c r="F1016">
        <f>U1020+Skills!O2</f>
        <v/>
      </c>
      <c r="G1016">
        <f>Calc!G2</f>
        <v/>
      </c>
      <c r="H1016">
        <f>Calc!H2</f>
        <v/>
      </c>
      <c r="I1016">
        <f>IF(Skills!AA2&lt;&gt;"",1+(Skills!AA2/10)*(U1017/1000)/100,1)</f>
        <v/>
      </c>
      <c r="J1016">
        <f>((Inputs!$B$6*(1+Inputs!$B$7/100))+(((Inputs!$B$12*(1+Inputs!$B$13/100))-(Inputs!$B$12*(1+Inputs!$B$13/100)))+0.25*(Inputs!$B$14-Inputs!$B$14))*(1+Inputs!$B$7/100))*(F1016/100)</f>
        <v/>
      </c>
      <c r="K1016">
        <f>J1016*(1+((Inputs!$B$12*(1+Inputs!$B$13/100))*0.01+Inputs!$B$14*0.0025)/100)*(1+Inputs!$B$15/100)*(1+Inputs!$B$16/100)*(5000/(6000+Inputs!$B$43*(1-Inputs!$B$19/100)))*(1+(Inputs!$B$24+((C1044=TRUE)*(F1044-Calc!F30)))/100)*(1+Skills!R2/100)*(1+(IF(Skills!A2="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1016)</f>
        <v/>
      </c>
      <c r="L1016">
        <f>K1016*(MIN(Inputs!$B$22+((C1038=TRUE)*(F1038-Calc!F24)),Inputs!$B$23)/100+Inputs!$B$23/100)/2</f>
        <v/>
      </c>
      <c r="M1016">
        <f>L1016*(1+(Inputs!$B$10+((C1040=TRUE)*(F1040-Calc!F26))+B1057)/100)</f>
        <v/>
      </c>
      <c r="N1016">
        <f>L1016*(1-MIN((Inputs!$B$9+((C1039=TRUE)*(F1039-Calc!F25))+B1054),100)/100)+M1016*(MIN((Inputs!$B$9+((C1039=TRUE)*(F1039-Calc!F25))+B1054),100)/100)</f>
        <v/>
      </c>
      <c r="O1016">
        <f>(1-Summary!$B$55)*T1016+Summary!$B$55*V1016</f>
        <v/>
      </c>
      <c r="P1016">
        <f>IF(B1058=0,0,O1016/B1058)</f>
        <v/>
      </c>
      <c r="Q1016" t="n">
        <v>0</v>
      </c>
      <c r="R1016" t="n">
        <v>0</v>
      </c>
      <c r="S1016">
        <f>IFERROR(O1016/N1016,0)</f>
        <v/>
      </c>
      <c r="T1016">
        <f>IF(C1016,(Skills!G2*N1016*B1052)*IF(Inputs!$B$39="pvp",1,1+(Inputs!$B$20+((C1041=TRUE)*(F1041-Calc!F27))+Skills!P2+B1055)/100),0)</f>
        <v/>
      </c>
      <c r="U1016">
        <f>MAX(0,(Inputs!$B$3-100)*3)+Inputs!$B$28+(Inputs!$B$29+1)</f>
        <v/>
      </c>
      <c r="V1016">
        <f>IF(C1016,(Skills!G2*N1016*B1052)*IF(Inputs!$B$39="pvp",1,(1+(Inputs!$B$21+Skills!Q2+B1055)/100)*(MIN((6+Inputs!$B$33),Inputs!$B$37))),0)</f>
        <v/>
      </c>
    </row>
    <row r="1017">
      <c r="A1017">
        <f>Skills!A3</f>
        <v/>
      </c>
      <c r="B1017">
        <f>Skills!B3</f>
        <v/>
      </c>
      <c r="C1017">
        <f>Inputs!$B$3&gt;=35</f>
        <v/>
      </c>
      <c r="D1017">
        <f>IF(Skills!C3=1,60+Inputs!$B$25+(Inputs!$B$29+1),IF(Skills!C3=2,90+Inputs!$B$26+(Inputs!$B$29+1),IF(Skills!C3=3,120+Inputs!$B$27+(Inputs!$B$29+1),MAX(0,(Inputs!$B$3-100)*3)+Inputs!$B$28+(Inputs!$B$29+1))))</f>
        <v/>
      </c>
      <c r="E1017">
        <f>INDEX(FactorTable!$B$2:$Y$301, MATCH(ROUND(MIN(300,MAX(1,D1017)),0), FactorTable!$A$2:$A$301,0), Skills!M3+1)</f>
        <v/>
      </c>
      <c r="F1017">
        <f>IF(Skills!N3=TRUE,(Skills!L3/10)*(E1017/1000),Skills!L3/10)+Skills!O3</f>
        <v/>
      </c>
      <c r="G1017">
        <f>Calc!G3</f>
        <v/>
      </c>
      <c r="H1017">
        <f>Calc!H3</f>
        <v/>
      </c>
      <c r="I1017">
        <f>IF(Skills!AA3&lt;&gt;"",1+(Skills!AA3/10)*(U1017/1000)/100,1)</f>
        <v/>
      </c>
      <c r="J1017">
        <f>((Inputs!$B$6*(1+Inputs!$B$7/100))+(((Inputs!$B$12*(1+Inputs!$B$13/100))-(Inputs!$B$12*(1+Inputs!$B$13/100)))+0.25*(Inputs!$B$14-Inputs!$B$14))*(1+Inputs!$B$7/100))*(F1017/100)</f>
        <v/>
      </c>
      <c r="K1017">
        <f>J1017*(1+((Inputs!$B$12*(1+Inputs!$B$13/100))*0.01+Inputs!$B$14*0.0025)/100)*(1+Inputs!$B$15/100)*(1+Inputs!$B$16/100)*(5000/(6000+Inputs!$B$43*(1-Inputs!$B$19/100)))*(1+(Inputs!$B$24+((C1044=TRUE)*(F1044-Calc!F30)))/100)*(1+Skills!R3/100)*(1+(IF(Skills!A3="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1017)</f>
        <v/>
      </c>
      <c r="L1017">
        <f>K1017*(MIN(Inputs!$B$22+((C1038=TRUE)*(F1038-Calc!F24)),Inputs!$B$23)/100+Inputs!$B$23/100)/2</f>
        <v/>
      </c>
      <c r="M1017">
        <f>L1017*(1+(Inputs!$B$10+((C1040=TRUE)*(F1040-Calc!F26))+B1057)/100)</f>
        <v/>
      </c>
      <c r="N1017">
        <f>L1017*(1-MIN((Inputs!$B$9+((C1039=TRUE)*(F1039-Calc!F25))+B1054),100)/100)+M1017*(MIN((Inputs!$B$9+((C1039=TRUE)*(F1039-Calc!F25))+B1054),100)/100)</f>
        <v/>
      </c>
      <c r="O1017">
        <f>(1-Summary!$B$55)*T1017+Summary!$B$55*V1017</f>
        <v/>
      </c>
      <c r="P1017">
        <f>IF(B1058=0,0,O1017/B1058)</f>
        <v/>
      </c>
      <c r="Q1017">
        <f>IFERROR(1/IF(Inputs!$B$39="pvp",15,MAX(0.1,Skills!D3-IF(Skills!E3=TRUE,Inputs!$B$32,0))),0)</f>
        <v/>
      </c>
      <c r="R1017">
        <f>IF(AND(Inputs!$B$39&lt;&gt;"pvp",Inputs!$B$44&gt;0),IF(MAX(0,Inputs!$B$44-B1059)&lt;=0,0,(INT(MAX(0,Inputs!$B$44-B1059)/IF(Inputs!$B$39="pvp",15,MAX(0.1,Skills!D3-IF(Skills!E3=TRUE,Inputs!$B$32,0))))+1)),0)</f>
        <v/>
      </c>
      <c r="S1017">
        <f>IFERROR(O1017/N1017,0)</f>
        <v/>
      </c>
      <c r="T1017">
        <f>IF(C1017,(H1017*N1017*IF(AND(Inputs!$B$39&lt;&gt;"pvp",Inputs!$B$44&gt;0),((Skills!G3*((R1017-1)*IF(Skills!H3&gt;0,Skills!I3/Skills!H3,1)+IF(Skills!H3&gt;0,MIN(Skills!I3,MAX(0,MAX(0,Inputs!$B$44-B1059)-((R1017-1)*IF(Inputs!$B$39="pvp",15,MAX(0.1,Skills!D3-IF(Skills!E3=TRUE,Inputs!$B$32,0))))))/Skills!H3,1)))/Inputs!$B$44),G1017*Q1017))*IF(Inputs!$B$39="pvp",1,1+(Inputs!$B$20+((C1041=TRUE)*(F1041-Calc!F27))+Skills!P3+B1055)/100),0)</f>
        <v/>
      </c>
      <c r="U1017">
        <f>INDEX(FactorTable!$B$2:$Y$301, MATCH(ROUND(MIN(300,MAX(1,U1016)),0), FactorTable!$A$2:$A$301,0), 24)</f>
        <v/>
      </c>
      <c r="V1017">
        <f>IF(C1017,(H1017*N1017*IF(AND(Inputs!$B$39&lt;&gt;"pvp",Inputs!$B$44&gt;0),((Skills!G3*((R1017-1)*IF(Skills!H3&gt;0,Skills!I3/Skills!H3,1)+IF(Skills!H3&gt;0,MIN(Skills!I3,MAX(0,MAX(0,Inputs!$B$44-B1059)-((R1017-1)*IF(Inputs!$B$39="pvp",15,MAX(0.1,Skills!D3-IF(Skills!E3=TRUE,Inputs!$B$32,0))))))/Skills!H3,1)))/Inputs!$B$44),G1017*Q1017))*IF(Inputs!$B$39="pvp",1,(1+(Inputs!$B$21+Skills!Q3+B1055)/100)*(MIN(Skills!W3,Inputs!$B$37))),0)</f>
        <v/>
      </c>
    </row>
    <row r="1018">
      <c r="A1018">
        <f>Skills!A4</f>
        <v/>
      </c>
      <c r="B1018">
        <f>Skills!B4</f>
        <v/>
      </c>
      <c r="C1018">
        <f>Inputs!$B$3&gt;=40</f>
        <v/>
      </c>
      <c r="D1018">
        <f>IF(Skills!C4=1,60+Inputs!$B$25+(Inputs!$B$29+1),IF(Skills!C4=2,90+Inputs!$B$26+(Inputs!$B$29+1),IF(Skills!C4=3,120+Inputs!$B$27+(Inputs!$B$29+1),MAX(0,(Inputs!$B$3-100)*3)+Inputs!$B$28+(Inputs!$B$29+1))))</f>
        <v/>
      </c>
      <c r="E1018">
        <f>INDEX(FactorTable!$B$2:$Y$301, MATCH(ROUND(MIN(300,MAX(1,D1018)),0), FactorTable!$A$2:$A$301,0), Skills!M4+1)</f>
        <v/>
      </c>
      <c r="F1018">
        <f>IF(Skills!N4=TRUE,(Skills!L4/10)*(E1018/1000),Skills!L4/10)+Skills!O4</f>
        <v/>
      </c>
      <c r="G1018">
        <f>Calc!G4</f>
        <v/>
      </c>
      <c r="H1018">
        <f>Calc!H4</f>
        <v/>
      </c>
      <c r="I1018">
        <f>IF(Skills!AA4&lt;&gt;"",1+(Skills!AA4/10)*(U1017/1000)/100,1)</f>
        <v/>
      </c>
      <c r="J1018">
        <f>((Inputs!$B$6*(1+Inputs!$B$7/100))+(((Inputs!$B$12*(1+Inputs!$B$13/100))-(Inputs!$B$12*(1+Inputs!$B$13/100)))+0.25*(Inputs!$B$14-Inputs!$B$14))*(1+Inputs!$B$7/100))*(F1018/100)</f>
        <v/>
      </c>
      <c r="K1018">
        <f>J1018*(1+((Inputs!$B$12*(1+Inputs!$B$13/100))*0.01+Inputs!$B$14*0.0025)/100)*(1+Inputs!$B$15/100)*(1+Inputs!$B$16/100)*(5000/(6000+Inputs!$B$43*(1-Inputs!$B$19/100)))*(1+(Inputs!$B$24+((C1044=TRUE)*(F1044-Calc!F30)))/100)*(1+Skills!R4/100)*(1+(IF(Skills!A4="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1018)</f>
        <v/>
      </c>
      <c r="L1018">
        <f>K1018*(MIN(Inputs!$B$22+((C1038=TRUE)*(F1038-Calc!F24)),Inputs!$B$23)/100+Inputs!$B$23/100)/2</f>
        <v/>
      </c>
      <c r="M1018">
        <f>L1018*(1+(Inputs!$B$10+((C1040=TRUE)*(F1040-Calc!F26))+B1057)/100)</f>
        <v/>
      </c>
      <c r="N1018">
        <f>L1018*(1-MIN((Inputs!$B$9+((C1039=TRUE)*(F1039-Calc!F25))+B1054),100)/100)+M1018*(MIN((Inputs!$B$9+((C1039=TRUE)*(F1039-Calc!F25))+B1054),100)/100)</f>
        <v/>
      </c>
      <c r="O1018">
        <f>(1-Summary!$B$55)*T1018+Summary!$B$55*V1018</f>
        <v/>
      </c>
      <c r="P1018">
        <f>IF(B1058=0,0,O1018/B1058)</f>
        <v/>
      </c>
      <c r="Q1018">
        <f>IFERROR(1/IF(Inputs!$B$39="pvp",15,MAX(0.1,Skills!D4-IF(Skills!E4=TRUE,Inputs!$B$32,0))),0)</f>
        <v/>
      </c>
      <c r="R1018">
        <f>IF(AND(Inputs!$B$39&lt;&gt;"pvp",Inputs!$B$44&gt;0),IF(MAX(0,Inputs!$B$44-B1059)&lt;=0,0,(INT(MAX(0,Inputs!$B$44-B1059)/IF(Inputs!$B$39="pvp",15,MAX(0.1,Skills!D4-IF(Skills!E4=TRUE,Inputs!$B$32,0))))+1)),0)</f>
        <v/>
      </c>
      <c r="S1018">
        <f>IFERROR(O1018/N1018,0)</f>
        <v/>
      </c>
      <c r="T1018">
        <f>IF(C1018,(H1018*N1018*IF(AND(Inputs!$B$39&lt;&gt;"pvp",Inputs!$B$44&gt;0),((Skills!G4*((R1018-1)*IF(Skills!H4&gt;0,Skills!I4/Skills!H4,1)+IF(Skills!H4&gt;0,MIN(Skills!I4,MAX(0,MAX(0,Inputs!$B$44-B1059)-((R1018-1)*IF(Inputs!$B$39="pvp",15,MAX(0.1,Skills!D4-IF(Skills!E4=TRUE,Inputs!$B$32,0))))))/Skills!H4,1)))/Inputs!$B$44),G1018*Q1018))*IF(Inputs!$B$39="pvp",1,1+(Inputs!$B$20+((C1041=TRUE)*(F1041-Calc!F27))+Skills!P4+B1055)/100),0)</f>
        <v/>
      </c>
      <c r="U1018">
        <f>MAX(0,(Inputs!$B$3-100)*3)+Inputs!$B$28+(Inputs!$B$29+1)</f>
        <v/>
      </c>
      <c r="V1018">
        <f>IF(C1018,(H1018*N1018*IF(AND(Inputs!$B$39&lt;&gt;"pvp",Inputs!$B$44&gt;0),((Skills!G4*((R1018-1)*IF(Skills!H4&gt;0,Skills!I4/Skills!H4,1)+IF(Skills!H4&gt;0,MIN(Skills!I4,MAX(0,MAX(0,Inputs!$B$44-B1059)-((R1018-1)*IF(Inputs!$B$39="pvp",15,MAX(0.1,Skills!D4-IF(Skills!E4=TRUE,Inputs!$B$32,0))))))/Skills!H4,1)))/Inputs!$B$44),G1018*Q1018))*IF(Inputs!$B$39="pvp",1,(1+(Inputs!$B$21+Skills!Q4+B1055)/100)*(MIN(Skills!W4,Inputs!$B$37))),0)</f>
        <v/>
      </c>
    </row>
    <row r="1019">
      <c r="A1019">
        <f>Skills!A5</f>
        <v/>
      </c>
      <c r="B1019">
        <f>Skills!B5</f>
        <v/>
      </c>
      <c r="C1019">
        <f>Inputs!$B$3&gt;=63</f>
        <v/>
      </c>
      <c r="D1019">
        <f>IF(Skills!C5=1,60+Inputs!$B$25+(Inputs!$B$29+1),IF(Skills!C5=2,90+Inputs!$B$26+(Inputs!$B$29+1),IF(Skills!C5=3,120+Inputs!$B$27+(Inputs!$B$29+1),MAX(0,(Inputs!$B$3-100)*3)+Inputs!$B$28+(Inputs!$B$29+1))))</f>
        <v/>
      </c>
      <c r="E1019">
        <f>INDEX(FactorTable!$B$2:$Y$301, MATCH(ROUND(MIN(300,MAX(1,D1019)),0), FactorTable!$A$2:$A$301,0), Skills!M5+1)</f>
        <v/>
      </c>
      <c r="F1019">
        <f>IF(Skills!N5=TRUE,(Skills!L5/10)*(E1019/1000),Skills!L5/10)+Skills!O5</f>
        <v/>
      </c>
      <c r="G1019">
        <f>Calc!G5</f>
        <v/>
      </c>
      <c r="H1019">
        <f>Calc!H5</f>
        <v/>
      </c>
      <c r="I1019">
        <f>IF(Skills!AA5&lt;&gt;"",1+(Skills!AA5/10)*(U1017/1000)/100,1)</f>
        <v/>
      </c>
      <c r="J1019">
        <f>((Inputs!$B$6*(1+Inputs!$B$7/100))+(((Inputs!$B$12*(1+Inputs!$B$13/100))-(Inputs!$B$12*(1+Inputs!$B$13/100)))+0.25*(Inputs!$B$14-Inputs!$B$14))*(1+Inputs!$B$7/100))*(F1019/100)</f>
        <v/>
      </c>
      <c r="K1019">
        <f>J1019*(1+((Inputs!$B$12*(1+Inputs!$B$13/100))*0.01+Inputs!$B$14*0.0025)/100)*(1+Inputs!$B$15/100)*(1+Inputs!$B$16/100)*(5000/(6000+Inputs!$B$43*(1-Inputs!$B$19/100)))*(1+(Inputs!$B$24+((C1044=TRUE)*(F1044-Calc!F30)))/100)*(1+Skills!R5/100)*(1+(IF(Skills!A5="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1019)</f>
        <v/>
      </c>
      <c r="L1019">
        <f>K1019*(MIN(Inputs!$B$22+((C1038=TRUE)*(F1038-Calc!F24)),Inputs!$B$23)/100+Inputs!$B$23/100)/2</f>
        <v/>
      </c>
      <c r="M1019">
        <f>L1019*(1+(Inputs!$B$10+((C1040=TRUE)*(F1040-Calc!F26))+B1057)/100)</f>
        <v/>
      </c>
      <c r="N1019">
        <f>L1019*(1-MIN((Inputs!$B$9+((C1039=TRUE)*(F1039-Calc!F25))+B1054),100)/100)+M1019*(MIN((Inputs!$B$9+((C1039=TRUE)*(F1039-Calc!F25))+B1054),100)/100)</f>
        <v/>
      </c>
      <c r="O1019">
        <f>(1-Summary!$B$55)*T1019+Summary!$B$55*V1019</f>
        <v/>
      </c>
      <c r="P1019">
        <f>IF(B1058=0,0,O1019/B1058)</f>
        <v/>
      </c>
      <c r="Q1019">
        <f>IFERROR(1/IF(Inputs!$B$39="pvp",15,MAX(0.1,Skills!D5-IF(Skills!E5=TRUE,Inputs!$B$32,0))),0)</f>
        <v/>
      </c>
      <c r="R1019">
        <f>IF(AND(Inputs!$B$39&lt;&gt;"pvp",Inputs!$B$44&gt;0),IF(MAX(0,Inputs!$B$44-B1059)&lt;=0,0,(INT(MAX(0,Inputs!$B$44-B1059)/IF(Inputs!$B$39="pvp",15,MAX(0.1,Skills!D5-IF(Skills!E5=TRUE,Inputs!$B$32,0))))+1)),0)</f>
        <v/>
      </c>
      <c r="S1019">
        <f>IFERROR(O1019/N1019,0)</f>
        <v/>
      </c>
      <c r="T1019">
        <f>IF(C1019,(H1019*N1019*IF(AND(Inputs!$B$39&lt;&gt;"pvp",Inputs!$B$44&gt;0),((Skills!G5*((R1019-1)*IF(Skills!H5&gt;0,Skills!I5/Skills!H5,1)+IF(Skills!H5&gt;0,MIN(Skills!I5,MAX(0,MAX(0,Inputs!$B$44-B1059)-((R1019-1)*IF(Inputs!$B$39="pvp",15,MAX(0.1,Skills!D5-IF(Skills!E5=TRUE,Inputs!$B$32,0))))))/Skills!H5,1)))/Inputs!$B$44),G1019*Q1019))*IF(Inputs!$B$39="pvp",1,1+(Inputs!$B$20+((C1041=TRUE)*(F1041-Calc!F27))+Skills!P5+B1055)/100),0)</f>
        <v/>
      </c>
      <c r="U1019">
        <f>INDEX(FactorTable!$B$2:$Y$301, MATCH(ROUND(MIN(300,MAX(1,U1018)),0), FactorTable!$A$2:$A$301,0), 22)</f>
        <v/>
      </c>
      <c r="V1019">
        <f>IF(C1019,(H1019*N1019*IF(AND(Inputs!$B$39&lt;&gt;"pvp",Inputs!$B$44&gt;0),((Skills!G5*((R1019-1)*IF(Skills!H5&gt;0,Skills!I5/Skills!H5,1)+IF(Skills!H5&gt;0,MIN(Skills!I5,MAX(0,MAX(0,Inputs!$B$44-B1059)-((R1019-1)*IF(Inputs!$B$39="pvp",15,MAX(0.1,Skills!D5-IF(Skills!E5=TRUE,Inputs!$B$32,0))))))/Skills!H5,1)))/Inputs!$B$44),G1019*Q1019))*IF(Inputs!$B$39="pvp",1,(1+(Inputs!$B$21+Skills!Q5+B1055)/100)*(MIN(Skills!W5,Inputs!$B$37))),0)</f>
        <v/>
      </c>
    </row>
    <row r="1020">
      <c r="A1020">
        <f>Skills!A6</f>
        <v/>
      </c>
      <c r="B1020">
        <f>Skills!B6</f>
        <v/>
      </c>
      <c r="C1020">
        <f>Inputs!$B$3&gt;=66</f>
        <v/>
      </c>
      <c r="D1020">
        <f>IF(Skills!C6=1,60+Inputs!$B$25+(Inputs!$B$29+1),IF(Skills!C6=2,90+Inputs!$B$26+(Inputs!$B$29+1),IF(Skills!C6=3,120+Inputs!$B$27+(Inputs!$B$29+1),MAX(0,(Inputs!$B$3-100)*3)+Inputs!$B$28+(Inputs!$B$29+1))))</f>
        <v/>
      </c>
      <c r="E1020">
        <f>INDEX(FactorTable!$B$2:$Y$301, MATCH(ROUND(MIN(300,MAX(1,D1020)),0), FactorTable!$A$2:$A$301,0), Skills!M6+1)</f>
        <v/>
      </c>
      <c r="F1020">
        <f>IF(Skills!N6=TRUE,(Skills!L6/10)*(E1020/1000),Skills!L6/10)+Skills!O6</f>
        <v/>
      </c>
      <c r="G1020">
        <f>Calc!G6</f>
        <v/>
      </c>
      <c r="H1020">
        <f>Calc!H6</f>
        <v/>
      </c>
      <c r="I1020">
        <f>IF(Skills!AA6&lt;&gt;"",1+(Skills!AA6/10)*(U1017/1000)/100,1)</f>
        <v/>
      </c>
      <c r="J1020" t="inlineStr"/>
      <c r="K1020" t="inlineStr"/>
      <c r="L1020" t="inlineStr"/>
      <c r="M1020" t="inlineStr"/>
      <c r="N1020" t="inlineStr"/>
      <c r="O1020">
        <f>(1-Summary!$B$55)*T1020+Summary!$B$55*V1020</f>
        <v/>
      </c>
      <c r="P1020">
        <f>IF(B1058=0,0,O1020/B1058)</f>
        <v/>
      </c>
      <c r="Q1020" t="n">
        <v>0</v>
      </c>
      <c r="R1020" t="n">
        <v>0</v>
      </c>
      <c r="S1020">
        <f>IFERROR(O1020/N1020,0)</f>
        <v/>
      </c>
      <c r="T1020" t="n">
        <v>0</v>
      </c>
      <c r="U1020">
        <f>290*U1019/1000</f>
        <v/>
      </c>
      <c r="V1020" t="n">
        <v>0</v>
      </c>
    </row>
    <row r="1021">
      <c r="A1021">
        <f>Skills!A7</f>
        <v/>
      </c>
      <c r="B1021">
        <f>Skills!B7</f>
        <v/>
      </c>
      <c r="C1021">
        <f>Inputs!$B$3&gt;=66</f>
        <v/>
      </c>
      <c r="D1021">
        <f>IF(Skills!C7=1,60+Inputs!$B$25+(Inputs!$B$29+1),IF(Skills!C7=2,90+Inputs!$B$26+(Inputs!$B$29+1),IF(Skills!C7=3,120+Inputs!$B$27+(Inputs!$B$29+1),MAX(0,(Inputs!$B$3-100)*3)+Inputs!$B$28+(Inputs!$B$29+1))))</f>
        <v/>
      </c>
      <c r="E1021">
        <f>INDEX(FactorTable!$B$2:$Y$301, MATCH(ROUND(MIN(300,MAX(1,D1021)),0), FactorTable!$A$2:$A$301,0), Skills!M7+1)</f>
        <v/>
      </c>
      <c r="F1021">
        <f>IF(Skills!N7=TRUE,(Skills!L7/10)*(E1021/1000),Skills!L7/10)+Skills!O7</f>
        <v/>
      </c>
      <c r="G1021">
        <f>Calc!G7</f>
        <v/>
      </c>
      <c r="H1021">
        <f>Calc!H7</f>
        <v/>
      </c>
      <c r="I1021">
        <f>IF(Skills!AA7&lt;&gt;"",1+(Skills!AA7/10)*(U1017/1000)/100,1)</f>
        <v/>
      </c>
      <c r="J1021" t="inlineStr"/>
      <c r="K1021" t="inlineStr"/>
      <c r="L1021" t="inlineStr"/>
      <c r="M1021" t="inlineStr"/>
      <c r="N1021" t="inlineStr"/>
      <c r="O1021">
        <f>(1-Summary!$B$55)*T1021+Summary!$B$55*V1021</f>
        <v/>
      </c>
      <c r="P1021">
        <f>IF(B1058=0,0,O1021/B1058)</f>
        <v/>
      </c>
      <c r="Q1021" t="n">
        <v>0</v>
      </c>
      <c r="R1021" t="n">
        <v>0</v>
      </c>
      <c r="S1021">
        <f>IFERROR(O1021/N1021,0)</f>
        <v/>
      </c>
      <c r="T1021" t="n">
        <v>0</v>
      </c>
      <c r="V1021" t="n">
        <v>0</v>
      </c>
    </row>
    <row r="1022">
      <c r="A1022">
        <f>Skills!A8</f>
        <v/>
      </c>
      <c r="B1022">
        <f>Skills!B8</f>
        <v/>
      </c>
      <c r="C1022">
        <f>Inputs!$B$3&gt;=69</f>
        <v/>
      </c>
      <c r="D1022">
        <f>IF(Skills!C8=1,60+Inputs!$B$25+(Inputs!$B$29+1),IF(Skills!C8=2,90+Inputs!$B$26+(Inputs!$B$29+1),IF(Skills!C8=3,120+Inputs!$B$27+(Inputs!$B$29+1),MAX(0,(Inputs!$B$3-100)*3)+Inputs!$B$28+(Inputs!$B$29+1))))</f>
        <v/>
      </c>
      <c r="E1022">
        <f>INDEX(FactorTable!$B$2:$Y$301, MATCH(ROUND(MIN(300,MAX(1,D1022)),0), FactorTable!$A$2:$A$301,0), Skills!M8+1)</f>
        <v/>
      </c>
      <c r="F1022">
        <f>IF(Skills!N8=TRUE,(Skills!L8/10)*(E1022/1000),Skills!L8/10)+Skills!O8</f>
        <v/>
      </c>
      <c r="G1022">
        <f>Calc!G8</f>
        <v/>
      </c>
      <c r="H1022">
        <f>Calc!H8</f>
        <v/>
      </c>
      <c r="I1022">
        <f>IF(Skills!AA8&lt;&gt;"",1+(Skills!AA8/10)*(U1017/1000)/100,1)</f>
        <v/>
      </c>
      <c r="J1022">
        <f>((Inputs!$B$6*(1+Inputs!$B$7/100))+(((Inputs!$B$12*(1+Inputs!$B$13/100))-(Inputs!$B$12*(1+Inputs!$B$13/100)))+0.25*(Inputs!$B$14-Inputs!$B$14))*(1+Inputs!$B$7/100))*(F1022/100)</f>
        <v/>
      </c>
      <c r="K1022">
        <f>J1022*(1+((Inputs!$B$12*(1+Inputs!$B$13/100))*0.01+Inputs!$B$14*0.0025)/100)*(1+Inputs!$B$15/100)*(1+Inputs!$B$16/100)*(5000/(6000+Inputs!$B$43*(1-Inputs!$B$19/100)))*(1+(Inputs!$B$24+((C1044=TRUE)*(F1044-Calc!F30)))/100)*(1+Skills!R8/100)*(1+(IF(Skills!A8="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1022)</f>
        <v/>
      </c>
      <c r="L1022">
        <f>K1022*(MIN(Inputs!$B$22+((C1038=TRUE)*(F1038-Calc!F24)),Inputs!$B$23)/100+Inputs!$B$23/100)/2</f>
        <v/>
      </c>
      <c r="M1022">
        <f>L1022*(1+(Inputs!$B$10+((C1040=TRUE)*(F1040-Calc!F26))+B1057)/100)</f>
        <v/>
      </c>
      <c r="N1022">
        <f>L1022*(1-MIN((Inputs!$B$9+((C1039=TRUE)*(F1039-Calc!F25))+B1054),100)/100)+M1022*(MIN((Inputs!$B$9+((C1039=TRUE)*(F1039-Calc!F25))+B1054),100)/100)</f>
        <v/>
      </c>
      <c r="O1022">
        <f>(1-Summary!$B$55)*T1022+Summary!$B$55*V1022</f>
        <v/>
      </c>
      <c r="P1022">
        <f>IF(B1058=0,0,O1022/B1058)</f>
        <v/>
      </c>
      <c r="Q1022">
        <f>IFERROR(1/IF(Inputs!$B$39="pvp",15,MAX(0.1,Skills!D8-IF(Skills!E8=TRUE,Inputs!$B$32,0))),0)</f>
        <v/>
      </c>
      <c r="R1022">
        <f>IF(AND(Inputs!$B$39&lt;&gt;"pvp",Inputs!$B$44&gt;0),IF(MAX(0,Inputs!$B$44-B1059)&lt;=0,0,(INT(MAX(0,Inputs!$B$44-B1059)/IF(Inputs!$B$39="pvp",15,MAX(0.1,Skills!D8-IF(Skills!E8=TRUE,Inputs!$B$32,0))))+1)),0)</f>
        <v/>
      </c>
      <c r="S1022">
        <f>IFERROR(O1022/N1022,0)</f>
        <v/>
      </c>
      <c r="T1022">
        <f>IF(C1022,(H1022*N1022*IF(AND(Inputs!$B$39&lt;&gt;"pvp",Inputs!$B$44&gt;0),((Skills!G8*((R1022-1)*IF(Skills!H8&gt;0,Skills!I8/Skills!H8,1)+IF(Skills!H8&gt;0,MIN(Skills!I8,MAX(0,MAX(0,Inputs!$B$44-B1059)-((R1022-1)*IF(Inputs!$B$39="pvp",15,MAX(0.1,Skills!D8-IF(Skills!E8=TRUE,Inputs!$B$32,0))))))/Skills!H8,1)))/Inputs!$B$44),G1022*Q1022))*IF(Inputs!$B$39="pvp",1,1+(Inputs!$B$20+((C1041=TRUE)*(F1041-Calc!F27))+Skills!P8+B1055)/100),0)</f>
        <v/>
      </c>
      <c r="V1022">
        <f>IF(C1022,(H1022*N1022*IF(AND(Inputs!$B$39&lt;&gt;"pvp",Inputs!$B$44&gt;0),((Skills!G8*((R1022-1)*IF(Skills!H8&gt;0,Skills!I8/Skills!H8,1)+IF(Skills!H8&gt;0,MIN(Skills!I8,MAX(0,MAX(0,Inputs!$B$44-B1059)-((R1022-1)*IF(Inputs!$B$39="pvp",15,MAX(0.1,Skills!D8-IF(Skills!E8=TRUE,Inputs!$B$32,0))))))/Skills!H8,1)))/Inputs!$B$44),G1022*Q1022))*IF(Inputs!$B$39="pvp",1,(1+(Inputs!$B$21+Skills!Q8+B1055)/100)*(MIN(Skills!W8,Inputs!$B$37))),0)</f>
        <v/>
      </c>
    </row>
    <row r="1023">
      <c r="A1023">
        <f>Skills!A9</f>
        <v/>
      </c>
      <c r="B1023">
        <f>Skills!B9</f>
        <v/>
      </c>
      <c r="C1023">
        <f>Inputs!$B$3&gt;=72</f>
        <v/>
      </c>
      <c r="D1023">
        <f>IF(Skills!C9=1,60+Inputs!$B$25+(Inputs!$B$29+1),IF(Skills!C9=2,90+Inputs!$B$26+(Inputs!$B$29+1),IF(Skills!C9=3,120+Inputs!$B$27+(Inputs!$B$29+1),MAX(0,(Inputs!$B$3-100)*3)+Inputs!$B$28+(Inputs!$B$29+1))))</f>
        <v/>
      </c>
      <c r="E1023">
        <f>INDEX(FactorTable!$B$2:$Y$301, MATCH(ROUND(MIN(300,MAX(1,D1023)),0), FactorTable!$A$2:$A$301,0), Skills!M9+1)</f>
        <v/>
      </c>
      <c r="F1023">
        <f>IF(Skills!N9=TRUE,(Skills!L9/10)*(E1023/1000),Skills!L9/10)+Skills!O9</f>
        <v/>
      </c>
      <c r="G1023">
        <f>Calc!G9</f>
        <v/>
      </c>
      <c r="H1023">
        <f>Calc!H9</f>
        <v/>
      </c>
      <c r="I1023">
        <f>IF(Skills!AA9&lt;&gt;"",1+(Skills!AA9/10)*(U1017/1000)/100,1)</f>
        <v/>
      </c>
      <c r="J1023">
        <f>((Inputs!$B$6*(1+Inputs!$B$7/100))+(((Inputs!$B$12*(1+Inputs!$B$13/100))-(Inputs!$B$12*(1+Inputs!$B$13/100)))+0.25*(Inputs!$B$14-Inputs!$B$14))*(1+Inputs!$B$7/100))*(F1023/100)</f>
        <v/>
      </c>
      <c r="K1023">
        <f>J1023*(1+((Inputs!$B$12*(1+Inputs!$B$13/100))*0.01+Inputs!$B$14*0.0025)/100)*(1+Inputs!$B$15/100)*(1+Inputs!$B$16/100)*(5000/(6000+Inputs!$B$43*(1-Inputs!$B$19/100)))*(1+(Inputs!$B$24+((C1044=TRUE)*(F1044-Calc!F30)))/100)*(1+Skills!R9/100)*(1+(IF(Skills!A9="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1023)</f>
        <v/>
      </c>
      <c r="L1023">
        <f>K1023*(MIN(Inputs!$B$22+((C1038=TRUE)*(F1038-Calc!F24)),Inputs!$B$23)/100+Inputs!$B$23/100)/2</f>
        <v/>
      </c>
      <c r="M1023">
        <f>L1023*(1+(Inputs!$B$10+((C1040=TRUE)*(F1040-Calc!F26))+B1057)/100)</f>
        <v/>
      </c>
      <c r="N1023">
        <f>L1023*(1-MIN((Inputs!$B$9+((C1039=TRUE)*(F1039-Calc!F25))+B1054),100)/100)+M1023*(MIN((Inputs!$B$9+((C1039=TRUE)*(F1039-Calc!F25))+B1054),100)/100)</f>
        <v/>
      </c>
      <c r="O1023">
        <f>(1-Summary!$B$55)*T1023+Summary!$B$55*V1023</f>
        <v/>
      </c>
      <c r="P1023">
        <f>IF(B1058=0,0,O1023/B1058)</f>
        <v/>
      </c>
      <c r="Q1023">
        <f>IFERROR(1/IF(Inputs!$B$39="pvp",15,MAX(0.1,Skills!D9-IF(Skills!E9=TRUE,Inputs!$B$32,0))),0)</f>
        <v/>
      </c>
      <c r="R1023">
        <f>IF(AND(Inputs!$B$39&lt;&gt;"pvp",Inputs!$B$44&gt;0),IF(MAX(0,Inputs!$B$44-B1059)&lt;=0,0,(INT(MAX(0,Inputs!$B$44-B1059)/IF(Inputs!$B$39="pvp",15,MAX(0.1,Skills!D9-IF(Skills!E9=TRUE,Inputs!$B$32,0))))+1)),0)</f>
        <v/>
      </c>
      <c r="S1023">
        <f>IFERROR(O1023/N1023,0)</f>
        <v/>
      </c>
      <c r="T1023">
        <f>IF(C1023,(H1023*N1023*IF(AND(Inputs!$B$39&lt;&gt;"pvp",Inputs!$B$44&gt;0),((Skills!G9*((R1023-1)*IF(Skills!H9&gt;0,Skills!I9/Skills!H9,1)+IF(Skills!H9&gt;0,MIN(Skills!I9,MAX(0,MAX(0,Inputs!$B$44-B1059)-((R1023-1)*IF(Inputs!$B$39="pvp",15,MAX(0.1,Skills!D9-IF(Skills!E9=TRUE,Inputs!$B$32,0))))))/Skills!H9,1)))/Inputs!$B$44),G1023*Q1023))*IF(Inputs!$B$39="pvp",1,1+(Inputs!$B$20+((C1041=TRUE)*(F1041-Calc!F27))+Skills!P9+B1055)/100),0)</f>
        <v/>
      </c>
      <c r="V1023">
        <f>IF(C1023,(H1023*N1023*IF(AND(Inputs!$B$39&lt;&gt;"pvp",Inputs!$B$44&gt;0),((Skills!G9*((R1023-1)*IF(Skills!H9&gt;0,Skills!I9/Skills!H9,1)+IF(Skills!H9&gt;0,MIN(Skills!I9,MAX(0,MAX(0,Inputs!$B$44-B1059)-((R1023-1)*IF(Inputs!$B$39="pvp",15,MAX(0.1,Skills!D9-IF(Skills!E9=TRUE,Inputs!$B$32,0))))))/Skills!H9,1)))/Inputs!$B$44),G1023*Q1023))*IF(Inputs!$B$39="pvp",1,(1+(Inputs!$B$21+Skills!Q9+B1055)/100)*(MIN(Skills!W9,Inputs!$B$37))),0)</f>
        <v/>
      </c>
    </row>
    <row r="1024">
      <c r="A1024">
        <f>Skills!A10</f>
        <v/>
      </c>
      <c r="B1024">
        <f>Skills!B10</f>
        <v/>
      </c>
      <c r="C1024">
        <f>Inputs!$B$3&gt;=117</f>
        <v/>
      </c>
      <c r="D1024">
        <f>IF(Skills!C10=1,60+Inputs!$B$25+(Inputs!$B$29+1),IF(Skills!C10=2,90+Inputs!$B$26+(Inputs!$B$29+1),IF(Skills!C10=3,120+Inputs!$B$27+(Inputs!$B$29+1),MAX(0,(Inputs!$B$3-100)*3)+Inputs!$B$28+(Inputs!$B$29+1))))</f>
        <v/>
      </c>
      <c r="E1024">
        <f>INDEX(FactorTable!$B$2:$Y$301, MATCH(ROUND(MIN(300,MAX(1,D1024)),0), FactorTable!$A$2:$A$301,0), Skills!M10+1)</f>
        <v/>
      </c>
      <c r="F1024">
        <f>IF(Skills!N10=TRUE,(Skills!L10/10)*(E1024/1000),Skills!L10/10)+Skills!O10</f>
        <v/>
      </c>
      <c r="G1024">
        <f>Calc!G10</f>
        <v/>
      </c>
      <c r="H1024">
        <f>Calc!H10</f>
        <v/>
      </c>
      <c r="I1024">
        <f>IF(Skills!AA10&lt;&gt;"",1+(Skills!AA10/10)*(U1017/1000)/100,1)</f>
        <v/>
      </c>
      <c r="J1024">
        <f>((Inputs!$B$6*(1+Inputs!$B$7/100))+(((Inputs!$B$12*(1+Inputs!$B$13/100))-(Inputs!$B$12*(1+Inputs!$B$13/100)))+0.25*(Inputs!$B$14-Inputs!$B$14))*(1+Inputs!$B$7/100))*(F1024/100)</f>
        <v/>
      </c>
      <c r="K1024">
        <f>J1024*(1+((Inputs!$B$12*(1+Inputs!$B$13/100))*0.01+Inputs!$B$14*0.0025)/100)*(1+Inputs!$B$15/100)*(1+Inputs!$B$16/100)*(5000/(6000+Inputs!$B$43*(1-Inputs!$B$19/100)))*(1+(Inputs!$B$24+((C1044=TRUE)*(F1044-Calc!F30)))/100)*(1+Skills!R10/100)*(1+(IF(Skills!A10="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1024)</f>
        <v/>
      </c>
      <c r="L1024">
        <f>K1024*(MIN(Inputs!$B$22+((C1038=TRUE)*(F1038-Calc!F24)),Inputs!$B$23)/100+Inputs!$B$23/100)/2</f>
        <v/>
      </c>
      <c r="M1024">
        <f>L1024*(1+(Inputs!$B$10+((C1040=TRUE)*(F1040-Calc!F26))+B1057)/100)</f>
        <v/>
      </c>
      <c r="N1024">
        <f>L1024*(1-MIN((Inputs!$B$9+((C1039=TRUE)*(F1039-Calc!F25))+B1054),100)/100)+M1024*(MIN((Inputs!$B$9+((C1039=TRUE)*(F1039-Calc!F25))+B1054),100)/100)</f>
        <v/>
      </c>
      <c r="O1024">
        <f>(1-Summary!$B$55)*T1024+Summary!$B$55*V1024</f>
        <v/>
      </c>
      <c r="P1024">
        <f>IF(B1058=0,0,O1024/B1058)</f>
        <v/>
      </c>
      <c r="Q1024" t="n">
        <v>0</v>
      </c>
      <c r="R1024" t="n">
        <v>0</v>
      </c>
      <c r="S1024" t="n">
        <v>0</v>
      </c>
      <c r="T1024">
        <f>IF(C1024,(0.2*SUMPRODUCT((Skills!Z2:Z31=TRUE)*(C1016:C1045=TRUE)*S1016:S1045)*N1024)*IF(Inputs!$B$39="pvp",1,1+(Inputs!$B$20+((C1041=TRUE)*(F1041-Calc!F27))+Skills!P10+B1055)/100),0)</f>
        <v/>
      </c>
      <c r="V1024">
        <f>IF(C1024,(0.2*SUMPRODUCT((Skills!Z2:Z31=TRUE)*(C1016:C1045=TRUE)*S1016:S1045)*N1024)*IF(Inputs!$B$39="pvp",1,(1+(Inputs!$B$21+Skills!Q10+B1055)/100)*(MIN(Skills!W10,Inputs!$B$37))),0)</f>
        <v/>
      </c>
    </row>
    <row r="1025">
      <c r="A1025">
        <f>Skills!A11</f>
        <v/>
      </c>
      <c r="B1025">
        <f>Skills!B11</f>
        <v/>
      </c>
      <c r="C1025">
        <f>Inputs!$B$3&gt;=60</f>
        <v/>
      </c>
      <c r="D1025">
        <f>IF(Skills!C11=1,60+Inputs!$B$25+(Inputs!$B$29+1),IF(Skills!C11=2,90+Inputs!$B$26+(Inputs!$B$29+1),IF(Skills!C11=3,120+Inputs!$B$27+(Inputs!$B$29+1),MAX(0,(Inputs!$B$3-100)*3)+Inputs!$B$28+(Inputs!$B$29+1))))</f>
        <v/>
      </c>
      <c r="E1025">
        <f>INDEX(FactorTable!$B$2:$Y$301, MATCH(ROUND(MIN(300,MAX(1,D1025)),0), FactorTable!$A$2:$A$301,0), Skills!M11+1)</f>
        <v/>
      </c>
      <c r="F1025">
        <f>IF(Skills!N11=TRUE,(Skills!L11/10)*(E1025/1000),Skills!L11/10)+Skills!O11</f>
        <v/>
      </c>
      <c r="G1025">
        <f>Calc!G11</f>
        <v/>
      </c>
      <c r="H1025">
        <f>Calc!H11</f>
        <v/>
      </c>
      <c r="I1025">
        <f>IF(Skills!AA11&lt;&gt;"",1+(Skills!AA11/10)*(U1017/1000)/100,1)</f>
        <v/>
      </c>
      <c r="J1025" t="inlineStr"/>
      <c r="K1025" t="inlineStr"/>
      <c r="L1025" t="inlineStr"/>
      <c r="M1025" t="inlineStr"/>
      <c r="N1025" t="inlineStr"/>
      <c r="O1025">
        <f>(1-Summary!$B$55)*T1025+Summary!$B$55*V1025</f>
        <v/>
      </c>
      <c r="P1025">
        <f>IF(B1058=0,0,O1025/B1058)</f>
        <v/>
      </c>
      <c r="Q1025" t="n">
        <v>0</v>
      </c>
      <c r="R1025" t="n">
        <v>0</v>
      </c>
      <c r="S1025">
        <f>IFERROR(O1025/N1025,0)</f>
        <v/>
      </c>
      <c r="T1025" t="n">
        <v>0</v>
      </c>
      <c r="V1025" t="n">
        <v>0</v>
      </c>
    </row>
    <row r="1026">
      <c r="A1026">
        <f>Skills!A12</f>
        <v/>
      </c>
      <c r="B1026">
        <f>Skills!B12</f>
        <v/>
      </c>
      <c r="C1026">
        <f>Inputs!$B$3&gt;=103</f>
        <v/>
      </c>
      <c r="D1026">
        <f>IF(Skills!C12=1,60+Inputs!$B$25+(Inputs!$B$29+1),IF(Skills!C12=2,90+Inputs!$B$26+(Inputs!$B$29+1),IF(Skills!C12=3,120+Inputs!$B$27+(Inputs!$B$29+1),MAX(0,(Inputs!$B$3-100)*3)+Inputs!$B$28+(Inputs!$B$29+1))))</f>
        <v/>
      </c>
      <c r="E1026">
        <f>INDEX(FactorTable!$B$2:$Y$301, MATCH(ROUND(MIN(300,MAX(1,D1026)),0), FactorTable!$A$2:$A$301,0), Skills!M12+1)</f>
        <v/>
      </c>
      <c r="F1026">
        <f>IF(Skills!N12=TRUE,(Skills!L12/10)*(E1026/1000),Skills!L12/10)+Skills!O12</f>
        <v/>
      </c>
      <c r="G1026">
        <f>Calc!G12</f>
        <v/>
      </c>
      <c r="H1026">
        <f>Calc!H12</f>
        <v/>
      </c>
      <c r="I1026">
        <f>IF(Skills!AA12&lt;&gt;"",1+(Skills!AA12/10)*(U1017/1000)/100,1)</f>
        <v/>
      </c>
      <c r="J1026">
        <f>((Inputs!$B$6*(1+Inputs!$B$7/100))+(((Inputs!$B$12*(1+Inputs!$B$13/100))-(Inputs!$B$12*(1+Inputs!$B$13/100)))+0.25*(Inputs!$B$14-Inputs!$B$14))*(1+Inputs!$B$7/100))*(F1026/100)</f>
        <v/>
      </c>
      <c r="K1026">
        <f>J1026*(1+((Inputs!$B$12*(1+Inputs!$B$13/100))*0.01+Inputs!$B$14*0.0025)/100)*(1+Inputs!$B$15/100)*(1+Inputs!$B$16/100)*(5000/(6000+Inputs!$B$43*(1-Inputs!$B$19/100)))*(1+(Inputs!$B$24+((C1044=TRUE)*(F1044-Calc!F30)))/100)*(1+Skills!R12/100)*(1+(IF(Skills!A12="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1026)</f>
        <v/>
      </c>
      <c r="L1026">
        <f>K1026*(MIN(Inputs!$B$22+((C1038=TRUE)*(F1038-Calc!F24)),Inputs!$B$23)/100+Inputs!$B$23/100)/2</f>
        <v/>
      </c>
      <c r="M1026">
        <f>L1026*(1+(Inputs!$B$10+((C1040=TRUE)*(F1040-Calc!F26))+B1057)/100)</f>
        <v/>
      </c>
      <c r="N1026">
        <f>L1026*(1-MIN((Inputs!$B$9+((C1039=TRUE)*(F1039-Calc!F25))+B1054),100)/100)+M1026*(MIN((Inputs!$B$9+((C1039=TRUE)*(F1039-Calc!F25))+B1054),100)/100)</f>
        <v/>
      </c>
      <c r="O1026">
        <f>(1-Summary!$B$55)*T1026+Summary!$B$55*V1026</f>
        <v/>
      </c>
      <c r="P1026">
        <f>IF(B1058=0,0,O1026/B1058)</f>
        <v/>
      </c>
      <c r="Q1026">
        <f>IFERROR(1/IF(Inputs!$B$39="pvp",15,MAX(0.1,Skills!D12-IF(Skills!E12=TRUE,Inputs!$B$32,0))),0)</f>
        <v/>
      </c>
      <c r="R1026">
        <f>IF(AND(Inputs!$B$39&lt;&gt;"pvp",Inputs!$B$44&gt;0),IF(MAX(0,Inputs!$B$44-B1059)&lt;=0,0,(INT(MAX(0,Inputs!$B$44-B1059)/IF(Inputs!$B$39="pvp",15,MAX(0.1,Skills!D12-IF(Skills!E12=TRUE,Inputs!$B$32,0))))+1)),0)</f>
        <v/>
      </c>
      <c r="S1026">
        <f>IFERROR(O1026/N1026,0)</f>
        <v/>
      </c>
      <c r="T1026">
        <f>IF(C1026,(H1026*N1026*IF(AND(Inputs!$B$39&lt;&gt;"pvp",Inputs!$B$44&gt;0),((Skills!G12*((R1026-1)*IF(Skills!H12&gt;0,Skills!I12/Skills!H12,1)+IF(Skills!H12&gt;0,MIN(Skills!I12,MAX(0,MAX(0,Inputs!$B$44-B1059)-((R1026-1)*IF(Inputs!$B$39="pvp",15,MAX(0.1,Skills!D12-IF(Skills!E12=TRUE,Inputs!$B$32,0))))))/Skills!H12,1)))/Inputs!$B$44),G1026*Q1026))*IF(Inputs!$B$39="pvp",1,1+(Inputs!$B$20+((C1041=TRUE)*(F1041-Calc!F27))+Skills!P12+B1055)/100),0)</f>
        <v/>
      </c>
      <c r="V1026">
        <f>IF(C1026,(H1026*N1026*IF(AND(Inputs!$B$39&lt;&gt;"pvp",Inputs!$B$44&gt;0),((Skills!G12*((R1026-1)*IF(Skills!H12&gt;0,Skills!I12/Skills!H12,1)+IF(Skills!H12&gt;0,MIN(Skills!I12,MAX(0,MAX(0,Inputs!$B$44-B1059)-((R1026-1)*IF(Inputs!$B$39="pvp",15,MAX(0.1,Skills!D12-IF(Skills!E12=TRUE,Inputs!$B$32,0))))))/Skills!H12,1)))/Inputs!$B$44),G1026*Q1026))*IF(Inputs!$B$39="pvp",1,(1+(Inputs!$B$21+Skills!Q12+B1055)/100)*(MIN(Skills!W12,Inputs!$B$37))),0)</f>
        <v/>
      </c>
    </row>
    <row r="1027">
      <c r="A1027">
        <f>Skills!A13</f>
        <v/>
      </c>
      <c r="B1027">
        <f>Skills!B13</f>
        <v/>
      </c>
      <c r="C1027">
        <f>Inputs!$B$3&gt;=105</f>
        <v/>
      </c>
      <c r="D1027">
        <f>IF(Skills!C13=1,60+Inputs!$B$25+(Inputs!$B$29+1),IF(Skills!C13=2,90+Inputs!$B$26+(Inputs!$B$29+1),IF(Skills!C13=3,120+Inputs!$B$27+(Inputs!$B$29+1),MAX(0,(Inputs!$B$3-100)*3)+Inputs!$B$28+(Inputs!$B$29+1))))</f>
        <v/>
      </c>
      <c r="E1027">
        <f>INDEX(FactorTable!$B$2:$Y$301, MATCH(ROUND(MIN(300,MAX(1,D1027)),0), FactorTable!$A$2:$A$301,0), Skills!M13+1)</f>
        <v/>
      </c>
      <c r="F1027">
        <f>IF(Skills!N13=TRUE,(Skills!L13/10)*(E1027/1000),Skills!L13/10)+Skills!O13</f>
        <v/>
      </c>
      <c r="G1027">
        <f>Calc!G13</f>
        <v/>
      </c>
      <c r="H1027">
        <f>Calc!H13</f>
        <v/>
      </c>
      <c r="I1027">
        <f>IF(Skills!AA13&lt;&gt;"",1+(Skills!AA13/10)*(U1017/1000)/100,1)</f>
        <v/>
      </c>
      <c r="J1027">
        <f>((Inputs!$B$6*(1+Inputs!$B$7/100))+(((Inputs!$B$12*(1+Inputs!$B$13/100))-(Inputs!$B$12*(1+Inputs!$B$13/100)))+0.25*(Inputs!$B$14-Inputs!$B$14))*(1+Inputs!$B$7/100))*(F1027/100)</f>
        <v/>
      </c>
      <c r="K1027">
        <f>J1027*(1+((Inputs!$B$12*(1+Inputs!$B$13/100))*0.01+Inputs!$B$14*0.0025)/100)*(1+Inputs!$B$15/100)*(1+Inputs!$B$16/100)*(5000/(6000+Inputs!$B$43*(1-Inputs!$B$19/100)))*(1+(Inputs!$B$24+((C1044=TRUE)*(F1044-Calc!F30)))/100)*(1+Skills!R13/100)*(1+(IF(Skills!A13="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1027)</f>
        <v/>
      </c>
      <c r="L1027">
        <f>K1027*(MIN(Inputs!$B$22+((C1038=TRUE)*(F1038-Calc!F24)),Inputs!$B$23)/100+Inputs!$B$23/100)/2</f>
        <v/>
      </c>
      <c r="M1027">
        <f>L1027*(1+(Inputs!$B$10+((C1040=TRUE)*(F1040-Calc!F26))+B1057)/100)</f>
        <v/>
      </c>
      <c r="N1027">
        <f>L1027*(1-MIN((Inputs!$B$9+((C1039=TRUE)*(F1039-Calc!F25))+B1054),100)/100)+M1027*(MIN((Inputs!$B$9+((C1039=TRUE)*(F1039-Calc!F25))+B1054),100)/100)</f>
        <v/>
      </c>
      <c r="O1027">
        <f>(1-Summary!$B$55)*T1027+Summary!$B$55*V1027</f>
        <v/>
      </c>
      <c r="P1027">
        <f>IF(B1058=0,0,O1027/B1058)</f>
        <v/>
      </c>
      <c r="Q1027">
        <f>IFERROR(1/IF(Inputs!$B$39="pvp",15,MAX(0.1,Skills!D13-IF(Skills!E13=TRUE,Inputs!$B$32,0))),0)</f>
        <v/>
      </c>
      <c r="R1027">
        <f>IF(AND(Inputs!$B$39&lt;&gt;"pvp",Inputs!$B$44&gt;0),IF(MAX(0,Inputs!$B$44-B1059)&lt;=0,0,(INT(MAX(0,Inputs!$B$44-B1059)/IF(Inputs!$B$39="pvp",15,MAX(0.1,Skills!D13-IF(Skills!E13=TRUE,Inputs!$B$32,0))))+1)),0)</f>
        <v/>
      </c>
      <c r="S1027">
        <f>IFERROR(O1027/N1027,0)</f>
        <v/>
      </c>
      <c r="T1027">
        <f>IF(C1027,(H1027*N1027*IF(AND(Inputs!$B$39&lt;&gt;"pvp",Inputs!$B$44&gt;0),((Skills!G13*((R1027-1)*IF(Skills!H13&gt;0,Skills!I13/Skills!H13,1)+IF(Skills!H13&gt;0,MIN(Skills!I13,MAX(0,MAX(0,Inputs!$B$44-B1059)-((R1027-1)*IF(Inputs!$B$39="pvp",15,MAX(0.1,Skills!D13-IF(Skills!E13=TRUE,Inputs!$B$32,0))))))/Skills!H13,1)))/Inputs!$B$44),G1027*Q1027))*IF(Inputs!$B$39="pvp",1,1+(Inputs!$B$20+((C1041=TRUE)*(F1041-Calc!F27))+Skills!P13+B1055)/100),0)</f>
        <v/>
      </c>
      <c r="V1027">
        <f>IF(C1027,(H1027*N1027*IF(AND(Inputs!$B$39&lt;&gt;"pvp",Inputs!$B$44&gt;0),((Skills!G13*((R1027-1)*IF(Skills!H13&gt;0,Skills!I13/Skills!H13,1)+IF(Skills!H13&gt;0,MIN(Skills!I13,MAX(0,MAX(0,Inputs!$B$44-B1059)-((R1027-1)*IF(Inputs!$B$39="pvp",15,MAX(0.1,Skills!D13-IF(Skills!E13=TRUE,Inputs!$B$32,0))))))/Skills!H13,1)))/Inputs!$B$44),G1027*Q1027))*IF(Inputs!$B$39="pvp",1,(1+(Inputs!$B$21+Skills!Q13+B1055)/100)*(MIN(Skills!W13,Inputs!$B$37))),0)</f>
        <v/>
      </c>
    </row>
    <row r="1028">
      <c r="A1028">
        <f>Skills!A14</f>
        <v/>
      </c>
      <c r="B1028">
        <f>Skills!B14</f>
        <v/>
      </c>
      <c r="C1028">
        <f>Inputs!$B$3&gt;=105</f>
        <v/>
      </c>
      <c r="D1028">
        <f>IF(Skills!C14=1,60+Inputs!$B$25+(Inputs!$B$29+1),IF(Skills!C14=2,90+Inputs!$B$26+(Inputs!$B$29+1),IF(Skills!C14=3,120+Inputs!$B$27+(Inputs!$B$29+1),MAX(0,(Inputs!$B$3-100)*3)+Inputs!$B$28+(Inputs!$B$29+1))))</f>
        <v/>
      </c>
      <c r="E1028">
        <f>INDEX(FactorTable!$B$2:$Y$301, MATCH(ROUND(MIN(300,MAX(1,D1028)),0), FactorTable!$A$2:$A$301,0), Skills!M14+1)</f>
        <v/>
      </c>
      <c r="F1028">
        <f>IF(Skills!N14=TRUE,(Skills!L14/10)*(E1028/1000),Skills!L14/10)+Skills!O14</f>
        <v/>
      </c>
      <c r="G1028">
        <f>Calc!G14</f>
        <v/>
      </c>
      <c r="H1028">
        <f>Calc!H14</f>
        <v/>
      </c>
      <c r="I1028">
        <f>IF(Skills!AA14&lt;&gt;"",1+(Skills!AA14/10)*(U1017/1000)/100,1)</f>
        <v/>
      </c>
      <c r="J1028">
        <f>((Inputs!$B$6*(1+Inputs!$B$7/100))+(((Inputs!$B$12*(1+Inputs!$B$13/100))-(Inputs!$B$12*(1+Inputs!$B$13/100)))+0.25*(Inputs!$B$14-Inputs!$B$14))*(1+Inputs!$B$7/100))*(F1028/100)</f>
        <v/>
      </c>
      <c r="K1028">
        <f>J1028*(1+((Inputs!$B$12*(1+Inputs!$B$13/100))*0.01+Inputs!$B$14*0.0025)/100)*(1+Inputs!$B$15/100)*(1+Inputs!$B$16/100)*(5000/(6000+Inputs!$B$43*(1-Inputs!$B$19/100)))*(1+(Inputs!$B$24+((C1044=TRUE)*(F1044-Calc!F30)))/100)*(1+Skills!R14/100)*(1+(IF(Skills!A14="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1028)</f>
        <v/>
      </c>
      <c r="L1028">
        <f>K1028*(MIN(Inputs!$B$22+((C1038=TRUE)*(F1038-Calc!F24)),Inputs!$B$23)/100+Inputs!$B$23/100)/2</f>
        <v/>
      </c>
      <c r="M1028">
        <f>L1028*(1+(Inputs!$B$10+((C1040=TRUE)*(F1040-Calc!F26))+B1057)/100)</f>
        <v/>
      </c>
      <c r="N1028">
        <f>L1028*(1-MIN((Inputs!$B$9+((C1039=TRUE)*(F1039-Calc!F25))+B1054),100)/100)+M1028*(MIN((Inputs!$B$9+((C1039=TRUE)*(F1039-Calc!F25))+B1054),100)/100)</f>
        <v/>
      </c>
      <c r="O1028">
        <f>(1-Summary!$B$55)*T1028+Summary!$B$55*V1028</f>
        <v/>
      </c>
      <c r="P1028">
        <f>IF(B1058=0,0,O1028/B1058)</f>
        <v/>
      </c>
      <c r="Q1028">
        <f>IFERROR(1/IF(Inputs!$B$39="pvp",15,MAX(0.1,Skills!D14-IF(Skills!E14=TRUE,Inputs!$B$32,0))),0)</f>
        <v/>
      </c>
      <c r="R1028">
        <f>IF(AND(Inputs!$B$39&lt;&gt;"pvp",Inputs!$B$44&gt;0),IF(MAX(0,Inputs!$B$44-B1059)&lt;=0,0,(INT(MAX(0,Inputs!$B$44-B1059)/IF(Inputs!$B$39="pvp",15,MAX(0.1,Skills!D14-IF(Skills!E14=TRUE,Inputs!$B$32,0))))+1)),0)</f>
        <v/>
      </c>
      <c r="S1028">
        <f>IFERROR(O1028/N1028,0)</f>
        <v/>
      </c>
      <c r="T1028">
        <f>IF(C1028,(H1028*N1028*IF(AND(Inputs!$B$39&lt;&gt;"pvp",Inputs!$B$44&gt;0),((Skills!G14*((R1028-1)*IF(Skills!H14&gt;0,Skills!I14/Skills!H14,1)+IF(Skills!H14&gt;0,MIN(Skills!I14,MAX(0,MAX(0,Inputs!$B$44-B1059)-((R1028-1)*IF(Inputs!$B$39="pvp",15,MAX(0.1,Skills!D14-IF(Skills!E14=TRUE,Inputs!$B$32,0))))))/Skills!H14,1)))/Inputs!$B$44),G1028*Q1028))*IF(Inputs!$B$39="pvp",1,1+(Inputs!$B$20+((C1041=TRUE)*(F1041-Calc!F27))+Skills!P14+B1055)/100),0)</f>
        <v/>
      </c>
      <c r="V1028">
        <f>IF(C1028,(H1028*N1028*IF(AND(Inputs!$B$39&lt;&gt;"pvp",Inputs!$B$44&gt;0),((Skills!G14*((R1028-1)*IF(Skills!H14&gt;0,Skills!I14/Skills!H14,1)+IF(Skills!H14&gt;0,MIN(Skills!I14,MAX(0,MAX(0,Inputs!$B$44-B1059)-((R1028-1)*IF(Inputs!$B$39="pvp",15,MAX(0.1,Skills!D14-IF(Skills!E14=TRUE,Inputs!$B$32,0))))))/Skills!H14,1)))/Inputs!$B$44),G1028*Q1028))*IF(Inputs!$B$39="pvp",1,(1+(Inputs!$B$21+Skills!Q14+B1055)/100)*(MIN(Skills!W14,Inputs!$B$37))),0)</f>
        <v/>
      </c>
    </row>
    <row r="1029">
      <c r="A1029">
        <f>Skills!A15</f>
        <v/>
      </c>
      <c r="B1029">
        <f>Skills!B15</f>
        <v/>
      </c>
      <c r="C1029">
        <f>Inputs!$B$3&gt;=110</f>
        <v/>
      </c>
      <c r="D1029">
        <f>IF(Skills!C15=1,60+Inputs!$B$25+(Inputs!$B$29+1),IF(Skills!C15=2,90+Inputs!$B$26+(Inputs!$B$29+1),IF(Skills!C15=3,120+Inputs!$B$27+(Inputs!$B$29+1),MAX(0,(Inputs!$B$3-100)*3)+Inputs!$B$28+(Inputs!$B$29+1))))</f>
        <v/>
      </c>
      <c r="E1029">
        <f>INDEX(FactorTable!$B$2:$Y$301, MATCH(ROUND(MIN(300,MAX(1,D1029)),0), FactorTable!$A$2:$A$301,0), Skills!M15+1)</f>
        <v/>
      </c>
      <c r="F1029">
        <f>IF(Skills!N15=TRUE,(Skills!L15/10)*(E1029/1000),Skills!L15/10)+Skills!O15</f>
        <v/>
      </c>
      <c r="G1029">
        <f>Calc!G15</f>
        <v/>
      </c>
      <c r="H1029">
        <f>Calc!H15</f>
        <v/>
      </c>
      <c r="I1029">
        <f>IF(Skills!AA15&lt;&gt;"",1+(Skills!AA15/10)*(U1017/1000)/100,1)</f>
        <v/>
      </c>
      <c r="J1029" t="inlineStr"/>
      <c r="K1029" t="inlineStr"/>
      <c r="L1029" t="inlineStr"/>
      <c r="M1029" t="inlineStr"/>
      <c r="N1029" t="inlineStr"/>
      <c r="O1029">
        <f>(1-Summary!$B$55)*T1029+Summary!$B$55*V1029</f>
        <v/>
      </c>
      <c r="P1029">
        <f>IF(B1058=0,0,O1029/B1058)</f>
        <v/>
      </c>
      <c r="Q1029">
        <f>IFERROR(1/IF(Inputs!$B$39="pvp",15,MAX(0.1,Skills!D15-IF(Skills!E15=TRUE,Inputs!$B$32,0))),0)</f>
        <v/>
      </c>
      <c r="R1029">
        <f>IF(AND(Inputs!$B$39&lt;&gt;"pvp",Inputs!$B$44&gt;0),IF(Inputs!$B$44&lt;=0,0,(INT(Inputs!$B$44/IF(Inputs!$B$39="pvp",15,MAX(0.1,Skills!D15-IF(Skills!E15=TRUE,Inputs!$B$32,0))))+1)),0)</f>
        <v/>
      </c>
      <c r="S1029">
        <f>IFERROR(O1029/N1029,0)</f>
        <v/>
      </c>
      <c r="T1029" t="n">
        <v>0</v>
      </c>
      <c r="V1029" t="n">
        <v>0</v>
      </c>
    </row>
    <row r="1030">
      <c r="A1030">
        <f>Skills!A16</f>
        <v/>
      </c>
      <c r="B1030">
        <f>Skills!B16</f>
        <v/>
      </c>
      <c r="C1030">
        <f>Inputs!$B$3&gt;=110</f>
        <v/>
      </c>
      <c r="D1030">
        <f>IF(Skills!C16=1,60+Inputs!$B$25+(Inputs!$B$29+1),IF(Skills!C16=2,90+Inputs!$B$26+(Inputs!$B$29+1),IF(Skills!C16=3,120+Inputs!$B$27+(Inputs!$B$29+1),MAX(0,(Inputs!$B$3-100)*3)+Inputs!$B$28+(Inputs!$B$29+1))))</f>
        <v/>
      </c>
      <c r="E1030">
        <f>INDEX(FactorTable!$B$2:$Y$301, MATCH(ROUND(MIN(300,MAX(1,D1030)),0), FactorTable!$A$2:$A$301,0), Skills!M16+1)</f>
        <v/>
      </c>
      <c r="F1030">
        <f>IF(Skills!N16=TRUE,(Skills!L16/10)*(E1030/1000),Skills!L16/10)+Skills!O16</f>
        <v/>
      </c>
      <c r="G1030">
        <f>Calc!G16</f>
        <v/>
      </c>
      <c r="H1030">
        <f>Calc!H16</f>
        <v/>
      </c>
      <c r="I1030">
        <f>IF(Skills!AA16&lt;&gt;"",1+(Skills!AA16/10)*(U1017/1000)/100,1)</f>
        <v/>
      </c>
      <c r="J1030" t="inlineStr"/>
      <c r="K1030" t="inlineStr"/>
      <c r="L1030" t="inlineStr"/>
      <c r="M1030" t="inlineStr"/>
      <c r="N1030" t="inlineStr"/>
      <c r="O1030">
        <f>(1-Summary!$B$55)*T1030+Summary!$B$55*V1030</f>
        <v/>
      </c>
      <c r="P1030">
        <f>IF(B1058=0,0,O1030/B1058)</f>
        <v/>
      </c>
      <c r="Q1030">
        <f>IFERROR(1/IF(Inputs!$B$39="pvp",15,MAX(0.1,Skills!D16-IF(Skills!E16=TRUE,Inputs!$B$32,0))),0)</f>
        <v/>
      </c>
      <c r="R1030">
        <f>IF(AND(Inputs!$B$39&lt;&gt;"pvp",Inputs!$B$44&gt;0),IF(Inputs!$B$44&lt;=0,0,(INT(Inputs!$B$44/IF(Inputs!$B$39="pvp",15,MAX(0.1,Skills!D16-IF(Skills!E16=TRUE,Inputs!$B$32,0))))+1)),0)</f>
        <v/>
      </c>
      <c r="S1030">
        <f>IFERROR(O1030/N1030,0)</f>
        <v/>
      </c>
      <c r="T1030" t="n">
        <v>0</v>
      </c>
      <c r="V1030" t="n">
        <v>0</v>
      </c>
    </row>
    <row r="1031">
      <c r="A1031">
        <f>Skills!A17</f>
        <v/>
      </c>
      <c r="B1031">
        <f>Skills!B17</f>
        <v/>
      </c>
      <c r="C1031">
        <f>Inputs!$B$3&gt;=115</f>
        <v/>
      </c>
      <c r="D1031">
        <f>IF(Skills!C17=1,60+Inputs!$B$25+(Inputs!$B$29+1),IF(Skills!C17=2,90+Inputs!$B$26+(Inputs!$B$29+1),IF(Skills!C17=3,120+Inputs!$B$27+(Inputs!$B$29+1),MAX(0,(Inputs!$B$3-100)*3)+Inputs!$B$28+(Inputs!$B$29+1))))</f>
        <v/>
      </c>
      <c r="E1031">
        <f>INDEX(FactorTable!$B$2:$Y$301, MATCH(ROUND(MIN(300,MAX(1,D1031)),0), FactorTable!$A$2:$A$301,0), Skills!M17+1)</f>
        <v/>
      </c>
      <c r="F1031">
        <f>IF(Skills!N17=TRUE,(Skills!L17/10)*(E1031/1000),Skills!L17/10)+Skills!O17</f>
        <v/>
      </c>
      <c r="G1031">
        <f>Calc!G17</f>
        <v/>
      </c>
      <c r="H1031">
        <f>Calc!H17</f>
        <v/>
      </c>
      <c r="I1031">
        <f>IF(Skills!AA17&lt;&gt;"",1+(Skills!AA17/10)*(U1017/1000)/100,1)</f>
        <v/>
      </c>
      <c r="J1031">
        <f>((Inputs!$B$6*(1+Inputs!$B$7/100))+(((Inputs!$B$12*(1+Inputs!$B$13/100))-(Inputs!$B$12*(1+Inputs!$B$13/100)))+0.25*(Inputs!$B$14-Inputs!$B$14))*(1+Inputs!$B$7/100))*(F1031/100)</f>
        <v/>
      </c>
      <c r="K1031">
        <f>J1031*(1+((Inputs!$B$12*(1+Inputs!$B$13/100))*0.01+Inputs!$B$14*0.0025)/100)*(1+Inputs!$B$15/100)*(1+Inputs!$B$16/100)*(5000/(6000+Inputs!$B$43*(1-Inputs!$B$19/100)))*(1+(Inputs!$B$24+((C1044=TRUE)*(F1044-Calc!F30)))/100)*(1+Skills!R17/100)*(1+(IF(Skills!A17="SHOWDOWN",Inputs!$B$17+((C1037=TRUE)*(F1037-Calc!F23)),Inputs!$B$18+((C1043=TRUE)*(F1043-Calc!F29))))/100)*(((1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B1056*I1031)</f>
        <v/>
      </c>
      <c r="L1031">
        <f>K1031*(MIN(Inputs!$B$22+((C1038=TRUE)*(F1038-Calc!F24)),Inputs!$B$23)/100+Inputs!$B$23/100)/2</f>
        <v/>
      </c>
      <c r="M1031">
        <f>L1031*(1+(Inputs!$B$10+((C1040=TRUE)*(F1040-Calc!F26))+B1057)/100)</f>
        <v/>
      </c>
      <c r="N1031">
        <f>L1031*(1-MIN((Inputs!$B$9+((C1039=TRUE)*(F1039-Calc!F25))+B1054),100)/100)+M1031*(MIN((Inputs!$B$9+((C1039=TRUE)*(F1039-Calc!F25))+B1054),100)/100)</f>
        <v/>
      </c>
      <c r="O1031">
        <f>(1-Summary!$B$55)*T1031+Summary!$B$55*V1031</f>
        <v/>
      </c>
      <c r="P1031">
        <f>IF(B1058=0,0,O1031/B1058)</f>
        <v/>
      </c>
      <c r="Q1031" t="n">
        <v>0</v>
      </c>
      <c r="R1031" t="n">
        <v>0</v>
      </c>
      <c r="S1031">
        <f>IFERROR(O1031/N1031,0)</f>
        <v/>
      </c>
      <c r="T1031">
        <f>IF(C1031,(Inputs!$B$38*0.2*N1031)*IF(Inputs!$B$39="pvp",1,1+(Inputs!$B$20+((C1041=TRUE)*(F1041-Calc!F27))+Skills!P17+B1055)/100),0)</f>
        <v/>
      </c>
      <c r="V1031">
        <f>IF(C1031,(Inputs!$B$38*0.2*N1031)*IF(Inputs!$B$39="pvp",1,(1+(Inputs!$B$21+Skills!Q17+B1055)/100)*(MIN(Skills!W17,Inputs!$B$37))),0)</f>
        <v/>
      </c>
    </row>
    <row r="1032">
      <c r="A1032">
        <f>Skills!A18</f>
        <v/>
      </c>
      <c r="B1032">
        <f>Skills!B18</f>
        <v/>
      </c>
      <c r="C1032">
        <f>Inputs!$B$3&gt;=115</f>
        <v/>
      </c>
      <c r="D1032">
        <f>IF(Skills!C18=1,60+Inputs!$B$25+(Inputs!$B$29+1),IF(Skills!C18=2,90+Inputs!$B$26+(Inputs!$B$29+1),IF(Skills!C18=3,120+Inputs!$B$27+(Inputs!$B$29+1),MAX(0,(Inputs!$B$3-100)*3)+Inputs!$B$28+(Inputs!$B$29+1))))</f>
        <v/>
      </c>
      <c r="E1032">
        <f>INDEX(FactorTable!$B$2:$Y$301, MATCH(ROUND(MIN(300,MAX(1,D1032)),0), FactorTable!$A$2:$A$301,0), Skills!M18+1)</f>
        <v/>
      </c>
      <c r="F1032">
        <f>IF(Skills!N18=TRUE,(Skills!L18/10)*(E1032/1000),Skills!L18/10)+Skills!O18</f>
        <v/>
      </c>
      <c r="G1032">
        <f>Calc!G18</f>
        <v/>
      </c>
      <c r="H1032">
        <f>Calc!H18</f>
        <v/>
      </c>
      <c r="I1032">
        <f>IF(Skills!AA18&lt;&gt;"",1+(Skills!AA18/10)*(U1017/1000)/100,1)</f>
        <v/>
      </c>
      <c r="J1032" t="inlineStr"/>
      <c r="K1032" t="inlineStr"/>
      <c r="L1032" t="inlineStr"/>
      <c r="M1032" t="inlineStr"/>
      <c r="N1032" t="inlineStr"/>
      <c r="O1032">
        <f>(1-Summary!$B$55)*T1032+Summary!$B$55*V1032</f>
        <v/>
      </c>
      <c r="P1032">
        <f>IF(B1058=0,0,O1032/B1058)</f>
        <v/>
      </c>
      <c r="Q1032" t="n">
        <v>0</v>
      </c>
      <c r="R1032" t="n">
        <v>0</v>
      </c>
      <c r="S1032">
        <f>IFERROR(O1032/N1032,0)</f>
        <v/>
      </c>
      <c r="T1032" t="n">
        <v>0</v>
      </c>
      <c r="V1032" t="n">
        <v>0</v>
      </c>
    </row>
    <row r="1033">
      <c r="A1033">
        <f>Skills!A19</f>
        <v/>
      </c>
      <c r="B1033">
        <f>Skills!B19</f>
        <v/>
      </c>
      <c r="C1033">
        <f>TRUE</f>
        <v/>
      </c>
      <c r="D1033">
        <f>IF(Skills!C19=1,60+Inputs!$B$25+(Inputs!$B$29+1),IF(Skills!C19=2,90+Inputs!$B$26+(Inputs!$B$29+1),IF(Skills!C19=3,120+Inputs!$B$27+(Inputs!$B$29+1),MAX(0,(Inputs!$B$3-100)*3)+Inputs!$B$28+(Inputs!$B$29+1))))</f>
        <v/>
      </c>
      <c r="E1033">
        <f>INDEX(FactorTable!$B$2:$Y$301, MATCH(ROUND(MIN(300,MAX(1,D1033)),0), FactorTable!$A$2:$A$301,0), Skills!M19+1)</f>
        <v/>
      </c>
      <c r="F1033">
        <f>IF(Skills!N19=TRUE,(Skills!L19/10)*(E1033/1000),Skills!L19/10)+Skills!O19</f>
        <v/>
      </c>
      <c r="G1033">
        <f>Calc!G19</f>
        <v/>
      </c>
      <c r="H1033">
        <f>Calc!H19</f>
        <v/>
      </c>
      <c r="I1033">
        <f>IF(Skills!AA19&lt;&gt;"",1+(Skills!AA19/10)*(U1017/1000)/100,1)</f>
        <v/>
      </c>
      <c r="J1033" t="inlineStr"/>
      <c r="K1033" t="inlineStr"/>
      <c r="L1033" t="inlineStr"/>
      <c r="M1033" t="inlineStr"/>
      <c r="N1033" t="inlineStr"/>
      <c r="O1033">
        <f>(1-Summary!$B$55)*T1033+Summary!$B$55*V1033</f>
        <v/>
      </c>
      <c r="P1033">
        <f>IF(B1058=0,0,O1033/B1058)</f>
        <v/>
      </c>
      <c r="Q1033">
        <f>IFERROR(1/IF(Inputs!$B$39="pvp",15,MAX(0.1,Skills!D19-IF(Skills!E19=TRUE,Inputs!$B$32,0))),0)</f>
        <v/>
      </c>
      <c r="R1033">
        <f>IF(AND(Inputs!$B$39&lt;&gt;"pvp",Inputs!$B$44&gt;0),IF(Inputs!$B$44&lt;=0,0,(INT(Inputs!$B$44/IF(Inputs!$B$39="pvp",15,MAX(0.1,Skills!D19-IF(Skills!E19=TRUE,Inputs!$B$32,0))))+1)),0)</f>
        <v/>
      </c>
      <c r="S1033">
        <f>IFERROR(O1033/N1033,0)</f>
        <v/>
      </c>
      <c r="T1033" t="n">
        <v>0</v>
      </c>
      <c r="V1033" t="n">
        <v>0</v>
      </c>
    </row>
    <row r="1034">
      <c r="A1034">
        <f>Skills!A20</f>
        <v/>
      </c>
      <c r="B1034">
        <f>Skills!B20</f>
        <v/>
      </c>
      <c r="C1034">
        <f>Inputs!$B$3&gt;=15</f>
        <v/>
      </c>
      <c r="D1034">
        <f>IF(Skills!C20=1,60+Inputs!$B$25+(Inputs!$B$29+1),IF(Skills!C20=2,90+Inputs!$B$26+(Inputs!$B$29+1),IF(Skills!C20=3,120+Inputs!$B$27+(Inputs!$B$29+1),MAX(0,(Inputs!$B$3-100)*3)+Inputs!$B$28+(Inputs!$B$29+1))))</f>
        <v/>
      </c>
      <c r="E1034">
        <f>INDEX(FactorTable!$B$2:$Y$301, MATCH(ROUND(MIN(300,MAX(1,D1034)),0), FactorTable!$A$2:$A$301,0), Skills!M20+1)</f>
        <v/>
      </c>
      <c r="F1034">
        <f>IF(Skills!N20=TRUE,(Skills!L20/10)*(E1034/1000),Skills!L20/10)+Skills!O20</f>
        <v/>
      </c>
      <c r="G1034">
        <f>Calc!G20</f>
        <v/>
      </c>
      <c r="H1034">
        <f>Calc!H20</f>
        <v/>
      </c>
      <c r="I1034">
        <f>IF(Skills!AA20&lt;&gt;"",1+(Skills!AA20/10)*(U1017/1000)/100,1)</f>
        <v/>
      </c>
      <c r="J1034" t="inlineStr"/>
      <c r="K1034" t="inlineStr"/>
      <c r="L1034" t="inlineStr"/>
      <c r="M1034" t="inlineStr"/>
      <c r="N1034" t="inlineStr"/>
      <c r="O1034">
        <f>(1-Summary!$B$55)*T1034+Summary!$B$55*V1034</f>
        <v/>
      </c>
      <c r="P1034">
        <f>IF(B1058=0,0,O1034/B1058)</f>
        <v/>
      </c>
      <c r="Q1034">
        <f>IFERROR(1/IF(Inputs!$B$39="pvp",15,MAX(0.1,Skills!D20-IF(Skills!E20=TRUE,Inputs!$B$32,0))),0)</f>
        <v/>
      </c>
      <c r="R1034">
        <f>IF(AND(Inputs!$B$39&lt;&gt;"pvp",Inputs!$B$44&gt;0),IF(Inputs!$B$44&lt;=0,0,(INT(Inputs!$B$44/IF(Inputs!$B$39="pvp",15,MAX(0.1,Skills!D20-IF(Skills!E20=TRUE,Inputs!$B$32,0))))+1)),0)</f>
        <v/>
      </c>
      <c r="S1034">
        <f>IFERROR(O1034/N1034,0)</f>
        <v/>
      </c>
      <c r="T1034" t="n">
        <v>0</v>
      </c>
      <c r="V1034" t="n">
        <v>0</v>
      </c>
    </row>
    <row r="1035">
      <c r="A1035">
        <f>Skills!A21</f>
        <v/>
      </c>
      <c r="B1035">
        <f>Skills!B21</f>
        <v/>
      </c>
      <c r="C1035">
        <f>Inputs!$B$3&gt;=15</f>
        <v/>
      </c>
      <c r="D1035">
        <f>IF(Skills!C21=1,60+Inputs!$B$25+(Inputs!$B$29+1),IF(Skills!C21=2,90+Inputs!$B$26+(Inputs!$B$29+1),IF(Skills!C21=3,120+Inputs!$B$27+(Inputs!$B$29+1),MAX(0,(Inputs!$B$3-100)*3)+Inputs!$B$28+(Inputs!$B$29+1))))</f>
        <v/>
      </c>
      <c r="E1035">
        <f>INDEX(FactorTable!$B$2:$Y$301, MATCH(ROUND(MIN(300,MAX(1,D1035)),0), FactorTable!$A$2:$A$301,0), Skills!M21+1)</f>
        <v/>
      </c>
      <c r="F1035">
        <f>IF(Skills!N21=TRUE,(Skills!L21/10)*(E1035/1000),Skills!L21/10)+Skills!O21</f>
        <v/>
      </c>
      <c r="G1035">
        <f>Calc!G21</f>
        <v/>
      </c>
      <c r="H1035">
        <f>Calc!H21</f>
        <v/>
      </c>
      <c r="I1035">
        <f>IF(Skills!AA21&lt;&gt;"",1+(Skills!AA21/10)*(U1017/1000)/100,1)</f>
        <v/>
      </c>
      <c r="J1035" t="inlineStr"/>
      <c r="K1035" t="inlineStr"/>
      <c r="L1035" t="inlineStr"/>
      <c r="M1035" t="inlineStr"/>
      <c r="N1035" t="inlineStr"/>
      <c r="O1035">
        <f>(1-Summary!$B$55)*T1035+Summary!$B$55*V1035</f>
        <v/>
      </c>
      <c r="P1035">
        <f>IF(B1058=0,0,O1035/B1058)</f>
        <v/>
      </c>
      <c r="Q1035">
        <f>IFERROR(1/IF(Inputs!$B$39="pvp",15,MAX(0.1,Skills!D21-IF(Skills!E21=TRUE,Inputs!$B$32,0))),0)</f>
        <v/>
      </c>
      <c r="R1035">
        <f>IF(AND(Inputs!$B$39&lt;&gt;"pvp",Inputs!$B$44&gt;0),IF(Inputs!$B$44&lt;=0,0,(INT(Inputs!$B$44/IF(Inputs!$B$39="pvp",15,MAX(0.1,Skills!D21-IF(Skills!E21=TRUE,Inputs!$B$32,0))))+1)),0)</f>
        <v/>
      </c>
      <c r="S1035">
        <f>IFERROR(O1035/N1035,0)</f>
        <v/>
      </c>
      <c r="T1035" t="n">
        <v>0</v>
      </c>
      <c r="V1035" t="n">
        <v>0</v>
      </c>
    </row>
    <row r="1036">
      <c r="A1036">
        <f>Skills!A22</f>
        <v/>
      </c>
      <c r="B1036">
        <f>Skills!B22</f>
        <v/>
      </c>
      <c r="C1036">
        <f>Inputs!$B$3&gt;=33</f>
        <v/>
      </c>
      <c r="D1036">
        <f>IF(Skills!C22=1,60+Inputs!$B$25+(Inputs!$B$29+1),IF(Skills!C22=2,90+Inputs!$B$26+(Inputs!$B$29+1),IF(Skills!C22=3,120+Inputs!$B$27+(Inputs!$B$29+1),MAX(0,(Inputs!$B$3-100)*3)+Inputs!$B$28+(Inputs!$B$29+1))))</f>
        <v/>
      </c>
      <c r="E1036">
        <f>INDEX(FactorTable!$B$2:$Y$301, MATCH(ROUND(MIN(300,MAX(1,D1036)),0), FactorTable!$A$2:$A$301,0), Skills!M22+1)</f>
        <v/>
      </c>
      <c r="F1036">
        <f>IF(Skills!N22=TRUE,(Skills!L22/10)*(E1036/1000),Skills!L22/10)+Skills!O22</f>
        <v/>
      </c>
      <c r="G1036">
        <f>Calc!G22</f>
        <v/>
      </c>
      <c r="H1036">
        <f>Calc!H22</f>
        <v/>
      </c>
      <c r="I1036">
        <f>IF(Skills!AA22&lt;&gt;"",1+(Skills!AA22/10)*(U1017/1000)/100,1)</f>
        <v/>
      </c>
      <c r="J1036" t="inlineStr"/>
      <c r="K1036" t="inlineStr"/>
      <c r="L1036" t="inlineStr"/>
      <c r="M1036" t="inlineStr"/>
      <c r="N1036" t="inlineStr"/>
      <c r="O1036">
        <f>(1-Summary!$B$55)*T1036+Summary!$B$55*V1036</f>
        <v/>
      </c>
      <c r="P1036">
        <f>IF(B1058=0,0,O1036/B1058)</f>
        <v/>
      </c>
      <c r="Q1036" t="n">
        <v>0</v>
      </c>
      <c r="R1036" t="n">
        <v>0</v>
      </c>
      <c r="S1036">
        <f>IFERROR(O1036/N1036,0)</f>
        <v/>
      </c>
      <c r="T1036" t="n">
        <v>0</v>
      </c>
      <c r="V1036" t="n">
        <v>0</v>
      </c>
    </row>
    <row r="1037">
      <c r="A1037">
        <f>Skills!A23</f>
        <v/>
      </c>
      <c r="B1037">
        <f>Skills!B23</f>
        <v/>
      </c>
      <c r="C1037">
        <f>Inputs!$B$3&gt;=38</f>
        <v/>
      </c>
      <c r="D1037">
        <f>IF(Skills!C23=1,60+Inputs!$B$25+(Inputs!$B$29+1),IF(Skills!C23=2,90+Inputs!$B$26+(Inputs!$B$29+1),IF(Skills!C23=3,120+Inputs!$B$27+(Inputs!$B$29+1),MAX(0,(Inputs!$B$3-100)*3)+Inputs!$B$28+(Inputs!$B$29+1))))</f>
        <v/>
      </c>
      <c r="E1037">
        <f>INDEX(FactorTable!$B$2:$Y$301, MATCH(ROUND(MIN(300,MAX(1,D1037)),0), FactorTable!$A$2:$A$301,0), Skills!M23+1)</f>
        <v/>
      </c>
      <c r="F1037">
        <f>IF(Skills!N23=TRUE,(Skills!L23/10)*(E1037/1000),Skills!L23/10)+Skills!O23</f>
        <v/>
      </c>
      <c r="G1037">
        <f>Calc!G23</f>
        <v/>
      </c>
      <c r="H1037">
        <f>Calc!H23</f>
        <v/>
      </c>
      <c r="I1037">
        <f>IF(Skills!AA23&lt;&gt;"",1+(Skills!AA23/10)*(U1017/1000)/100,1)</f>
        <v/>
      </c>
      <c r="J1037" t="inlineStr"/>
      <c r="K1037" t="inlineStr"/>
      <c r="L1037" t="inlineStr"/>
      <c r="M1037" t="inlineStr"/>
      <c r="N1037" t="inlineStr"/>
      <c r="O1037">
        <f>(1-Summary!$B$55)*T1037+Summary!$B$55*V1037</f>
        <v/>
      </c>
      <c r="P1037">
        <f>IF(B1058=0,0,O1037/B1058)</f>
        <v/>
      </c>
      <c r="Q1037" t="n">
        <v>0</v>
      </c>
      <c r="R1037" t="n">
        <v>0</v>
      </c>
      <c r="S1037">
        <f>IFERROR(O1037/N1037,0)</f>
        <v/>
      </c>
      <c r="T1037" t="n">
        <v>0</v>
      </c>
      <c r="V1037" t="n">
        <v>0</v>
      </c>
    </row>
    <row r="1038">
      <c r="A1038">
        <f>Skills!A24</f>
        <v/>
      </c>
      <c r="B1038">
        <f>Skills!B24</f>
        <v/>
      </c>
      <c r="C1038">
        <f>Inputs!$B$3&gt;=40</f>
        <v/>
      </c>
      <c r="D1038">
        <f>IF(Skills!C24=1,60+Inputs!$B$25+(Inputs!$B$29+1),IF(Skills!C24=2,90+Inputs!$B$26+(Inputs!$B$29+1),IF(Skills!C24=3,120+Inputs!$B$27+(Inputs!$B$29+1),MAX(0,(Inputs!$B$3-100)*3)+Inputs!$B$28+(Inputs!$B$29+1))))</f>
        <v/>
      </c>
      <c r="E1038">
        <f>INDEX(FactorTable!$B$2:$Y$301, MATCH(ROUND(MIN(300,MAX(1,D1038)),0), FactorTable!$A$2:$A$301,0), Skills!M24+1)</f>
        <v/>
      </c>
      <c r="F1038">
        <f>IF(Skills!N24=TRUE,(Skills!L24/10)*(E1038/1000),Skills!L24/10)+Skills!O24</f>
        <v/>
      </c>
      <c r="G1038">
        <f>Calc!G24</f>
        <v/>
      </c>
      <c r="H1038">
        <f>Calc!H24</f>
        <v/>
      </c>
      <c r="I1038">
        <f>IF(Skills!AA24&lt;&gt;"",1+(Skills!AA24/10)*(U1017/1000)/100,1)</f>
        <v/>
      </c>
      <c r="J1038" t="inlineStr"/>
      <c r="K1038" t="inlineStr"/>
      <c r="L1038" t="inlineStr"/>
      <c r="M1038" t="inlineStr"/>
      <c r="N1038" t="inlineStr"/>
      <c r="O1038">
        <f>(1-Summary!$B$55)*T1038+Summary!$B$55*V1038</f>
        <v/>
      </c>
      <c r="P1038">
        <f>IF(B1058=0,0,O1038/B1058)</f>
        <v/>
      </c>
      <c r="Q1038" t="n">
        <v>0</v>
      </c>
      <c r="R1038" t="n">
        <v>0</v>
      </c>
      <c r="S1038">
        <f>IFERROR(O1038/N1038,0)</f>
        <v/>
      </c>
      <c r="T1038" t="n">
        <v>0</v>
      </c>
      <c r="V1038" t="n">
        <v>0</v>
      </c>
    </row>
    <row r="1039">
      <c r="A1039">
        <f>Skills!A25</f>
        <v/>
      </c>
      <c r="B1039">
        <f>Skills!B25</f>
        <v/>
      </c>
      <c r="C1039">
        <f>Inputs!$B$3&gt;=45</f>
        <v/>
      </c>
      <c r="D1039">
        <f>IF(Skills!C25=1,60+Inputs!$B$25+(Inputs!$B$29+1),IF(Skills!C25=2,90+Inputs!$B$26+(Inputs!$B$29+1),IF(Skills!C25=3,120+Inputs!$B$27+(Inputs!$B$29+1),MAX(0,(Inputs!$B$3-100)*3)+Inputs!$B$28+(Inputs!$B$29+1))))</f>
        <v/>
      </c>
      <c r="E1039">
        <f>INDEX(FactorTable!$B$2:$Y$301, MATCH(ROUND(MIN(300,MAX(1,D1039)),0), FactorTable!$A$2:$A$301,0), Skills!M25+1)</f>
        <v/>
      </c>
      <c r="F1039">
        <f>IF(Skills!N25=TRUE,(Skills!L25/10)*(E1039/1000),Skills!L25/10)+Skills!O25</f>
        <v/>
      </c>
      <c r="G1039">
        <f>Calc!G25</f>
        <v/>
      </c>
      <c r="H1039">
        <f>Calc!H25</f>
        <v/>
      </c>
      <c r="I1039">
        <f>IF(Skills!AA25&lt;&gt;"",1+(Skills!AA25/10)*(U1017/1000)/100,1)</f>
        <v/>
      </c>
      <c r="J1039" t="inlineStr"/>
      <c r="K1039" t="inlineStr"/>
      <c r="L1039" t="inlineStr"/>
      <c r="M1039" t="inlineStr"/>
      <c r="N1039" t="inlineStr"/>
      <c r="O1039">
        <f>(1-Summary!$B$55)*T1039+Summary!$B$55*V1039</f>
        <v/>
      </c>
      <c r="P1039">
        <f>IF(B1058=0,0,O1039/B1058)</f>
        <v/>
      </c>
      <c r="Q1039" t="n">
        <v>0</v>
      </c>
      <c r="R1039" t="n">
        <v>0</v>
      </c>
      <c r="S1039">
        <f>IFERROR(O1039/N1039,0)</f>
        <v/>
      </c>
      <c r="T1039" t="n">
        <v>0</v>
      </c>
      <c r="V1039" t="n">
        <v>0</v>
      </c>
    </row>
    <row r="1040">
      <c r="A1040">
        <f>Skills!A26</f>
        <v/>
      </c>
      <c r="B1040">
        <f>Skills!B26</f>
        <v/>
      </c>
      <c r="C1040">
        <f>Inputs!$B$3&gt;=45</f>
        <v/>
      </c>
      <c r="D1040">
        <f>IF(Skills!C26=1,60+Inputs!$B$25+(Inputs!$B$29+1),IF(Skills!C26=2,90+Inputs!$B$26+(Inputs!$B$29+1),IF(Skills!C26=3,120+Inputs!$B$27+(Inputs!$B$29+1),MAX(0,(Inputs!$B$3-100)*3)+Inputs!$B$28+(Inputs!$B$29+1))))</f>
        <v/>
      </c>
      <c r="E1040">
        <f>INDEX(FactorTable!$B$2:$Y$301, MATCH(ROUND(MIN(300,MAX(1,D1040)),0), FactorTable!$A$2:$A$301,0), Skills!M26+1)</f>
        <v/>
      </c>
      <c r="F1040">
        <f>IF(Skills!N26=TRUE,(Skills!L26/10)*(E1040/1000),Skills!L26/10)+Skills!O26</f>
        <v/>
      </c>
      <c r="G1040">
        <f>Calc!G26</f>
        <v/>
      </c>
      <c r="H1040">
        <f>Calc!H26</f>
        <v/>
      </c>
      <c r="I1040">
        <f>IF(Skills!AA26&lt;&gt;"",1+(Skills!AA26/10)*(U1017/1000)/100,1)</f>
        <v/>
      </c>
      <c r="J1040" t="inlineStr"/>
      <c r="K1040" t="inlineStr"/>
      <c r="L1040" t="inlineStr"/>
      <c r="M1040" t="inlineStr"/>
      <c r="N1040" t="inlineStr"/>
      <c r="O1040">
        <f>(1-Summary!$B$55)*T1040+Summary!$B$55*V1040</f>
        <v/>
      </c>
      <c r="P1040">
        <f>IF(B1058=0,0,O1040/B1058)</f>
        <v/>
      </c>
      <c r="Q1040" t="n">
        <v>0</v>
      </c>
      <c r="R1040" t="n">
        <v>0</v>
      </c>
      <c r="S1040">
        <f>IFERROR(O1040/N1040,0)</f>
        <v/>
      </c>
      <c r="T1040" t="n">
        <v>0</v>
      </c>
      <c r="V1040" t="n">
        <v>0</v>
      </c>
    </row>
    <row r="1041">
      <c r="A1041">
        <f>Skills!A27</f>
        <v/>
      </c>
      <c r="B1041">
        <f>Skills!B27</f>
        <v/>
      </c>
      <c r="C1041">
        <f>Inputs!$B$3&gt;=72</f>
        <v/>
      </c>
      <c r="D1041">
        <f>IF(Skills!C27=1,60+Inputs!$B$25+(Inputs!$B$29+1),IF(Skills!C27=2,90+Inputs!$B$26+(Inputs!$B$29+1),IF(Skills!C27=3,120+Inputs!$B$27+(Inputs!$B$29+1),MAX(0,(Inputs!$B$3-100)*3)+Inputs!$B$28+(Inputs!$B$29+1))))</f>
        <v/>
      </c>
      <c r="E1041">
        <f>INDEX(FactorTable!$B$2:$Y$301, MATCH(ROUND(MIN(300,MAX(1,D1041)),0), FactorTable!$A$2:$A$301,0), Skills!M27+1)</f>
        <v/>
      </c>
      <c r="F1041">
        <f>IF(Skills!N27=TRUE,(Skills!L27/10)*(E1041/1000),Skills!L27/10)+Skills!O27</f>
        <v/>
      </c>
      <c r="G1041">
        <f>Calc!G27</f>
        <v/>
      </c>
      <c r="H1041">
        <f>Calc!H27</f>
        <v/>
      </c>
      <c r="I1041">
        <f>IF(Skills!AA27&lt;&gt;"",1+(Skills!AA27/10)*(U1017/1000)/100,1)</f>
        <v/>
      </c>
      <c r="J1041" t="inlineStr"/>
      <c r="K1041" t="inlineStr"/>
      <c r="L1041" t="inlineStr"/>
      <c r="M1041" t="inlineStr"/>
      <c r="N1041" t="inlineStr"/>
      <c r="O1041">
        <f>(1-Summary!$B$55)*T1041+Summary!$B$55*V1041</f>
        <v/>
      </c>
      <c r="P1041">
        <f>IF(B1058=0,0,O1041/B1058)</f>
        <v/>
      </c>
      <c r="Q1041" t="n">
        <v>0</v>
      </c>
      <c r="R1041" t="n">
        <v>0</v>
      </c>
      <c r="S1041">
        <f>IFERROR(O1041/N1041,0)</f>
        <v/>
      </c>
      <c r="T1041" t="n">
        <v>0</v>
      </c>
      <c r="V1041" t="n">
        <v>0</v>
      </c>
    </row>
    <row r="1042">
      <c r="A1042">
        <f>Skills!A28</f>
        <v/>
      </c>
      <c r="B1042">
        <f>Skills!B28</f>
        <v/>
      </c>
      <c r="C1042">
        <f>Inputs!$B$3&gt;=75</f>
        <v/>
      </c>
      <c r="D1042">
        <f>IF(Skills!C28=1,60+Inputs!$B$25+(Inputs!$B$29+1),IF(Skills!C28=2,90+Inputs!$B$26+(Inputs!$B$29+1),IF(Skills!C28=3,120+Inputs!$B$27+(Inputs!$B$29+1),MAX(0,(Inputs!$B$3-100)*3)+Inputs!$B$28+(Inputs!$B$29+1))))</f>
        <v/>
      </c>
      <c r="E1042">
        <f>INDEX(FactorTable!$B$2:$Y$301, MATCH(ROUND(MIN(300,MAX(1,D1042)),0), FactorTable!$A$2:$A$301,0), Skills!M28+1)</f>
        <v/>
      </c>
      <c r="F1042">
        <f>IF(Skills!N28=TRUE,(Skills!L28/10)*(E1042/1000),Skills!L28/10)+Skills!O28</f>
        <v/>
      </c>
      <c r="G1042">
        <f>Calc!G28</f>
        <v/>
      </c>
      <c r="H1042">
        <f>Calc!H28</f>
        <v/>
      </c>
      <c r="I1042">
        <f>IF(Skills!AA28&lt;&gt;"",1+(Skills!AA28/10)*(U1017/1000)/100,1)</f>
        <v/>
      </c>
      <c r="J1042" t="inlineStr"/>
      <c r="K1042" t="inlineStr"/>
      <c r="L1042" t="inlineStr"/>
      <c r="M1042" t="inlineStr"/>
      <c r="N1042" t="inlineStr"/>
      <c r="O1042">
        <f>(1-Summary!$B$55)*T1042+Summary!$B$55*V1042</f>
        <v/>
      </c>
      <c r="P1042">
        <f>IF(B1058=0,0,O1042/B1058)</f>
        <v/>
      </c>
      <c r="Q1042" t="n">
        <v>0</v>
      </c>
      <c r="R1042" t="n">
        <v>0</v>
      </c>
      <c r="S1042">
        <f>IFERROR(O1042/N1042,0)</f>
        <v/>
      </c>
      <c r="T1042" t="n">
        <v>0</v>
      </c>
      <c r="V1042" t="n">
        <v>0</v>
      </c>
    </row>
    <row r="1043">
      <c r="A1043">
        <f>Skills!A29</f>
        <v/>
      </c>
      <c r="B1043">
        <f>Skills!B29</f>
        <v/>
      </c>
      <c r="C1043">
        <f>Inputs!$B$3&gt;=120</f>
        <v/>
      </c>
      <c r="D1043">
        <f>IF(Skills!C29=1,60+Inputs!$B$25+(Inputs!$B$29+1),IF(Skills!C29=2,90+Inputs!$B$26+(Inputs!$B$29+1),IF(Skills!C29=3,120+Inputs!$B$27+(Inputs!$B$29+1),MAX(0,(Inputs!$B$3-100)*3)+Inputs!$B$28+(Inputs!$B$29+1))))</f>
        <v/>
      </c>
      <c r="E1043">
        <f>INDEX(FactorTable!$B$2:$Y$301, MATCH(ROUND(MIN(300,MAX(1,D1043)),0), FactorTable!$A$2:$A$301,0), Skills!M29+1)</f>
        <v/>
      </c>
      <c r="F1043">
        <f>IF(Skills!N29=TRUE,(Skills!L29/10)*(E1043/1000),Skills!L29/10)+Skills!O29</f>
        <v/>
      </c>
      <c r="G1043">
        <f>Calc!G29</f>
        <v/>
      </c>
      <c r="H1043">
        <f>Calc!H29</f>
        <v/>
      </c>
      <c r="I1043">
        <f>IF(Skills!AA29&lt;&gt;"",1+(Skills!AA29/10)*(U1017/1000)/100,1)</f>
        <v/>
      </c>
      <c r="J1043" t="inlineStr"/>
      <c r="K1043" t="inlineStr"/>
      <c r="L1043" t="inlineStr"/>
      <c r="M1043" t="inlineStr"/>
      <c r="N1043" t="inlineStr"/>
      <c r="O1043">
        <f>(1-Summary!$B$55)*T1043+Summary!$B$55*V1043</f>
        <v/>
      </c>
      <c r="P1043">
        <f>IF(B1058=0,0,O1043/B1058)</f>
        <v/>
      </c>
      <c r="Q1043" t="n">
        <v>0</v>
      </c>
      <c r="R1043" t="n">
        <v>0</v>
      </c>
      <c r="S1043">
        <f>IFERROR(O1043/N1043,0)</f>
        <v/>
      </c>
      <c r="T1043" t="n">
        <v>0</v>
      </c>
      <c r="V1043" t="n">
        <v>0</v>
      </c>
    </row>
    <row r="1044">
      <c r="A1044">
        <f>Skills!A30</f>
        <v/>
      </c>
      <c r="B1044">
        <f>Skills!B30</f>
        <v/>
      </c>
      <c r="C1044">
        <f>Inputs!$B$3&gt;=125</f>
        <v/>
      </c>
      <c r="D1044">
        <f>IF(Skills!C30=1,60+Inputs!$B$25+(Inputs!$B$29+1),IF(Skills!C30=2,90+Inputs!$B$26+(Inputs!$B$29+1),IF(Skills!C30=3,120+Inputs!$B$27+(Inputs!$B$29+1),MAX(0,(Inputs!$B$3-100)*3)+Inputs!$B$28+(Inputs!$B$29+1))))</f>
        <v/>
      </c>
      <c r="E1044">
        <f>INDEX(FactorTable!$B$2:$Y$301, MATCH(ROUND(MIN(300,MAX(1,D1044)),0), FactorTable!$A$2:$A$301,0), Skills!M30+1)</f>
        <v/>
      </c>
      <c r="F1044">
        <f>IF(Skills!N30=TRUE,(Skills!L30/10)*(E1044/1000),Skills!L30/10)+Skills!O30</f>
        <v/>
      </c>
      <c r="G1044">
        <f>Calc!G30</f>
        <v/>
      </c>
      <c r="H1044">
        <f>Calc!H30</f>
        <v/>
      </c>
      <c r="I1044">
        <f>IF(Skills!AA30&lt;&gt;"",1+(Skills!AA30/10)*(U1017/1000)/100,1)</f>
        <v/>
      </c>
      <c r="J1044" t="inlineStr"/>
      <c r="K1044" t="inlineStr"/>
      <c r="L1044" t="inlineStr"/>
      <c r="M1044" t="inlineStr"/>
      <c r="N1044" t="inlineStr"/>
      <c r="O1044">
        <f>(1-Summary!$B$55)*T1044+Summary!$B$55*V1044</f>
        <v/>
      </c>
      <c r="P1044">
        <f>IF(B1058=0,0,O1044/B1058)</f>
        <v/>
      </c>
      <c r="Q1044" t="n">
        <v>0</v>
      </c>
      <c r="R1044" t="n">
        <v>0</v>
      </c>
      <c r="S1044">
        <f>IFERROR(O1044/N1044,0)</f>
        <v/>
      </c>
      <c r="T1044" t="n">
        <v>0</v>
      </c>
      <c r="V1044" t="n">
        <v>0</v>
      </c>
    </row>
    <row r="1045">
      <c r="A1045">
        <f>Skills!A31</f>
        <v/>
      </c>
      <c r="B1045">
        <f>Skills!B31</f>
        <v/>
      </c>
      <c r="C1045">
        <f>Inputs!$B$3&gt;=107</f>
        <v/>
      </c>
      <c r="D1045">
        <f>IF(Skills!C31=1,60+Inputs!$B$25+(Inputs!$B$29+1),IF(Skills!C31=2,90+Inputs!$B$26+(Inputs!$B$29+1),IF(Skills!C31=3,120+Inputs!$B$27+(Inputs!$B$29+1),MAX(0,(Inputs!$B$3-100)*3)+Inputs!$B$28+(Inputs!$B$29+1))))</f>
        <v/>
      </c>
      <c r="E1045">
        <f>INDEX(FactorTable!$B$2:$Y$301, MATCH(ROUND(MIN(300,MAX(1,D1045)),0), FactorTable!$A$2:$A$301,0), Skills!M31+1)</f>
        <v/>
      </c>
      <c r="F1045">
        <f>IF(Skills!N31=TRUE,(Skills!L31/10)*(E1045/1000),Skills!L31/10)+Skills!O31</f>
        <v/>
      </c>
      <c r="G1045">
        <f>Calc!G31</f>
        <v/>
      </c>
      <c r="H1045">
        <f>Calc!H31</f>
        <v/>
      </c>
      <c r="I1045">
        <f>IF(Skills!AA31&lt;&gt;"",1+(Skills!AA31/10)*(U1017/1000)/100,1)</f>
        <v/>
      </c>
      <c r="J1045" t="inlineStr"/>
      <c r="K1045" t="inlineStr"/>
      <c r="L1045" t="inlineStr"/>
      <c r="M1045" t="inlineStr"/>
      <c r="N1045" t="inlineStr"/>
      <c r="O1045">
        <f>(1-Summary!$B$55)*T1045+Summary!$B$55*V1045</f>
        <v/>
      </c>
      <c r="P1045">
        <f>IF(B1058=0,0,O1045/B1058)</f>
        <v/>
      </c>
      <c r="Q1045" t="n">
        <v>0</v>
      </c>
      <c r="R1045" t="n">
        <v>0</v>
      </c>
      <c r="S1045">
        <f>IFERROR(O1045/N1045,0)</f>
        <v/>
      </c>
      <c r="T1045" t="n">
        <v>0</v>
      </c>
      <c r="V1045" t="n">
        <v>0</v>
      </c>
    </row>
    <row r="1047">
      <c r="A1047" t="inlineStr">
        <is>
          <t>Actions Per Second (pre-Adrenalin)</t>
        </is>
      </c>
      <c r="B1047">
        <f>1+MIN(150,150*(1-(1-(Inputs!$B$11+((C1036=TRUE)*(F1036-Calc!F22)))/150)*(1-((C1033=TRUE)*F1033*IF(AND(Inputs!$B$39&lt;&gt;"pvp",Inputs!$B$44&gt;0),(((R1033-1)*(Skills!Y19*(1+Inputs!$B$34/100))+MIN((Skills!Y19*(1+Inputs!$B$34/100)),MAX(0,Inputs!$B$44-((R1033-1)*Skills!D19))))/Inputs!$B$44),IF(Inputs!$B$39="pvp",MIN((Skills!Y19*(1+Inputs!$B$34/100)),15)/15,(Skills!Y19*(1+Inputs!$B$34/100))/Skills!D19)))/150)))/100</f>
        <v/>
      </c>
    </row>
    <row r="1048">
      <c r="A1048" t="inlineStr">
        <is>
          <t>Alchemic Adrenaline Uptime</t>
        </is>
      </c>
      <c r="B1048">
        <f>(Skills!Y6*(1+Inputs!$B$34/100))/((Skills!Y6*(1+Inputs!$B$34/100))+(5/B1047))</f>
        <v/>
      </c>
    </row>
    <row r="1049">
      <c r="A1049" t="inlineStr">
        <is>
          <t>Attack Speed Buff Bonus %</t>
        </is>
      </c>
      <c r="B1049">
        <f>((C1033=TRUE)*F1033*IF(AND(Inputs!$B$39&lt;&gt;"pvp",Inputs!$B$44&gt;0),(((R1033-1)*(Skills!Y19*(1+Inputs!$B$34/100))+MIN((Skills!Y19*(1+Inputs!$B$34/100)),MAX(0,Inputs!$B$44-((R1033-1)*Skills!D19))))/Inputs!$B$44),IF(Inputs!$B$39="pvp",MIN((Skills!Y19*(1+Inputs!$B$34/100)),15)/15,(Skills!Y19*(1+Inputs!$B$34/100))/Skills!D19)))+((C1021=TRUE)*F1021*B1048)</f>
        <v/>
      </c>
    </row>
    <row r="1050">
      <c r="A1050" t="inlineStr">
        <is>
          <t>Actions Per Second (final)</t>
        </is>
      </c>
      <c r="B1050">
        <f>1+MIN(150,150*(1-(1-(Inputs!$B$11+((C1036=TRUE)*(F1036-Calc!F22)))/150)*(1-B1049/150)))/100</f>
        <v/>
      </c>
    </row>
    <row r="1051">
      <c r="A1051" t="inlineStr">
        <is>
          <t>Skill + Buff Cast Rate</t>
        </is>
      </c>
      <c r="B1051">
        <f>IF(AND(Inputs!$B$39&lt;&gt;"pvp",Inputs!$B$44&gt;0),SUMPRODUCT((Skills!E2:E31=TRUE)*(C1016:C1045=TRUE)*R1016:R1045*Skills!F2:F31)/Inputs!$B$44,SUMPRODUCT((Skills!E2:E31=TRUE)*(C1016:C1045=TRUE)*Q1016:Q1045*Skills!F2:F31))</f>
        <v/>
      </c>
    </row>
    <row r="1052">
      <c r="A1052" t="inlineStr">
        <is>
          <t>Showdown Casts Per Second</t>
        </is>
      </c>
      <c r="B1052">
        <f>MAX(0,B1050-B1051)</f>
        <v/>
      </c>
    </row>
    <row r="1053">
      <c r="A1053" t="inlineStr">
        <is>
          <t>Average Buff Multiplier</t>
        </is>
      </c>
      <c r="B1053">
        <f>(1+(((C1035=TRUE)*F1035*IF(AND(Inputs!$B$39&lt;&gt;"pvp",Inputs!$B$44&gt;0),(((R1035-1)*(Skills!Y21*(1+Inputs!$B$34/100))+MIN((Skills!Y21*(1+Inputs!$B$34/100)),MAX(0,Inputs!$B$44-((R1035-1)*Skills!D21))))/Inputs!$B$44),IF(Inputs!$B$39="pvp",MIN((Skills!Y21*(1+Inputs!$B$34/100)),15)/15,(Skills!Y21*(1+Inputs!$B$34/100))/Skills!D21)))+((C1042=TRUE)*(F1042-Calc!F28))+((C1032=TRUE)*(F1032-Calc!F18)))/100)*(1+((C1029=TRUE)*F1029*IF(AND(Inputs!$B$39&lt;&gt;"pvp",Inputs!$B$44&gt;0),(((R1029-1)*(Skills!Y15*(1+Inputs!$B$34/100))+MIN((Skills!Y15*(1+Inputs!$B$34/100)),MAX(0,Inputs!$B$44-((R1029-1)*Skills!D15))))/Inputs!$B$44),IF(Inputs!$B$39="pvp",MIN((Skills!Y15*(1+Inputs!$B$34/100)),15)/15,(Skills!Y15*(1+Inputs!$B$34/100))/Skills!D15)))/100)*(1+((C1020=TRUE)*F1020*B1048)/100)</f>
        <v/>
      </c>
    </row>
    <row r="1054">
      <c r="A1054" t="inlineStr">
        <is>
          <t>Global Crit Rate Bonus %</t>
        </is>
      </c>
      <c r="B1054">
        <f>IF(Inputs!$B$3&gt;=47,8,0)+((C1034=TRUE)*F1034*IF(AND(Inputs!$B$39&lt;&gt;"pvp",Inputs!$B$44&gt;0),(((R1034-1)*(Skills!Y20*(1+Inputs!$B$34/100))+MIN((Skills!Y20*(1+Inputs!$B$34/100)),MAX(0,Inputs!$B$44-((R1034-1)*Skills!D20))))/Inputs!$B$44),IF(Inputs!$B$39="pvp",MIN((Skills!Y20*(1+Inputs!$B$34/100)),15)/15,(Skills!Y20*(1+Inputs!$B$34/100))/Skills!D20)))</f>
        <v/>
      </c>
    </row>
    <row r="1055">
      <c r="A1055" t="inlineStr">
        <is>
          <t>Global Monster Damage-Taken Bonus %</t>
        </is>
      </c>
      <c r="B1055">
        <f>IF(Inputs!$B$3&gt;=82,15,0)+((C1030=TRUE)*F1030*IF(AND(Inputs!$B$39&lt;&gt;"pvp",Inputs!$B$44&gt;0),(((R1030-1)*(Skills!Y16*(1+Inputs!$B$34/100))+MIN((Skills!Y16*(1+Inputs!$B$34/100)),MAX(0,Inputs!$B$44-((R1030-1)*Skills!D16))))/Inputs!$B$44),IF(Inputs!$B$39="pvp",MIN((Skills!Y16*(1+Inputs!$B$34/100)),15)/15,(Skills!Y16*(1+Inputs!$B$34/100))/Skills!D16)))</f>
        <v/>
      </c>
    </row>
    <row r="1056">
      <c r="A1056" t="inlineStr">
        <is>
          <t>Shadow Partner Average Multiplier</t>
        </is>
      </c>
      <c r="B1056">
        <f>1+((C1025=TRUE)*F1025*I1025*Skills!J11/100)/100</f>
        <v/>
      </c>
    </row>
    <row r="1057">
      <c r="A1057" t="inlineStr">
        <is>
          <t>Global Critical Damage Bonus % (Frailty Curse Mastery Lv.111)</t>
        </is>
      </c>
      <c r="B1057">
        <f>IF(Inputs!$B$3&gt;=111,30,0)*IF(AND(Inputs!$B$39&lt;&gt;"pvp",Inputs!$B$44&gt;0),(((R1030-1)*(Skills!Y16*(1+Inputs!$B$34/100))+MIN((Skills!Y16*(1+Inputs!$B$34/100)),MAX(0,Inputs!$B$44-((R1030-1)*Skills!D16))))/Inputs!$B$44),IF(Inputs!$B$39="pvp",MIN((Skills!Y16*(1+Inputs!$B$34/100)),15)/15,(Skills!Y16*(1+Inputs!$B$34/100))/Skills!D16))</f>
        <v/>
      </c>
    </row>
    <row r="1058">
      <c r="A1058" s="5" t="inlineStr">
        <is>
          <t>TOTAL DPS</t>
        </is>
      </c>
      <c r="B1058" s="5">
        <f>SUM(O1016:O1045)</f>
        <v/>
      </c>
    </row>
    <row r="1059">
      <c r="A1059" t="inlineStr">
        <is>
          <t>Buff-Casting Startup Delay (s, fixed-duration only)</t>
        </is>
      </c>
      <c r="B1059">
        <f>IF(AND(Inputs!$B$39&lt;&gt;"pvp",Inputs!$B$44&gt;0),SUMPRODUCT((Skills!Y2:Y31&gt;0)*(Skills!E2:E31=TRUE)*(C1016:C1045=TRUE))/B1050,0)</f>
        <v/>
      </c>
    </row>
    <row r="1060">
      <c r="A1060" t="inlineStr">
        <is>
          <t>Boss-Only Total DPS (this block's swept value)</t>
        </is>
      </c>
      <c r="B1060">
        <f>SUM(T1016:T1045)</f>
        <v/>
      </c>
    </row>
    <row r="1061">
      <c r="A1061" t="inlineStr">
        <is>
          <t>Normal-Only Total DPS (this block's swept value)</t>
        </is>
      </c>
      <c r="B1061">
        <f>SUM(V1016:V1045)</f>
        <v/>
      </c>
    </row>
    <row r="1063">
      <c r="A1063" s="5" t="inlineStr">
        <is>
          <t>Stat: Flat ATTACK</t>
        </is>
      </c>
    </row>
    <row r="1064">
      <c r="A1064" s="9" t="inlineStr">
        <is>
          <t>Key</t>
        </is>
      </c>
      <c r="B1064" s="9" t="inlineStr">
        <is>
          <t>Name</t>
        </is>
      </c>
      <c r="C1064" s="9" t="inlineStr">
        <is>
          <t>Unlocked</t>
        </is>
      </c>
      <c r="D1064" s="9" t="inlineStr">
        <is>
          <t>InputLevel</t>
        </is>
      </c>
      <c r="E1064" s="9" t="inlineStr">
        <is>
          <t>Factor</t>
        </is>
      </c>
      <c r="F1064" s="9" t="inlineStr">
        <is>
          <t>CoefficientPercent</t>
        </is>
      </c>
      <c r="G1064" s="9" t="inlineStr">
        <is>
          <t>EffectiveHits</t>
        </is>
      </c>
      <c r="H1064" s="9" t="inlineStr">
        <is>
          <t>ProcProbability</t>
        </is>
      </c>
      <c r="I1064" s="9" t="inlineStr">
        <is>
          <t>MapleHeroMultiplier</t>
        </is>
      </c>
      <c r="J1064" s="9" t="inlineStr">
        <is>
          <t>BaseDamage</t>
        </is>
      </c>
      <c r="K1064" s="9" t="inlineStr">
        <is>
          <t>BaseHitDamage</t>
        </is>
      </c>
      <c r="L1064" s="9" t="inlineStr">
        <is>
          <t>NonCritAvg</t>
        </is>
      </c>
      <c r="M1064" s="9" t="inlineStr">
        <is>
          <t>CritAvg</t>
        </is>
      </c>
      <c r="N1064" s="9" t="inlineStr">
        <is>
          <t>ExpectedDamage(perHit)</t>
        </is>
      </c>
      <c r="O1064" s="9" t="inlineStr">
        <is>
          <t>DPS</t>
        </is>
      </c>
      <c r="P1064" s="9" t="inlineStr">
        <is>
          <t>% of Total</t>
        </is>
      </c>
      <c r="Q1064" s="9" t="inlineStr">
        <is>
          <t>InvCooldown</t>
        </is>
      </c>
      <c r="R1064" s="9" t="inlineStr">
        <is>
          <t>CastsInFight</t>
        </is>
      </c>
      <c r="S1064" s="9" t="inlineStr">
        <is>
          <t>HitRate(perSec)</t>
        </is>
      </c>
      <c r="U1064" t="inlineStr">
        <is>
          <t>helpers</t>
        </is>
      </c>
    </row>
    <row r="1065">
      <c r="A1065">
        <f>Skills!A2</f>
        <v/>
      </c>
      <c r="B1065">
        <f>Skills!B2</f>
        <v/>
      </c>
      <c r="C1065">
        <f>Inputs!$B$3&gt;=100</f>
        <v/>
      </c>
      <c r="D1065" t="inlineStr"/>
      <c r="E1065" t="inlineStr"/>
      <c r="F1065">
        <f>U1069+Skills!O2</f>
        <v/>
      </c>
      <c r="G1065">
        <f>Calc!G2</f>
        <v/>
      </c>
      <c r="H1065">
        <f>Calc!H2</f>
        <v/>
      </c>
      <c r="I1065">
        <f>IF(Skills!AA2&lt;&gt;"",1+(Skills!AA2/10)*(U1066/1000)/100,1)</f>
        <v/>
      </c>
      <c r="J1065">
        <f>(((Inputs!$B$6+1)*(1+Inputs!$B$7/100))+(((Inputs!$B$12*(1+Inputs!$B$13/100))-(Inputs!$B$12*(1+Inputs!$B$13/100)))+0.25*(Inputs!$B$14-Inputs!$B$14))*(1+Inputs!$B$7/100))*(F1065/100)</f>
        <v/>
      </c>
      <c r="K1065">
        <f>J1065*(1+((Inputs!$B$12*(1+Inputs!$B$13/100))*0.01+Inputs!$B$14*0.0025)/100)*(1+Inputs!$B$15/100)*(1+Inputs!$B$16/100)*(5000/(6000+Inputs!$B$43*(1-Inputs!$B$19/100)))*(1+(Inputs!$B$24+((C1093=TRUE)*(F1093-Calc!F30)))/100)*(1+Skills!R2/100)*(1+(IF(Skills!A2="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1065)</f>
        <v/>
      </c>
      <c r="L1065">
        <f>K1065*(MIN(Inputs!$B$22+((C1087=TRUE)*(F1087-Calc!F24)),Inputs!$B$23)/100+Inputs!$B$23/100)/2</f>
        <v/>
      </c>
      <c r="M1065">
        <f>L1065*(1+(Inputs!$B$10+((C1089=TRUE)*(F1089-Calc!F26))+B1106)/100)</f>
        <v/>
      </c>
      <c r="N1065">
        <f>L1065*(1-MIN((Inputs!$B$9+((C1088=TRUE)*(F1088-Calc!F25))+B1103),100)/100)+M1065*(MIN((Inputs!$B$9+((C1088=TRUE)*(F1088-Calc!F25))+B1103),100)/100)</f>
        <v/>
      </c>
      <c r="O1065">
        <f>(1-Summary!$B$55)*T1065+Summary!$B$55*V1065</f>
        <v/>
      </c>
      <c r="P1065">
        <f>IF(B1107=0,0,O1065/B1107)</f>
        <v/>
      </c>
      <c r="Q1065" t="n">
        <v>0</v>
      </c>
      <c r="R1065" t="n">
        <v>0</v>
      </c>
      <c r="S1065">
        <f>IFERROR(O1065/N1065,0)</f>
        <v/>
      </c>
      <c r="T1065">
        <f>IF(C1065,(Skills!G2*N1065*B1101)*IF(Inputs!$B$39="pvp",1,1+(Inputs!$B$20+((C1090=TRUE)*(F1090-Calc!F27))+Skills!P2+B1104)/100),0)</f>
        <v/>
      </c>
      <c r="U1065">
        <f>MAX(0,(Inputs!$B$3-100)*3)+Inputs!$B$28+Inputs!$B$29</f>
        <v/>
      </c>
      <c r="V1065">
        <f>IF(C1065,(Skills!G2*N1065*B1101)*IF(Inputs!$B$39="pvp",1,(1+(Inputs!$B$21+Skills!Q2+B1104)/100)*(MIN((6+Inputs!$B$33),Inputs!$B$37))),0)</f>
        <v/>
      </c>
    </row>
    <row r="1066">
      <c r="A1066">
        <f>Skills!A3</f>
        <v/>
      </c>
      <c r="B1066">
        <f>Skills!B3</f>
        <v/>
      </c>
      <c r="C1066">
        <f>Inputs!$B$3&gt;=35</f>
        <v/>
      </c>
      <c r="D1066">
        <f>IF(Skills!C3=1,60+Inputs!$B$25+Inputs!$B$29,IF(Skills!C3=2,90+Inputs!$B$26+Inputs!$B$29,IF(Skills!C3=3,120+Inputs!$B$27+Inputs!$B$29,MAX(0,(Inputs!$B$3-100)*3)+Inputs!$B$28+Inputs!$B$29)))</f>
        <v/>
      </c>
      <c r="E1066">
        <f>INDEX(FactorTable!$B$2:$Y$301, MATCH(ROUND(MIN(300,MAX(1,D1066)),0), FactorTable!$A$2:$A$301,0), Skills!M3+1)</f>
        <v/>
      </c>
      <c r="F1066">
        <f>IF(Skills!N3=TRUE,(Skills!L3/10)*(E1066/1000),Skills!L3/10)+Skills!O3</f>
        <v/>
      </c>
      <c r="G1066">
        <f>Calc!G3</f>
        <v/>
      </c>
      <c r="H1066">
        <f>Calc!H3</f>
        <v/>
      </c>
      <c r="I1066">
        <f>IF(Skills!AA3&lt;&gt;"",1+(Skills!AA3/10)*(U1066/1000)/100,1)</f>
        <v/>
      </c>
      <c r="J1066">
        <f>(((Inputs!$B$6+1)*(1+Inputs!$B$7/100))+(((Inputs!$B$12*(1+Inputs!$B$13/100))-(Inputs!$B$12*(1+Inputs!$B$13/100)))+0.25*(Inputs!$B$14-Inputs!$B$14))*(1+Inputs!$B$7/100))*(F1066/100)</f>
        <v/>
      </c>
      <c r="K1066">
        <f>J1066*(1+((Inputs!$B$12*(1+Inputs!$B$13/100))*0.01+Inputs!$B$14*0.0025)/100)*(1+Inputs!$B$15/100)*(1+Inputs!$B$16/100)*(5000/(6000+Inputs!$B$43*(1-Inputs!$B$19/100)))*(1+(Inputs!$B$24+((C1093=TRUE)*(F1093-Calc!F30)))/100)*(1+Skills!R3/100)*(1+(IF(Skills!A3="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1066)</f>
        <v/>
      </c>
      <c r="L1066">
        <f>K1066*(MIN(Inputs!$B$22+((C1087=TRUE)*(F1087-Calc!F24)),Inputs!$B$23)/100+Inputs!$B$23/100)/2</f>
        <v/>
      </c>
      <c r="M1066">
        <f>L1066*(1+(Inputs!$B$10+((C1089=TRUE)*(F1089-Calc!F26))+B1106)/100)</f>
        <v/>
      </c>
      <c r="N1066">
        <f>L1066*(1-MIN((Inputs!$B$9+((C1088=TRUE)*(F1088-Calc!F25))+B1103),100)/100)+M1066*(MIN((Inputs!$B$9+((C1088=TRUE)*(F1088-Calc!F25))+B1103),100)/100)</f>
        <v/>
      </c>
      <c r="O1066">
        <f>(1-Summary!$B$55)*T1066+Summary!$B$55*V1066</f>
        <v/>
      </c>
      <c r="P1066">
        <f>IF(B1107=0,0,O1066/B1107)</f>
        <v/>
      </c>
      <c r="Q1066">
        <f>IFERROR(1/IF(Inputs!$B$39="pvp",15,MAX(0.1,Skills!D3-IF(Skills!E3=TRUE,Inputs!$B$32,0))),0)</f>
        <v/>
      </c>
      <c r="R1066">
        <f>IF(AND(Inputs!$B$39&lt;&gt;"pvp",Inputs!$B$44&gt;0),IF(MAX(0,Inputs!$B$44-B1108)&lt;=0,0,(INT(MAX(0,Inputs!$B$44-B1108)/IF(Inputs!$B$39="pvp",15,MAX(0.1,Skills!D3-IF(Skills!E3=TRUE,Inputs!$B$32,0))))+1)),0)</f>
        <v/>
      </c>
      <c r="S1066">
        <f>IFERROR(O1066/N1066,0)</f>
        <v/>
      </c>
      <c r="T1066">
        <f>IF(C1066,(H1066*N1066*IF(AND(Inputs!$B$39&lt;&gt;"pvp",Inputs!$B$44&gt;0),((Skills!G3*((R1066-1)*IF(Skills!H3&gt;0,Skills!I3/Skills!H3,1)+IF(Skills!H3&gt;0,MIN(Skills!I3,MAX(0,MAX(0,Inputs!$B$44-B1108)-((R1066-1)*IF(Inputs!$B$39="pvp",15,MAX(0.1,Skills!D3-IF(Skills!E3=TRUE,Inputs!$B$32,0))))))/Skills!H3,1)))/Inputs!$B$44),G1066*Q1066))*IF(Inputs!$B$39="pvp",1,1+(Inputs!$B$20+((C1090=TRUE)*(F1090-Calc!F27))+Skills!P3+B1104)/100),0)</f>
        <v/>
      </c>
      <c r="U1066">
        <f>INDEX(FactorTable!$B$2:$Y$301, MATCH(ROUND(MIN(300,MAX(1,U1065)),0), FactorTable!$A$2:$A$301,0), 24)</f>
        <v/>
      </c>
      <c r="V1066">
        <f>IF(C1066,(H1066*N1066*IF(AND(Inputs!$B$39&lt;&gt;"pvp",Inputs!$B$44&gt;0),((Skills!G3*((R1066-1)*IF(Skills!H3&gt;0,Skills!I3/Skills!H3,1)+IF(Skills!H3&gt;0,MIN(Skills!I3,MAX(0,MAX(0,Inputs!$B$44-B1108)-((R1066-1)*IF(Inputs!$B$39="pvp",15,MAX(0.1,Skills!D3-IF(Skills!E3=TRUE,Inputs!$B$32,0))))))/Skills!H3,1)))/Inputs!$B$44),G1066*Q1066))*IF(Inputs!$B$39="pvp",1,(1+(Inputs!$B$21+Skills!Q3+B1104)/100)*(MIN(Skills!W3,Inputs!$B$37))),0)</f>
        <v/>
      </c>
    </row>
    <row r="1067">
      <c r="A1067">
        <f>Skills!A4</f>
        <v/>
      </c>
      <c r="B1067">
        <f>Skills!B4</f>
        <v/>
      </c>
      <c r="C1067">
        <f>Inputs!$B$3&gt;=40</f>
        <v/>
      </c>
      <c r="D1067">
        <f>IF(Skills!C4=1,60+Inputs!$B$25+Inputs!$B$29,IF(Skills!C4=2,90+Inputs!$B$26+Inputs!$B$29,IF(Skills!C4=3,120+Inputs!$B$27+Inputs!$B$29,MAX(0,(Inputs!$B$3-100)*3)+Inputs!$B$28+Inputs!$B$29)))</f>
        <v/>
      </c>
      <c r="E1067">
        <f>INDEX(FactorTable!$B$2:$Y$301, MATCH(ROUND(MIN(300,MAX(1,D1067)),0), FactorTable!$A$2:$A$301,0), Skills!M4+1)</f>
        <v/>
      </c>
      <c r="F1067">
        <f>IF(Skills!N4=TRUE,(Skills!L4/10)*(E1067/1000),Skills!L4/10)+Skills!O4</f>
        <v/>
      </c>
      <c r="G1067">
        <f>Calc!G4</f>
        <v/>
      </c>
      <c r="H1067">
        <f>Calc!H4</f>
        <v/>
      </c>
      <c r="I1067">
        <f>IF(Skills!AA4&lt;&gt;"",1+(Skills!AA4/10)*(U1066/1000)/100,1)</f>
        <v/>
      </c>
      <c r="J1067">
        <f>(((Inputs!$B$6+1)*(1+Inputs!$B$7/100))+(((Inputs!$B$12*(1+Inputs!$B$13/100))-(Inputs!$B$12*(1+Inputs!$B$13/100)))+0.25*(Inputs!$B$14-Inputs!$B$14))*(1+Inputs!$B$7/100))*(F1067/100)</f>
        <v/>
      </c>
      <c r="K1067">
        <f>J1067*(1+((Inputs!$B$12*(1+Inputs!$B$13/100))*0.01+Inputs!$B$14*0.0025)/100)*(1+Inputs!$B$15/100)*(1+Inputs!$B$16/100)*(5000/(6000+Inputs!$B$43*(1-Inputs!$B$19/100)))*(1+(Inputs!$B$24+((C1093=TRUE)*(F1093-Calc!F30)))/100)*(1+Skills!R4/100)*(1+(IF(Skills!A4="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1067)</f>
        <v/>
      </c>
      <c r="L1067">
        <f>K1067*(MIN(Inputs!$B$22+((C1087=TRUE)*(F1087-Calc!F24)),Inputs!$B$23)/100+Inputs!$B$23/100)/2</f>
        <v/>
      </c>
      <c r="M1067">
        <f>L1067*(1+(Inputs!$B$10+((C1089=TRUE)*(F1089-Calc!F26))+B1106)/100)</f>
        <v/>
      </c>
      <c r="N1067">
        <f>L1067*(1-MIN((Inputs!$B$9+((C1088=TRUE)*(F1088-Calc!F25))+B1103),100)/100)+M1067*(MIN((Inputs!$B$9+((C1088=TRUE)*(F1088-Calc!F25))+B1103),100)/100)</f>
        <v/>
      </c>
      <c r="O1067">
        <f>(1-Summary!$B$55)*T1067+Summary!$B$55*V1067</f>
        <v/>
      </c>
      <c r="P1067">
        <f>IF(B1107=0,0,O1067/B1107)</f>
        <v/>
      </c>
      <c r="Q1067">
        <f>IFERROR(1/IF(Inputs!$B$39="pvp",15,MAX(0.1,Skills!D4-IF(Skills!E4=TRUE,Inputs!$B$32,0))),0)</f>
        <v/>
      </c>
      <c r="R1067">
        <f>IF(AND(Inputs!$B$39&lt;&gt;"pvp",Inputs!$B$44&gt;0),IF(MAX(0,Inputs!$B$44-B1108)&lt;=0,0,(INT(MAX(0,Inputs!$B$44-B1108)/IF(Inputs!$B$39="pvp",15,MAX(0.1,Skills!D4-IF(Skills!E4=TRUE,Inputs!$B$32,0))))+1)),0)</f>
        <v/>
      </c>
      <c r="S1067">
        <f>IFERROR(O1067/N1067,0)</f>
        <v/>
      </c>
      <c r="T1067">
        <f>IF(C1067,(H1067*N1067*IF(AND(Inputs!$B$39&lt;&gt;"pvp",Inputs!$B$44&gt;0),((Skills!G4*((R1067-1)*IF(Skills!H4&gt;0,Skills!I4/Skills!H4,1)+IF(Skills!H4&gt;0,MIN(Skills!I4,MAX(0,MAX(0,Inputs!$B$44-B1108)-((R1067-1)*IF(Inputs!$B$39="pvp",15,MAX(0.1,Skills!D4-IF(Skills!E4=TRUE,Inputs!$B$32,0))))))/Skills!H4,1)))/Inputs!$B$44),G1067*Q1067))*IF(Inputs!$B$39="pvp",1,1+(Inputs!$B$20+((C1090=TRUE)*(F1090-Calc!F27))+Skills!P4+B1104)/100),0)</f>
        <v/>
      </c>
      <c r="U1067">
        <f>MAX(0,(Inputs!$B$3-100)*3)+Inputs!$B$28+Inputs!$B$29</f>
        <v/>
      </c>
      <c r="V1067">
        <f>IF(C1067,(H1067*N1067*IF(AND(Inputs!$B$39&lt;&gt;"pvp",Inputs!$B$44&gt;0),((Skills!G4*((R1067-1)*IF(Skills!H4&gt;0,Skills!I4/Skills!H4,1)+IF(Skills!H4&gt;0,MIN(Skills!I4,MAX(0,MAX(0,Inputs!$B$44-B1108)-((R1067-1)*IF(Inputs!$B$39="pvp",15,MAX(0.1,Skills!D4-IF(Skills!E4=TRUE,Inputs!$B$32,0))))))/Skills!H4,1)))/Inputs!$B$44),G1067*Q1067))*IF(Inputs!$B$39="pvp",1,(1+(Inputs!$B$21+Skills!Q4+B1104)/100)*(MIN(Skills!W4,Inputs!$B$37))),0)</f>
        <v/>
      </c>
    </row>
    <row r="1068">
      <c r="A1068">
        <f>Skills!A5</f>
        <v/>
      </c>
      <c r="B1068">
        <f>Skills!B5</f>
        <v/>
      </c>
      <c r="C1068">
        <f>Inputs!$B$3&gt;=63</f>
        <v/>
      </c>
      <c r="D1068">
        <f>IF(Skills!C5=1,60+Inputs!$B$25+Inputs!$B$29,IF(Skills!C5=2,90+Inputs!$B$26+Inputs!$B$29,IF(Skills!C5=3,120+Inputs!$B$27+Inputs!$B$29,MAX(0,(Inputs!$B$3-100)*3)+Inputs!$B$28+Inputs!$B$29)))</f>
        <v/>
      </c>
      <c r="E1068">
        <f>INDEX(FactorTable!$B$2:$Y$301, MATCH(ROUND(MIN(300,MAX(1,D1068)),0), FactorTable!$A$2:$A$301,0), Skills!M5+1)</f>
        <v/>
      </c>
      <c r="F1068">
        <f>IF(Skills!N5=TRUE,(Skills!L5/10)*(E1068/1000),Skills!L5/10)+Skills!O5</f>
        <v/>
      </c>
      <c r="G1068">
        <f>Calc!G5</f>
        <v/>
      </c>
      <c r="H1068">
        <f>Calc!H5</f>
        <v/>
      </c>
      <c r="I1068">
        <f>IF(Skills!AA5&lt;&gt;"",1+(Skills!AA5/10)*(U1066/1000)/100,1)</f>
        <v/>
      </c>
      <c r="J1068">
        <f>(((Inputs!$B$6+1)*(1+Inputs!$B$7/100))+(((Inputs!$B$12*(1+Inputs!$B$13/100))-(Inputs!$B$12*(1+Inputs!$B$13/100)))+0.25*(Inputs!$B$14-Inputs!$B$14))*(1+Inputs!$B$7/100))*(F1068/100)</f>
        <v/>
      </c>
      <c r="K1068">
        <f>J1068*(1+((Inputs!$B$12*(1+Inputs!$B$13/100))*0.01+Inputs!$B$14*0.0025)/100)*(1+Inputs!$B$15/100)*(1+Inputs!$B$16/100)*(5000/(6000+Inputs!$B$43*(1-Inputs!$B$19/100)))*(1+(Inputs!$B$24+((C1093=TRUE)*(F1093-Calc!F30)))/100)*(1+Skills!R5/100)*(1+(IF(Skills!A5="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1068)</f>
        <v/>
      </c>
      <c r="L1068">
        <f>K1068*(MIN(Inputs!$B$22+((C1087=TRUE)*(F1087-Calc!F24)),Inputs!$B$23)/100+Inputs!$B$23/100)/2</f>
        <v/>
      </c>
      <c r="M1068">
        <f>L1068*(1+(Inputs!$B$10+((C1089=TRUE)*(F1089-Calc!F26))+B1106)/100)</f>
        <v/>
      </c>
      <c r="N1068">
        <f>L1068*(1-MIN((Inputs!$B$9+((C1088=TRUE)*(F1088-Calc!F25))+B1103),100)/100)+M1068*(MIN((Inputs!$B$9+((C1088=TRUE)*(F1088-Calc!F25))+B1103),100)/100)</f>
        <v/>
      </c>
      <c r="O1068">
        <f>(1-Summary!$B$55)*T1068+Summary!$B$55*V1068</f>
        <v/>
      </c>
      <c r="P1068">
        <f>IF(B1107=0,0,O1068/B1107)</f>
        <v/>
      </c>
      <c r="Q1068">
        <f>IFERROR(1/IF(Inputs!$B$39="pvp",15,MAX(0.1,Skills!D5-IF(Skills!E5=TRUE,Inputs!$B$32,0))),0)</f>
        <v/>
      </c>
      <c r="R1068">
        <f>IF(AND(Inputs!$B$39&lt;&gt;"pvp",Inputs!$B$44&gt;0),IF(MAX(0,Inputs!$B$44-B1108)&lt;=0,0,(INT(MAX(0,Inputs!$B$44-B1108)/IF(Inputs!$B$39="pvp",15,MAX(0.1,Skills!D5-IF(Skills!E5=TRUE,Inputs!$B$32,0))))+1)),0)</f>
        <v/>
      </c>
      <c r="S1068">
        <f>IFERROR(O1068/N1068,0)</f>
        <v/>
      </c>
      <c r="T1068">
        <f>IF(C1068,(H1068*N1068*IF(AND(Inputs!$B$39&lt;&gt;"pvp",Inputs!$B$44&gt;0),((Skills!G5*((R1068-1)*IF(Skills!H5&gt;0,Skills!I5/Skills!H5,1)+IF(Skills!H5&gt;0,MIN(Skills!I5,MAX(0,MAX(0,Inputs!$B$44-B1108)-((R1068-1)*IF(Inputs!$B$39="pvp",15,MAX(0.1,Skills!D5-IF(Skills!E5=TRUE,Inputs!$B$32,0))))))/Skills!H5,1)))/Inputs!$B$44),G1068*Q1068))*IF(Inputs!$B$39="pvp",1,1+(Inputs!$B$20+((C1090=TRUE)*(F1090-Calc!F27))+Skills!P5+B1104)/100),0)</f>
        <v/>
      </c>
      <c r="U1068">
        <f>INDEX(FactorTable!$B$2:$Y$301, MATCH(ROUND(MIN(300,MAX(1,U1067)),0), FactorTable!$A$2:$A$301,0), 22)</f>
        <v/>
      </c>
      <c r="V1068">
        <f>IF(C1068,(H1068*N1068*IF(AND(Inputs!$B$39&lt;&gt;"pvp",Inputs!$B$44&gt;0),((Skills!G5*((R1068-1)*IF(Skills!H5&gt;0,Skills!I5/Skills!H5,1)+IF(Skills!H5&gt;0,MIN(Skills!I5,MAX(0,MAX(0,Inputs!$B$44-B1108)-((R1068-1)*IF(Inputs!$B$39="pvp",15,MAX(0.1,Skills!D5-IF(Skills!E5=TRUE,Inputs!$B$32,0))))))/Skills!H5,1)))/Inputs!$B$44),G1068*Q1068))*IF(Inputs!$B$39="pvp",1,(1+(Inputs!$B$21+Skills!Q5+B1104)/100)*(MIN(Skills!W5,Inputs!$B$37))),0)</f>
        <v/>
      </c>
    </row>
    <row r="1069">
      <c r="A1069">
        <f>Skills!A6</f>
        <v/>
      </c>
      <c r="B1069">
        <f>Skills!B6</f>
        <v/>
      </c>
      <c r="C1069">
        <f>Inputs!$B$3&gt;=66</f>
        <v/>
      </c>
      <c r="D1069">
        <f>IF(Skills!C6=1,60+Inputs!$B$25+Inputs!$B$29,IF(Skills!C6=2,90+Inputs!$B$26+Inputs!$B$29,IF(Skills!C6=3,120+Inputs!$B$27+Inputs!$B$29,MAX(0,(Inputs!$B$3-100)*3)+Inputs!$B$28+Inputs!$B$29)))</f>
        <v/>
      </c>
      <c r="E1069">
        <f>INDEX(FactorTable!$B$2:$Y$301, MATCH(ROUND(MIN(300,MAX(1,D1069)),0), FactorTable!$A$2:$A$301,0), Skills!M6+1)</f>
        <v/>
      </c>
      <c r="F1069">
        <f>IF(Skills!N6=TRUE,(Skills!L6/10)*(E1069/1000),Skills!L6/10)+Skills!O6</f>
        <v/>
      </c>
      <c r="G1069">
        <f>Calc!G6</f>
        <v/>
      </c>
      <c r="H1069">
        <f>Calc!H6</f>
        <v/>
      </c>
      <c r="I1069">
        <f>IF(Skills!AA6&lt;&gt;"",1+(Skills!AA6/10)*(U1066/1000)/100,1)</f>
        <v/>
      </c>
      <c r="J1069" t="inlineStr"/>
      <c r="K1069" t="inlineStr"/>
      <c r="L1069" t="inlineStr"/>
      <c r="M1069" t="inlineStr"/>
      <c r="N1069" t="inlineStr"/>
      <c r="O1069">
        <f>(1-Summary!$B$55)*T1069+Summary!$B$55*V1069</f>
        <v/>
      </c>
      <c r="P1069">
        <f>IF(B1107=0,0,O1069/B1107)</f>
        <v/>
      </c>
      <c r="Q1069" t="n">
        <v>0</v>
      </c>
      <c r="R1069" t="n">
        <v>0</v>
      </c>
      <c r="S1069">
        <f>IFERROR(O1069/N1069,0)</f>
        <v/>
      </c>
      <c r="T1069" t="n">
        <v>0</v>
      </c>
      <c r="U1069">
        <f>290*U1068/1000</f>
        <v/>
      </c>
      <c r="V1069" t="n">
        <v>0</v>
      </c>
    </row>
    <row r="1070">
      <c r="A1070">
        <f>Skills!A7</f>
        <v/>
      </c>
      <c r="B1070">
        <f>Skills!B7</f>
        <v/>
      </c>
      <c r="C1070">
        <f>Inputs!$B$3&gt;=66</f>
        <v/>
      </c>
      <c r="D1070">
        <f>IF(Skills!C7=1,60+Inputs!$B$25+Inputs!$B$29,IF(Skills!C7=2,90+Inputs!$B$26+Inputs!$B$29,IF(Skills!C7=3,120+Inputs!$B$27+Inputs!$B$29,MAX(0,(Inputs!$B$3-100)*3)+Inputs!$B$28+Inputs!$B$29)))</f>
        <v/>
      </c>
      <c r="E1070">
        <f>INDEX(FactorTable!$B$2:$Y$301, MATCH(ROUND(MIN(300,MAX(1,D1070)),0), FactorTable!$A$2:$A$301,0), Skills!M7+1)</f>
        <v/>
      </c>
      <c r="F1070">
        <f>IF(Skills!N7=TRUE,(Skills!L7/10)*(E1070/1000),Skills!L7/10)+Skills!O7</f>
        <v/>
      </c>
      <c r="G1070">
        <f>Calc!G7</f>
        <v/>
      </c>
      <c r="H1070">
        <f>Calc!H7</f>
        <v/>
      </c>
      <c r="I1070">
        <f>IF(Skills!AA7&lt;&gt;"",1+(Skills!AA7/10)*(U1066/1000)/100,1)</f>
        <v/>
      </c>
      <c r="J1070" t="inlineStr"/>
      <c r="K1070" t="inlineStr"/>
      <c r="L1070" t="inlineStr"/>
      <c r="M1070" t="inlineStr"/>
      <c r="N1070" t="inlineStr"/>
      <c r="O1070">
        <f>(1-Summary!$B$55)*T1070+Summary!$B$55*V1070</f>
        <v/>
      </c>
      <c r="P1070">
        <f>IF(B1107=0,0,O1070/B1107)</f>
        <v/>
      </c>
      <c r="Q1070" t="n">
        <v>0</v>
      </c>
      <c r="R1070" t="n">
        <v>0</v>
      </c>
      <c r="S1070">
        <f>IFERROR(O1070/N1070,0)</f>
        <v/>
      </c>
      <c r="T1070" t="n">
        <v>0</v>
      </c>
      <c r="V1070" t="n">
        <v>0</v>
      </c>
    </row>
    <row r="1071">
      <c r="A1071">
        <f>Skills!A8</f>
        <v/>
      </c>
      <c r="B1071">
        <f>Skills!B8</f>
        <v/>
      </c>
      <c r="C1071">
        <f>Inputs!$B$3&gt;=69</f>
        <v/>
      </c>
      <c r="D1071">
        <f>IF(Skills!C8=1,60+Inputs!$B$25+Inputs!$B$29,IF(Skills!C8=2,90+Inputs!$B$26+Inputs!$B$29,IF(Skills!C8=3,120+Inputs!$B$27+Inputs!$B$29,MAX(0,(Inputs!$B$3-100)*3)+Inputs!$B$28+Inputs!$B$29)))</f>
        <v/>
      </c>
      <c r="E1071">
        <f>INDEX(FactorTable!$B$2:$Y$301, MATCH(ROUND(MIN(300,MAX(1,D1071)),0), FactorTable!$A$2:$A$301,0), Skills!M8+1)</f>
        <v/>
      </c>
      <c r="F1071">
        <f>IF(Skills!N8=TRUE,(Skills!L8/10)*(E1071/1000),Skills!L8/10)+Skills!O8</f>
        <v/>
      </c>
      <c r="G1071">
        <f>Calc!G8</f>
        <v/>
      </c>
      <c r="H1071">
        <f>Calc!H8</f>
        <v/>
      </c>
      <c r="I1071">
        <f>IF(Skills!AA8&lt;&gt;"",1+(Skills!AA8/10)*(U1066/1000)/100,1)</f>
        <v/>
      </c>
      <c r="J1071">
        <f>(((Inputs!$B$6+1)*(1+Inputs!$B$7/100))+(((Inputs!$B$12*(1+Inputs!$B$13/100))-(Inputs!$B$12*(1+Inputs!$B$13/100)))+0.25*(Inputs!$B$14-Inputs!$B$14))*(1+Inputs!$B$7/100))*(F1071/100)</f>
        <v/>
      </c>
      <c r="K1071">
        <f>J1071*(1+((Inputs!$B$12*(1+Inputs!$B$13/100))*0.01+Inputs!$B$14*0.0025)/100)*(1+Inputs!$B$15/100)*(1+Inputs!$B$16/100)*(5000/(6000+Inputs!$B$43*(1-Inputs!$B$19/100)))*(1+(Inputs!$B$24+((C1093=TRUE)*(F1093-Calc!F30)))/100)*(1+Skills!R8/100)*(1+(IF(Skills!A8="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1071)</f>
        <v/>
      </c>
      <c r="L1071">
        <f>K1071*(MIN(Inputs!$B$22+((C1087=TRUE)*(F1087-Calc!F24)),Inputs!$B$23)/100+Inputs!$B$23/100)/2</f>
        <v/>
      </c>
      <c r="M1071">
        <f>L1071*(1+(Inputs!$B$10+((C1089=TRUE)*(F1089-Calc!F26))+B1106)/100)</f>
        <v/>
      </c>
      <c r="N1071">
        <f>L1071*(1-MIN((Inputs!$B$9+((C1088=TRUE)*(F1088-Calc!F25))+B1103),100)/100)+M1071*(MIN((Inputs!$B$9+((C1088=TRUE)*(F1088-Calc!F25))+B1103),100)/100)</f>
        <v/>
      </c>
      <c r="O1071">
        <f>(1-Summary!$B$55)*T1071+Summary!$B$55*V1071</f>
        <v/>
      </c>
      <c r="P1071">
        <f>IF(B1107=0,0,O1071/B1107)</f>
        <v/>
      </c>
      <c r="Q1071">
        <f>IFERROR(1/IF(Inputs!$B$39="pvp",15,MAX(0.1,Skills!D8-IF(Skills!E8=TRUE,Inputs!$B$32,0))),0)</f>
        <v/>
      </c>
      <c r="R1071">
        <f>IF(AND(Inputs!$B$39&lt;&gt;"pvp",Inputs!$B$44&gt;0),IF(MAX(0,Inputs!$B$44-B1108)&lt;=0,0,(INT(MAX(0,Inputs!$B$44-B1108)/IF(Inputs!$B$39="pvp",15,MAX(0.1,Skills!D8-IF(Skills!E8=TRUE,Inputs!$B$32,0))))+1)),0)</f>
        <v/>
      </c>
      <c r="S1071">
        <f>IFERROR(O1071/N1071,0)</f>
        <v/>
      </c>
      <c r="T1071">
        <f>IF(C1071,(H1071*N1071*IF(AND(Inputs!$B$39&lt;&gt;"pvp",Inputs!$B$44&gt;0),((Skills!G8*((R1071-1)*IF(Skills!H8&gt;0,Skills!I8/Skills!H8,1)+IF(Skills!H8&gt;0,MIN(Skills!I8,MAX(0,MAX(0,Inputs!$B$44-B1108)-((R1071-1)*IF(Inputs!$B$39="pvp",15,MAX(0.1,Skills!D8-IF(Skills!E8=TRUE,Inputs!$B$32,0))))))/Skills!H8,1)))/Inputs!$B$44),G1071*Q1071))*IF(Inputs!$B$39="pvp",1,1+(Inputs!$B$20+((C1090=TRUE)*(F1090-Calc!F27))+Skills!P8+B1104)/100),0)</f>
        <v/>
      </c>
      <c r="V1071">
        <f>IF(C1071,(H1071*N1071*IF(AND(Inputs!$B$39&lt;&gt;"pvp",Inputs!$B$44&gt;0),((Skills!G8*((R1071-1)*IF(Skills!H8&gt;0,Skills!I8/Skills!H8,1)+IF(Skills!H8&gt;0,MIN(Skills!I8,MAX(0,MAX(0,Inputs!$B$44-B1108)-((R1071-1)*IF(Inputs!$B$39="pvp",15,MAX(0.1,Skills!D8-IF(Skills!E8=TRUE,Inputs!$B$32,0))))))/Skills!H8,1)))/Inputs!$B$44),G1071*Q1071))*IF(Inputs!$B$39="pvp",1,(1+(Inputs!$B$21+Skills!Q8+B1104)/100)*(MIN(Skills!W8,Inputs!$B$37))),0)</f>
        <v/>
      </c>
    </row>
    <row r="1072">
      <c r="A1072">
        <f>Skills!A9</f>
        <v/>
      </c>
      <c r="B1072">
        <f>Skills!B9</f>
        <v/>
      </c>
      <c r="C1072">
        <f>Inputs!$B$3&gt;=72</f>
        <v/>
      </c>
      <c r="D1072">
        <f>IF(Skills!C9=1,60+Inputs!$B$25+Inputs!$B$29,IF(Skills!C9=2,90+Inputs!$B$26+Inputs!$B$29,IF(Skills!C9=3,120+Inputs!$B$27+Inputs!$B$29,MAX(0,(Inputs!$B$3-100)*3)+Inputs!$B$28+Inputs!$B$29)))</f>
        <v/>
      </c>
      <c r="E1072">
        <f>INDEX(FactorTable!$B$2:$Y$301, MATCH(ROUND(MIN(300,MAX(1,D1072)),0), FactorTable!$A$2:$A$301,0), Skills!M9+1)</f>
        <v/>
      </c>
      <c r="F1072">
        <f>IF(Skills!N9=TRUE,(Skills!L9/10)*(E1072/1000),Skills!L9/10)+Skills!O9</f>
        <v/>
      </c>
      <c r="G1072">
        <f>Calc!G9</f>
        <v/>
      </c>
      <c r="H1072">
        <f>Calc!H9</f>
        <v/>
      </c>
      <c r="I1072">
        <f>IF(Skills!AA9&lt;&gt;"",1+(Skills!AA9/10)*(U1066/1000)/100,1)</f>
        <v/>
      </c>
      <c r="J1072">
        <f>(((Inputs!$B$6+1)*(1+Inputs!$B$7/100))+(((Inputs!$B$12*(1+Inputs!$B$13/100))-(Inputs!$B$12*(1+Inputs!$B$13/100)))+0.25*(Inputs!$B$14-Inputs!$B$14))*(1+Inputs!$B$7/100))*(F1072/100)</f>
        <v/>
      </c>
      <c r="K1072">
        <f>J1072*(1+((Inputs!$B$12*(1+Inputs!$B$13/100))*0.01+Inputs!$B$14*0.0025)/100)*(1+Inputs!$B$15/100)*(1+Inputs!$B$16/100)*(5000/(6000+Inputs!$B$43*(1-Inputs!$B$19/100)))*(1+(Inputs!$B$24+((C1093=TRUE)*(F1093-Calc!F30)))/100)*(1+Skills!R9/100)*(1+(IF(Skills!A9="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1072)</f>
        <v/>
      </c>
      <c r="L1072">
        <f>K1072*(MIN(Inputs!$B$22+((C1087=TRUE)*(F1087-Calc!F24)),Inputs!$B$23)/100+Inputs!$B$23/100)/2</f>
        <v/>
      </c>
      <c r="M1072">
        <f>L1072*(1+(Inputs!$B$10+((C1089=TRUE)*(F1089-Calc!F26))+B1106)/100)</f>
        <v/>
      </c>
      <c r="N1072">
        <f>L1072*(1-MIN((Inputs!$B$9+((C1088=TRUE)*(F1088-Calc!F25))+B1103),100)/100)+M1072*(MIN((Inputs!$B$9+((C1088=TRUE)*(F1088-Calc!F25))+B1103),100)/100)</f>
        <v/>
      </c>
      <c r="O1072">
        <f>(1-Summary!$B$55)*T1072+Summary!$B$55*V1072</f>
        <v/>
      </c>
      <c r="P1072">
        <f>IF(B1107=0,0,O1072/B1107)</f>
        <v/>
      </c>
      <c r="Q1072">
        <f>IFERROR(1/IF(Inputs!$B$39="pvp",15,MAX(0.1,Skills!D9-IF(Skills!E9=TRUE,Inputs!$B$32,0))),0)</f>
        <v/>
      </c>
      <c r="R1072">
        <f>IF(AND(Inputs!$B$39&lt;&gt;"pvp",Inputs!$B$44&gt;0),IF(MAX(0,Inputs!$B$44-B1108)&lt;=0,0,(INT(MAX(0,Inputs!$B$44-B1108)/IF(Inputs!$B$39="pvp",15,MAX(0.1,Skills!D9-IF(Skills!E9=TRUE,Inputs!$B$32,0))))+1)),0)</f>
        <v/>
      </c>
      <c r="S1072">
        <f>IFERROR(O1072/N1072,0)</f>
        <v/>
      </c>
      <c r="T1072">
        <f>IF(C1072,(H1072*N1072*IF(AND(Inputs!$B$39&lt;&gt;"pvp",Inputs!$B$44&gt;0),((Skills!G9*((R1072-1)*IF(Skills!H9&gt;0,Skills!I9/Skills!H9,1)+IF(Skills!H9&gt;0,MIN(Skills!I9,MAX(0,MAX(0,Inputs!$B$44-B1108)-((R1072-1)*IF(Inputs!$B$39="pvp",15,MAX(0.1,Skills!D9-IF(Skills!E9=TRUE,Inputs!$B$32,0))))))/Skills!H9,1)))/Inputs!$B$44),G1072*Q1072))*IF(Inputs!$B$39="pvp",1,1+(Inputs!$B$20+((C1090=TRUE)*(F1090-Calc!F27))+Skills!P9+B1104)/100),0)</f>
        <v/>
      </c>
      <c r="V1072">
        <f>IF(C1072,(H1072*N1072*IF(AND(Inputs!$B$39&lt;&gt;"pvp",Inputs!$B$44&gt;0),((Skills!G9*((R1072-1)*IF(Skills!H9&gt;0,Skills!I9/Skills!H9,1)+IF(Skills!H9&gt;0,MIN(Skills!I9,MAX(0,MAX(0,Inputs!$B$44-B1108)-((R1072-1)*IF(Inputs!$B$39="pvp",15,MAX(0.1,Skills!D9-IF(Skills!E9=TRUE,Inputs!$B$32,0))))))/Skills!H9,1)))/Inputs!$B$44),G1072*Q1072))*IF(Inputs!$B$39="pvp",1,(1+(Inputs!$B$21+Skills!Q9+B1104)/100)*(MIN(Skills!W9,Inputs!$B$37))),0)</f>
        <v/>
      </c>
    </row>
    <row r="1073">
      <c r="A1073">
        <f>Skills!A10</f>
        <v/>
      </c>
      <c r="B1073">
        <f>Skills!B10</f>
        <v/>
      </c>
      <c r="C1073">
        <f>Inputs!$B$3&gt;=117</f>
        <v/>
      </c>
      <c r="D1073">
        <f>IF(Skills!C10=1,60+Inputs!$B$25+Inputs!$B$29,IF(Skills!C10=2,90+Inputs!$B$26+Inputs!$B$29,IF(Skills!C10=3,120+Inputs!$B$27+Inputs!$B$29,MAX(0,(Inputs!$B$3-100)*3)+Inputs!$B$28+Inputs!$B$29)))</f>
        <v/>
      </c>
      <c r="E1073">
        <f>INDEX(FactorTable!$B$2:$Y$301, MATCH(ROUND(MIN(300,MAX(1,D1073)),0), FactorTable!$A$2:$A$301,0), Skills!M10+1)</f>
        <v/>
      </c>
      <c r="F1073">
        <f>IF(Skills!N10=TRUE,(Skills!L10/10)*(E1073/1000),Skills!L10/10)+Skills!O10</f>
        <v/>
      </c>
      <c r="G1073">
        <f>Calc!G10</f>
        <v/>
      </c>
      <c r="H1073">
        <f>Calc!H10</f>
        <v/>
      </c>
      <c r="I1073">
        <f>IF(Skills!AA10&lt;&gt;"",1+(Skills!AA10/10)*(U1066/1000)/100,1)</f>
        <v/>
      </c>
      <c r="J1073">
        <f>(((Inputs!$B$6+1)*(1+Inputs!$B$7/100))+(((Inputs!$B$12*(1+Inputs!$B$13/100))-(Inputs!$B$12*(1+Inputs!$B$13/100)))+0.25*(Inputs!$B$14-Inputs!$B$14))*(1+Inputs!$B$7/100))*(F1073/100)</f>
        <v/>
      </c>
      <c r="K1073">
        <f>J1073*(1+((Inputs!$B$12*(1+Inputs!$B$13/100))*0.01+Inputs!$B$14*0.0025)/100)*(1+Inputs!$B$15/100)*(1+Inputs!$B$16/100)*(5000/(6000+Inputs!$B$43*(1-Inputs!$B$19/100)))*(1+(Inputs!$B$24+((C1093=TRUE)*(F1093-Calc!F30)))/100)*(1+Skills!R10/100)*(1+(IF(Skills!A10="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1073)</f>
        <v/>
      </c>
      <c r="L1073">
        <f>K1073*(MIN(Inputs!$B$22+((C1087=TRUE)*(F1087-Calc!F24)),Inputs!$B$23)/100+Inputs!$B$23/100)/2</f>
        <v/>
      </c>
      <c r="M1073">
        <f>L1073*(1+(Inputs!$B$10+((C1089=TRUE)*(F1089-Calc!F26))+B1106)/100)</f>
        <v/>
      </c>
      <c r="N1073">
        <f>L1073*(1-MIN((Inputs!$B$9+((C1088=TRUE)*(F1088-Calc!F25))+B1103),100)/100)+M1073*(MIN((Inputs!$B$9+((C1088=TRUE)*(F1088-Calc!F25))+B1103),100)/100)</f>
        <v/>
      </c>
      <c r="O1073">
        <f>(1-Summary!$B$55)*T1073+Summary!$B$55*V1073</f>
        <v/>
      </c>
      <c r="P1073">
        <f>IF(B1107=0,0,O1073/B1107)</f>
        <v/>
      </c>
      <c r="Q1073" t="n">
        <v>0</v>
      </c>
      <c r="R1073" t="n">
        <v>0</v>
      </c>
      <c r="S1073" t="n">
        <v>0</v>
      </c>
      <c r="T1073">
        <f>IF(C1073,(0.2*SUMPRODUCT((Skills!Z2:Z31=TRUE)*(C1065:C1094=TRUE)*S1065:S1094)*N1073)*IF(Inputs!$B$39="pvp",1,1+(Inputs!$B$20+((C1090=TRUE)*(F1090-Calc!F27))+Skills!P10+B1104)/100),0)</f>
        <v/>
      </c>
      <c r="V1073">
        <f>IF(C1073,(0.2*SUMPRODUCT((Skills!Z2:Z31=TRUE)*(C1065:C1094=TRUE)*S1065:S1094)*N1073)*IF(Inputs!$B$39="pvp",1,(1+(Inputs!$B$21+Skills!Q10+B1104)/100)*(MIN(Skills!W10,Inputs!$B$37))),0)</f>
        <v/>
      </c>
    </row>
    <row r="1074">
      <c r="A1074">
        <f>Skills!A11</f>
        <v/>
      </c>
      <c r="B1074">
        <f>Skills!B11</f>
        <v/>
      </c>
      <c r="C1074">
        <f>Inputs!$B$3&gt;=60</f>
        <v/>
      </c>
      <c r="D1074">
        <f>IF(Skills!C11=1,60+Inputs!$B$25+Inputs!$B$29,IF(Skills!C11=2,90+Inputs!$B$26+Inputs!$B$29,IF(Skills!C11=3,120+Inputs!$B$27+Inputs!$B$29,MAX(0,(Inputs!$B$3-100)*3)+Inputs!$B$28+Inputs!$B$29)))</f>
        <v/>
      </c>
      <c r="E1074">
        <f>INDEX(FactorTable!$B$2:$Y$301, MATCH(ROUND(MIN(300,MAX(1,D1074)),0), FactorTable!$A$2:$A$301,0), Skills!M11+1)</f>
        <v/>
      </c>
      <c r="F1074">
        <f>IF(Skills!N11=TRUE,(Skills!L11/10)*(E1074/1000),Skills!L11/10)+Skills!O11</f>
        <v/>
      </c>
      <c r="G1074">
        <f>Calc!G11</f>
        <v/>
      </c>
      <c r="H1074">
        <f>Calc!H11</f>
        <v/>
      </c>
      <c r="I1074">
        <f>IF(Skills!AA11&lt;&gt;"",1+(Skills!AA11/10)*(U1066/1000)/100,1)</f>
        <v/>
      </c>
      <c r="J1074" t="inlineStr"/>
      <c r="K1074" t="inlineStr"/>
      <c r="L1074" t="inlineStr"/>
      <c r="M1074" t="inlineStr"/>
      <c r="N1074" t="inlineStr"/>
      <c r="O1074">
        <f>(1-Summary!$B$55)*T1074+Summary!$B$55*V1074</f>
        <v/>
      </c>
      <c r="P1074">
        <f>IF(B1107=0,0,O1074/B1107)</f>
        <v/>
      </c>
      <c r="Q1074" t="n">
        <v>0</v>
      </c>
      <c r="R1074" t="n">
        <v>0</v>
      </c>
      <c r="S1074">
        <f>IFERROR(O1074/N1074,0)</f>
        <v/>
      </c>
      <c r="T1074" t="n">
        <v>0</v>
      </c>
      <c r="V1074" t="n">
        <v>0</v>
      </c>
    </row>
    <row r="1075">
      <c r="A1075">
        <f>Skills!A12</f>
        <v/>
      </c>
      <c r="B1075">
        <f>Skills!B12</f>
        <v/>
      </c>
      <c r="C1075">
        <f>Inputs!$B$3&gt;=103</f>
        <v/>
      </c>
      <c r="D1075">
        <f>IF(Skills!C12=1,60+Inputs!$B$25+Inputs!$B$29,IF(Skills!C12=2,90+Inputs!$B$26+Inputs!$B$29,IF(Skills!C12=3,120+Inputs!$B$27+Inputs!$B$29,MAX(0,(Inputs!$B$3-100)*3)+Inputs!$B$28+Inputs!$B$29)))</f>
        <v/>
      </c>
      <c r="E1075">
        <f>INDEX(FactorTable!$B$2:$Y$301, MATCH(ROUND(MIN(300,MAX(1,D1075)),0), FactorTable!$A$2:$A$301,0), Skills!M12+1)</f>
        <v/>
      </c>
      <c r="F1075">
        <f>IF(Skills!N12=TRUE,(Skills!L12/10)*(E1075/1000),Skills!L12/10)+Skills!O12</f>
        <v/>
      </c>
      <c r="G1075">
        <f>Calc!G12</f>
        <v/>
      </c>
      <c r="H1075">
        <f>Calc!H12</f>
        <v/>
      </c>
      <c r="I1075">
        <f>IF(Skills!AA12&lt;&gt;"",1+(Skills!AA12/10)*(U1066/1000)/100,1)</f>
        <v/>
      </c>
      <c r="J1075">
        <f>(((Inputs!$B$6+1)*(1+Inputs!$B$7/100))+(((Inputs!$B$12*(1+Inputs!$B$13/100))-(Inputs!$B$12*(1+Inputs!$B$13/100)))+0.25*(Inputs!$B$14-Inputs!$B$14))*(1+Inputs!$B$7/100))*(F1075/100)</f>
        <v/>
      </c>
      <c r="K1075">
        <f>J1075*(1+((Inputs!$B$12*(1+Inputs!$B$13/100))*0.01+Inputs!$B$14*0.0025)/100)*(1+Inputs!$B$15/100)*(1+Inputs!$B$16/100)*(5000/(6000+Inputs!$B$43*(1-Inputs!$B$19/100)))*(1+(Inputs!$B$24+((C1093=TRUE)*(F1093-Calc!F30)))/100)*(1+Skills!R12/100)*(1+(IF(Skills!A12="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1075)</f>
        <v/>
      </c>
      <c r="L1075">
        <f>K1075*(MIN(Inputs!$B$22+((C1087=TRUE)*(F1087-Calc!F24)),Inputs!$B$23)/100+Inputs!$B$23/100)/2</f>
        <v/>
      </c>
      <c r="M1075">
        <f>L1075*(1+(Inputs!$B$10+((C1089=TRUE)*(F1089-Calc!F26))+B1106)/100)</f>
        <v/>
      </c>
      <c r="N1075">
        <f>L1075*(1-MIN((Inputs!$B$9+((C1088=TRUE)*(F1088-Calc!F25))+B1103),100)/100)+M1075*(MIN((Inputs!$B$9+((C1088=TRUE)*(F1088-Calc!F25))+B1103),100)/100)</f>
        <v/>
      </c>
      <c r="O1075">
        <f>(1-Summary!$B$55)*T1075+Summary!$B$55*V1075</f>
        <v/>
      </c>
      <c r="P1075">
        <f>IF(B1107=0,0,O1075/B1107)</f>
        <v/>
      </c>
      <c r="Q1075">
        <f>IFERROR(1/IF(Inputs!$B$39="pvp",15,MAX(0.1,Skills!D12-IF(Skills!E12=TRUE,Inputs!$B$32,0))),0)</f>
        <v/>
      </c>
      <c r="R1075">
        <f>IF(AND(Inputs!$B$39&lt;&gt;"pvp",Inputs!$B$44&gt;0),IF(MAX(0,Inputs!$B$44-B1108)&lt;=0,0,(INT(MAX(0,Inputs!$B$44-B1108)/IF(Inputs!$B$39="pvp",15,MAX(0.1,Skills!D12-IF(Skills!E12=TRUE,Inputs!$B$32,0))))+1)),0)</f>
        <v/>
      </c>
      <c r="S1075">
        <f>IFERROR(O1075/N1075,0)</f>
        <v/>
      </c>
      <c r="T1075">
        <f>IF(C1075,(H1075*N1075*IF(AND(Inputs!$B$39&lt;&gt;"pvp",Inputs!$B$44&gt;0),((Skills!G12*((R1075-1)*IF(Skills!H12&gt;0,Skills!I12/Skills!H12,1)+IF(Skills!H12&gt;0,MIN(Skills!I12,MAX(0,MAX(0,Inputs!$B$44-B1108)-((R1075-1)*IF(Inputs!$B$39="pvp",15,MAX(0.1,Skills!D12-IF(Skills!E12=TRUE,Inputs!$B$32,0))))))/Skills!H12,1)))/Inputs!$B$44),G1075*Q1075))*IF(Inputs!$B$39="pvp",1,1+(Inputs!$B$20+((C1090=TRUE)*(F1090-Calc!F27))+Skills!P12+B1104)/100),0)</f>
        <v/>
      </c>
      <c r="V1075">
        <f>IF(C1075,(H1075*N1075*IF(AND(Inputs!$B$39&lt;&gt;"pvp",Inputs!$B$44&gt;0),((Skills!G12*((R1075-1)*IF(Skills!H12&gt;0,Skills!I12/Skills!H12,1)+IF(Skills!H12&gt;0,MIN(Skills!I12,MAX(0,MAX(0,Inputs!$B$44-B1108)-((R1075-1)*IF(Inputs!$B$39="pvp",15,MAX(0.1,Skills!D12-IF(Skills!E12=TRUE,Inputs!$B$32,0))))))/Skills!H12,1)))/Inputs!$B$44),G1075*Q1075))*IF(Inputs!$B$39="pvp",1,(1+(Inputs!$B$21+Skills!Q12+B1104)/100)*(MIN(Skills!W12,Inputs!$B$37))),0)</f>
        <v/>
      </c>
    </row>
    <row r="1076">
      <c r="A1076">
        <f>Skills!A13</f>
        <v/>
      </c>
      <c r="B1076">
        <f>Skills!B13</f>
        <v/>
      </c>
      <c r="C1076">
        <f>Inputs!$B$3&gt;=105</f>
        <v/>
      </c>
      <c r="D1076">
        <f>IF(Skills!C13=1,60+Inputs!$B$25+Inputs!$B$29,IF(Skills!C13=2,90+Inputs!$B$26+Inputs!$B$29,IF(Skills!C13=3,120+Inputs!$B$27+Inputs!$B$29,MAX(0,(Inputs!$B$3-100)*3)+Inputs!$B$28+Inputs!$B$29)))</f>
        <v/>
      </c>
      <c r="E1076">
        <f>INDEX(FactorTable!$B$2:$Y$301, MATCH(ROUND(MIN(300,MAX(1,D1076)),0), FactorTable!$A$2:$A$301,0), Skills!M13+1)</f>
        <v/>
      </c>
      <c r="F1076">
        <f>IF(Skills!N13=TRUE,(Skills!L13/10)*(E1076/1000),Skills!L13/10)+Skills!O13</f>
        <v/>
      </c>
      <c r="G1076">
        <f>Calc!G13</f>
        <v/>
      </c>
      <c r="H1076">
        <f>Calc!H13</f>
        <v/>
      </c>
      <c r="I1076">
        <f>IF(Skills!AA13&lt;&gt;"",1+(Skills!AA13/10)*(U1066/1000)/100,1)</f>
        <v/>
      </c>
      <c r="J1076">
        <f>(((Inputs!$B$6+1)*(1+Inputs!$B$7/100))+(((Inputs!$B$12*(1+Inputs!$B$13/100))-(Inputs!$B$12*(1+Inputs!$B$13/100)))+0.25*(Inputs!$B$14-Inputs!$B$14))*(1+Inputs!$B$7/100))*(F1076/100)</f>
        <v/>
      </c>
      <c r="K1076">
        <f>J1076*(1+((Inputs!$B$12*(1+Inputs!$B$13/100))*0.01+Inputs!$B$14*0.0025)/100)*(1+Inputs!$B$15/100)*(1+Inputs!$B$16/100)*(5000/(6000+Inputs!$B$43*(1-Inputs!$B$19/100)))*(1+(Inputs!$B$24+((C1093=TRUE)*(F1093-Calc!F30)))/100)*(1+Skills!R13/100)*(1+(IF(Skills!A13="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1076)</f>
        <v/>
      </c>
      <c r="L1076">
        <f>K1076*(MIN(Inputs!$B$22+((C1087=TRUE)*(F1087-Calc!F24)),Inputs!$B$23)/100+Inputs!$B$23/100)/2</f>
        <v/>
      </c>
      <c r="M1076">
        <f>L1076*(1+(Inputs!$B$10+((C1089=TRUE)*(F1089-Calc!F26))+B1106)/100)</f>
        <v/>
      </c>
      <c r="N1076">
        <f>L1076*(1-MIN((Inputs!$B$9+((C1088=TRUE)*(F1088-Calc!F25))+B1103),100)/100)+M1076*(MIN((Inputs!$B$9+((C1088=TRUE)*(F1088-Calc!F25))+B1103),100)/100)</f>
        <v/>
      </c>
      <c r="O1076">
        <f>(1-Summary!$B$55)*T1076+Summary!$B$55*V1076</f>
        <v/>
      </c>
      <c r="P1076">
        <f>IF(B1107=0,0,O1076/B1107)</f>
        <v/>
      </c>
      <c r="Q1076">
        <f>IFERROR(1/IF(Inputs!$B$39="pvp",15,MAX(0.1,Skills!D13-IF(Skills!E13=TRUE,Inputs!$B$32,0))),0)</f>
        <v/>
      </c>
      <c r="R1076">
        <f>IF(AND(Inputs!$B$39&lt;&gt;"pvp",Inputs!$B$44&gt;0),IF(MAX(0,Inputs!$B$44-B1108)&lt;=0,0,(INT(MAX(0,Inputs!$B$44-B1108)/IF(Inputs!$B$39="pvp",15,MAX(0.1,Skills!D13-IF(Skills!E13=TRUE,Inputs!$B$32,0))))+1)),0)</f>
        <v/>
      </c>
      <c r="S1076">
        <f>IFERROR(O1076/N1076,0)</f>
        <v/>
      </c>
      <c r="T1076">
        <f>IF(C1076,(H1076*N1076*IF(AND(Inputs!$B$39&lt;&gt;"pvp",Inputs!$B$44&gt;0),((Skills!G13*((R1076-1)*IF(Skills!H13&gt;0,Skills!I13/Skills!H13,1)+IF(Skills!H13&gt;0,MIN(Skills!I13,MAX(0,MAX(0,Inputs!$B$44-B1108)-((R1076-1)*IF(Inputs!$B$39="pvp",15,MAX(0.1,Skills!D13-IF(Skills!E13=TRUE,Inputs!$B$32,0))))))/Skills!H13,1)))/Inputs!$B$44),G1076*Q1076))*IF(Inputs!$B$39="pvp",1,1+(Inputs!$B$20+((C1090=TRUE)*(F1090-Calc!F27))+Skills!P13+B1104)/100),0)</f>
        <v/>
      </c>
      <c r="V1076">
        <f>IF(C1076,(H1076*N1076*IF(AND(Inputs!$B$39&lt;&gt;"pvp",Inputs!$B$44&gt;0),((Skills!G13*((R1076-1)*IF(Skills!H13&gt;0,Skills!I13/Skills!H13,1)+IF(Skills!H13&gt;0,MIN(Skills!I13,MAX(0,MAX(0,Inputs!$B$44-B1108)-((R1076-1)*IF(Inputs!$B$39="pvp",15,MAX(0.1,Skills!D13-IF(Skills!E13=TRUE,Inputs!$B$32,0))))))/Skills!H13,1)))/Inputs!$B$44),G1076*Q1076))*IF(Inputs!$B$39="pvp",1,(1+(Inputs!$B$21+Skills!Q13+B1104)/100)*(MIN(Skills!W13,Inputs!$B$37))),0)</f>
        <v/>
      </c>
    </row>
    <row r="1077">
      <c r="A1077">
        <f>Skills!A14</f>
        <v/>
      </c>
      <c r="B1077">
        <f>Skills!B14</f>
        <v/>
      </c>
      <c r="C1077">
        <f>Inputs!$B$3&gt;=105</f>
        <v/>
      </c>
      <c r="D1077">
        <f>IF(Skills!C14=1,60+Inputs!$B$25+Inputs!$B$29,IF(Skills!C14=2,90+Inputs!$B$26+Inputs!$B$29,IF(Skills!C14=3,120+Inputs!$B$27+Inputs!$B$29,MAX(0,(Inputs!$B$3-100)*3)+Inputs!$B$28+Inputs!$B$29)))</f>
        <v/>
      </c>
      <c r="E1077">
        <f>INDEX(FactorTable!$B$2:$Y$301, MATCH(ROUND(MIN(300,MAX(1,D1077)),0), FactorTable!$A$2:$A$301,0), Skills!M14+1)</f>
        <v/>
      </c>
      <c r="F1077">
        <f>IF(Skills!N14=TRUE,(Skills!L14/10)*(E1077/1000),Skills!L14/10)+Skills!O14</f>
        <v/>
      </c>
      <c r="G1077">
        <f>Calc!G14</f>
        <v/>
      </c>
      <c r="H1077">
        <f>Calc!H14</f>
        <v/>
      </c>
      <c r="I1077">
        <f>IF(Skills!AA14&lt;&gt;"",1+(Skills!AA14/10)*(U1066/1000)/100,1)</f>
        <v/>
      </c>
      <c r="J1077">
        <f>(((Inputs!$B$6+1)*(1+Inputs!$B$7/100))+(((Inputs!$B$12*(1+Inputs!$B$13/100))-(Inputs!$B$12*(1+Inputs!$B$13/100)))+0.25*(Inputs!$B$14-Inputs!$B$14))*(1+Inputs!$B$7/100))*(F1077/100)</f>
        <v/>
      </c>
      <c r="K1077">
        <f>J1077*(1+((Inputs!$B$12*(1+Inputs!$B$13/100))*0.01+Inputs!$B$14*0.0025)/100)*(1+Inputs!$B$15/100)*(1+Inputs!$B$16/100)*(5000/(6000+Inputs!$B$43*(1-Inputs!$B$19/100)))*(1+(Inputs!$B$24+((C1093=TRUE)*(F1093-Calc!F30)))/100)*(1+Skills!R14/100)*(1+(IF(Skills!A14="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1077)</f>
        <v/>
      </c>
      <c r="L1077">
        <f>K1077*(MIN(Inputs!$B$22+((C1087=TRUE)*(F1087-Calc!F24)),Inputs!$B$23)/100+Inputs!$B$23/100)/2</f>
        <v/>
      </c>
      <c r="M1077">
        <f>L1077*(1+(Inputs!$B$10+((C1089=TRUE)*(F1089-Calc!F26))+B1106)/100)</f>
        <v/>
      </c>
      <c r="N1077">
        <f>L1077*(1-MIN((Inputs!$B$9+((C1088=TRUE)*(F1088-Calc!F25))+B1103),100)/100)+M1077*(MIN((Inputs!$B$9+((C1088=TRUE)*(F1088-Calc!F25))+B1103),100)/100)</f>
        <v/>
      </c>
      <c r="O1077">
        <f>(1-Summary!$B$55)*T1077+Summary!$B$55*V1077</f>
        <v/>
      </c>
      <c r="P1077">
        <f>IF(B1107=0,0,O1077/B1107)</f>
        <v/>
      </c>
      <c r="Q1077">
        <f>IFERROR(1/IF(Inputs!$B$39="pvp",15,MAX(0.1,Skills!D14-IF(Skills!E14=TRUE,Inputs!$B$32,0))),0)</f>
        <v/>
      </c>
      <c r="R1077">
        <f>IF(AND(Inputs!$B$39&lt;&gt;"pvp",Inputs!$B$44&gt;0),IF(MAX(0,Inputs!$B$44-B1108)&lt;=0,0,(INT(MAX(0,Inputs!$B$44-B1108)/IF(Inputs!$B$39="pvp",15,MAX(0.1,Skills!D14-IF(Skills!E14=TRUE,Inputs!$B$32,0))))+1)),0)</f>
        <v/>
      </c>
      <c r="S1077">
        <f>IFERROR(O1077/N1077,0)</f>
        <v/>
      </c>
      <c r="T1077">
        <f>IF(C1077,(H1077*N1077*IF(AND(Inputs!$B$39&lt;&gt;"pvp",Inputs!$B$44&gt;0),((Skills!G14*((R1077-1)*IF(Skills!H14&gt;0,Skills!I14/Skills!H14,1)+IF(Skills!H14&gt;0,MIN(Skills!I14,MAX(0,MAX(0,Inputs!$B$44-B1108)-((R1077-1)*IF(Inputs!$B$39="pvp",15,MAX(0.1,Skills!D14-IF(Skills!E14=TRUE,Inputs!$B$32,0))))))/Skills!H14,1)))/Inputs!$B$44),G1077*Q1077))*IF(Inputs!$B$39="pvp",1,1+(Inputs!$B$20+((C1090=TRUE)*(F1090-Calc!F27))+Skills!P14+B1104)/100),0)</f>
        <v/>
      </c>
      <c r="V1077">
        <f>IF(C1077,(H1077*N1077*IF(AND(Inputs!$B$39&lt;&gt;"pvp",Inputs!$B$44&gt;0),((Skills!G14*((R1077-1)*IF(Skills!H14&gt;0,Skills!I14/Skills!H14,1)+IF(Skills!H14&gt;0,MIN(Skills!I14,MAX(0,MAX(0,Inputs!$B$44-B1108)-((R1077-1)*IF(Inputs!$B$39="pvp",15,MAX(0.1,Skills!D14-IF(Skills!E14=TRUE,Inputs!$B$32,0))))))/Skills!H14,1)))/Inputs!$B$44),G1077*Q1077))*IF(Inputs!$B$39="pvp",1,(1+(Inputs!$B$21+Skills!Q14+B1104)/100)*(MIN(Skills!W14,Inputs!$B$37))),0)</f>
        <v/>
      </c>
    </row>
    <row r="1078">
      <c r="A1078">
        <f>Skills!A15</f>
        <v/>
      </c>
      <c r="B1078">
        <f>Skills!B15</f>
        <v/>
      </c>
      <c r="C1078">
        <f>Inputs!$B$3&gt;=110</f>
        <v/>
      </c>
      <c r="D1078">
        <f>IF(Skills!C15=1,60+Inputs!$B$25+Inputs!$B$29,IF(Skills!C15=2,90+Inputs!$B$26+Inputs!$B$29,IF(Skills!C15=3,120+Inputs!$B$27+Inputs!$B$29,MAX(0,(Inputs!$B$3-100)*3)+Inputs!$B$28+Inputs!$B$29)))</f>
        <v/>
      </c>
      <c r="E1078">
        <f>INDEX(FactorTable!$B$2:$Y$301, MATCH(ROUND(MIN(300,MAX(1,D1078)),0), FactorTable!$A$2:$A$301,0), Skills!M15+1)</f>
        <v/>
      </c>
      <c r="F1078">
        <f>IF(Skills!N15=TRUE,(Skills!L15/10)*(E1078/1000),Skills!L15/10)+Skills!O15</f>
        <v/>
      </c>
      <c r="G1078">
        <f>Calc!G15</f>
        <v/>
      </c>
      <c r="H1078">
        <f>Calc!H15</f>
        <v/>
      </c>
      <c r="I1078">
        <f>IF(Skills!AA15&lt;&gt;"",1+(Skills!AA15/10)*(U1066/1000)/100,1)</f>
        <v/>
      </c>
      <c r="J1078" t="inlineStr"/>
      <c r="K1078" t="inlineStr"/>
      <c r="L1078" t="inlineStr"/>
      <c r="M1078" t="inlineStr"/>
      <c r="N1078" t="inlineStr"/>
      <c r="O1078">
        <f>(1-Summary!$B$55)*T1078+Summary!$B$55*V1078</f>
        <v/>
      </c>
      <c r="P1078">
        <f>IF(B1107=0,0,O1078/B1107)</f>
        <v/>
      </c>
      <c r="Q1078">
        <f>IFERROR(1/IF(Inputs!$B$39="pvp",15,MAX(0.1,Skills!D15-IF(Skills!E15=TRUE,Inputs!$B$32,0))),0)</f>
        <v/>
      </c>
      <c r="R1078">
        <f>IF(AND(Inputs!$B$39&lt;&gt;"pvp",Inputs!$B$44&gt;0),IF(Inputs!$B$44&lt;=0,0,(INT(Inputs!$B$44/IF(Inputs!$B$39="pvp",15,MAX(0.1,Skills!D15-IF(Skills!E15=TRUE,Inputs!$B$32,0))))+1)),0)</f>
        <v/>
      </c>
      <c r="S1078">
        <f>IFERROR(O1078/N1078,0)</f>
        <v/>
      </c>
      <c r="T1078" t="n">
        <v>0</v>
      </c>
      <c r="V1078" t="n">
        <v>0</v>
      </c>
    </row>
    <row r="1079">
      <c r="A1079">
        <f>Skills!A16</f>
        <v/>
      </c>
      <c r="B1079">
        <f>Skills!B16</f>
        <v/>
      </c>
      <c r="C1079">
        <f>Inputs!$B$3&gt;=110</f>
        <v/>
      </c>
      <c r="D1079">
        <f>IF(Skills!C16=1,60+Inputs!$B$25+Inputs!$B$29,IF(Skills!C16=2,90+Inputs!$B$26+Inputs!$B$29,IF(Skills!C16=3,120+Inputs!$B$27+Inputs!$B$29,MAX(0,(Inputs!$B$3-100)*3)+Inputs!$B$28+Inputs!$B$29)))</f>
        <v/>
      </c>
      <c r="E1079">
        <f>INDEX(FactorTable!$B$2:$Y$301, MATCH(ROUND(MIN(300,MAX(1,D1079)),0), FactorTable!$A$2:$A$301,0), Skills!M16+1)</f>
        <v/>
      </c>
      <c r="F1079">
        <f>IF(Skills!N16=TRUE,(Skills!L16/10)*(E1079/1000),Skills!L16/10)+Skills!O16</f>
        <v/>
      </c>
      <c r="G1079">
        <f>Calc!G16</f>
        <v/>
      </c>
      <c r="H1079">
        <f>Calc!H16</f>
        <v/>
      </c>
      <c r="I1079">
        <f>IF(Skills!AA16&lt;&gt;"",1+(Skills!AA16/10)*(U1066/1000)/100,1)</f>
        <v/>
      </c>
      <c r="J1079" t="inlineStr"/>
      <c r="K1079" t="inlineStr"/>
      <c r="L1079" t="inlineStr"/>
      <c r="M1079" t="inlineStr"/>
      <c r="N1079" t="inlineStr"/>
      <c r="O1079">
        <f>(1-Summary!$B$55)*T1079+Summary!$B$55*V1079</f>
        <v/>
      </c>
      <c r="P1079">
        <f>IF(B1107=0,0,O1079/B1107)</f>
        <v/>
      </c>
      <c r="Q1079">
        <f>IFERROR(1/IF(Inputs!$B$39="pvp",15,MAX(0.1,Skills!D16-IF(Skills!E16=TRUE,Inputs!$B$32,0))),0)</f>
        <v/>
      </c>
      <c r="R1079">
        <f>IF(AND(Inputs!$B$39&lt;&gt;"pvp",Inputs!$B$44&gt;0),IF(Inputs!$B$44&lt;=0,0,(INT(Inputs!$B$44/IF(Inputs!$B$39="pvp",15,MAX(0.1,Skills!D16-IF(Skills!E16=TRUE,Inputs!$B$32,0))))+1)),0)</f>
        <v/>
      </c>
      <c r="S1079">
        <f>IFERROR(O1079/N1079,0)</f>
        <v/>
      </c>
      <c r="T1079" t="n">
        <v>0</v>
      </c>
      <c r="V1079" t="n">
        <v>0</v>
      </c>
    </row>
    <row r="1080">
      <c r="A1080">
        <f>Skills!A17</f>
        <v/>
      </c>
      <c r="B1080">
        <f>Skills!B17</f>
        <v/>
      </c>
      <c r="C1080">
        <f>Inputs!$B$3&gt;=115</f>
        <v/>
      </c>
      <c r="D1080">
        <f>IF(Skills!C17=1,60+Inputs!$B$25+Inputs!$B$29,IF(Skills!C17=2,90+Inputs!$B$26+Inputs!$B$29,IF(Skills!C17=3,120+Inputs!$B$27+Inputs!$B$29,MAX(0,(Inputs!$B$3-100)*3)+Inputs!$B$28+Inputs!$B$29)))</f>
        <v/>
      </c>
      <c r="E1080">
        <f>INDEX(FactorTable!$B$2:$Y$301, MATCH(ROUND(MIN(300,MAX(1,D1080)),0), FactorTable!$A$2:$A$301,0), Skills!M17+1)</f>
        <v/>
      </c>
      <c r="F1080">
        <f>IF(Skills!N17=TRUE,(Skills!L17/10)*(E1080/1000),Skills!L17/10)+Skills!O17</f>
        <v/>
      </c>
      <c r="G1080">
        <f>Calc!G17</f>
        <v/>
      </c>
      <c r="H1080">
        <f>Calc!H17</f>
        <v/>
      </c>
      <c r="I1080">
        <f>IF(Skills!AA17&lt;&gt;"",1+(Skills!AA17/10)*(U1066/1000)/100,1)</f>
        <v/>
      </c>
      <c r="J1080">
        <f>(((Inputs!$B$6+1)*(1+Inputs!$B$7/100))+(((Inputs!$B$12*(1+Inputs!$B$13/100))-(Inputs!$B$12*(1+Inputs!$B$13/100)))+0.25*(Inputs!$B$14-Inputs!$B$14))*(1+Inputs!$B$7/100))*(F1080/100)</f>
        <v/>
      </c>
      <c r="K1080">
        <f>J1080*(1+((Inputs!$B$12*(1+Inputs!$B$13/100))*0.01+Inputs!$B$14*0.0025)/100)*(1+Inputs!$B$15/100)*(1+Inputs!$B$16/100)*(5000/(6000+Inputs!$B$43*(1-Inputs!$B$19/100)))*(1+(Inputs!$B$24+((C1093=TRUE)*(F1093-Calc!F30)))/100)*(1+Skills!R17/100)*(1+(IF(Skills!A17="SHOWDOWN",Inputs!$B$17+((C1086=TRUE)*(F1086-Calc!F23)),Inputs!$B$18+((C1092=TRUE)*(F1092-Calc!F29))))/100)*(((1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B1105*I1080)</f>
        <v/>
      </c>
      <c r="L1080">
        <f>K1080*(MIN(Inputs!$B$22+((C1087=TRUE)*(F1087-Calc!F24)),Inputs!$B$23)/100+Inputs!$B$23/100)/2</f>
        <v/>
      </c>
      <c r="M1080">
        <f>L1080*(1+(Inputs!$B$10+((C1089=TRUE)*(F1089-Calc!F26))+B1106)/100)</f>
        <v/>
      </c>
      <c r="N1080">
        <f>L1080*(1-MIN((Inputs!$B$9+((C1088=TRUE)*(F1088-Calc!F25))+B1103),100)/100)+M1080*(MIN((Inputs!$B$9+((C1088=TRUE)*(F1088-Calc!F25))+B1103),100)/100)</f>
        <v/>
      </c>
      <c r="O1080">
        <f>(1-Summary!$B$55)*T1080+Summary!$B$55*V1080</f>
        <v/>
      </c>
      <c r="P1080">
        <f>IF(B1107=0,0,O1080/B1107)</f>
        <v/>
      </c>
      <c r="Q1080" t="n">
        <v>0</v>
      </c>
      <c r="R1080" t="n">
        <v>0</v>
      </c>
      <c r="S1080">
        <f>IFERROR(O1080/N1080,0)</f>
        <v/>
      </c>
      <c r="T1080">
        <f>IF(C1080,(Inputs!$B$38*0.2*N1080)*IF(Inputs!$B$39="pvp",1,1+(Inputs!$B$20+((C1090=TRUE)*(F1090-Calc!F27))+Skills!P17+B1104)/100),0)</f>
        <v/>
      </c>
      <c r="V1080">
        <f>IF(C1080,(Inputs!$B$38*0.2*N1080)*IF(Inputs!$B$39="pvp",1,(1+(Inputs!$B$21+Skills!Q17+B1104)/100)*(MIN(Skills!W17,Inputs!$B$37))),0)</f>
        <v/>
      </c>
    </row>
    <row r="1081">
      <c r="A1081">
        <f>Skills!A18</f>
        <v/>
      </c>
      <c r="B1081">
        <f>Skills!B18</f>
        <v/>
      </c>
      <c r="C1081">
        <f>Inputs!$B$3&gt;=115</f>
        <v/>
      </c>
      <c r="D1081">
        <f>IF(Skills!C18=1,60+Inputs!$B$25+Inputs!$B$29,IF(Skills!C18=2,90+Inputs!$B$26+Inputs!$B$29,IF(Skills!C18=3,120+Inputs!$B$27+Inputs!$B$29,MAX(0,(Inputs!$B$3-100)*3)+Inputs!$B$28+Inputs!$B$29)))</f>
        <v/>
      </c>
      <c r="E1081">
        <f>INDEX(FactorTable!$B$2:$Y$301, MATCH(ROUND(MIN(300,MAX(1,D1081)),0), FactorTable!$A$2:$A$301,0), Skills!M18+1)</f>
        <v/>
      </c>
      <c r="F1081">
        <f>IF(Skills!N18=TRUE,(Skills!L18/10)*(E1081/1000),Skills!L18/10)+Skills!O18</f>
        <v/>
      </c>
      <c r="G1081">
        <f>Calc!G18</f>
        <v/>
      </c>
      <c r="H1081">
        <f>Calc!H18</f>
        <v/>
      </c>
      <c r="I1081">
        <f>IF(Skills!AA18&lt;&gt;"",1+(Skills!AA18/10)*(U1066/1000)/100,1)</f>
        <v/>
      </c>
      <c r="J1081" t="inlineStr"/>
      <c r="K1081" t="inlineStr"/>
      <c r="L1081" t="inlineStr"/>
      <c r="M1081" t="inlineStr"/>
      <c r="N1081" t="inlineStr"/>
      <c r="O1081">
        <f>(1-Summary!$B$55)*T1081+Summary!$B$55*V1081</f>
        <v/>
      </c>
      <c r="P1081">
        <f>IF(B1107=0,0,O1081/B1107)</f>
        <v/>
      </c>
      <c r="Q1081" t="n">
        <v>0</v>
      </c>
      <c r="R1081" t="n">
        <v>0</v>
      </c>
      <c r="S1081">
        <f>IFERROR(O1081/N1081,0)</f>
        <v/>
      </c>
      <c r="T1081" t="n">
        <v>0</v>
      </c>
      <c r="V1081" t="n">
        <v>0</v>
      </c>
    </row>
    <row r="1082">
      <c r="A1082">
        <f>Skills!A19</f>
        <v/>
      </c>
      <c r="B1082">
        <f>Skills!B19</f>
        <v/>
      </c>
      <c r="C1082">
        <f>TRUE</f>
        <v/>
      </c>
      <c r="D1082">
        <f>IF(Skills!C19=1,60+Inputs!$B$25+Inputs!$B$29,IF(Skills!C19=2,90+Inputs!$B$26+Inputs!$B$29,IF(Skills!C19=3,120+Inputs!$B$27+Inputs!$B$29,MAX(0,(Inputs!$B$3-100)*3)+Inputs!$B$28+Inputs!$B$29)))</f>
        <v/>
      </c>
      <c r="E1082">
        <f>INDEX(FactorTable!$B$2:$Y$301, MATCH(ROUND(MIN(300,MAX(1,D1082)),0), FactorTable!$A$2:$A$301,0), Skills!M19+1)</f>
        <v/>
      </c>
      <c r="F1082">
        <f>IF(Skills!N19=TRUE,(Skills!L19/10)*(E1082/1000),Skills!L19/10)+Skills!O19</f>
        <v/>
      </c>
      <c r="G1082">
        <f>Calc!G19</f>
        <v/>
      </c>
      <c r="H1082">
        <f>Calc!H19</f>
        <v/>
      </c>
      <c r="I1082">
        <f>IF(Skills!AA19&lt;&gt;"",1+(Skills!AA19/10)*(U1066/1000)/100,1)</f>
        <v/>
      </c>
      <c r="J1082" t="inlineStr"/>
      <c r="K1082" t="inlineStr"/>
      <c r="L1082" t="inlineStr"/>
      <c r="M1082" t="inlineStr"/>
      <c r="N1082" t="inlineStr"/>
      <c r="O1082">
        <f>(1-Summary!$B$55)*T1082+Summary!$B$55*V1082</f>
        <v/>
      </c>
      <c r="P1082">
        <f>IF(B1107=0,0,O1082/B1107)</f>
        <v/>
      </c>
      <c r="Q1082">
        <f>IFERROR(1/IF(Inputs!$B$39="pvp",15,MAX(0.1,Skills!D19-IF(Skills!E19=TRUE,Inputs!$B$32,0))),0)</f>
        <v/>
      </c>
      <c r="R1082">
        <f>IF(AND(Inputs!$B$39&lt;&gt;"pvp",Inputs!$B$44&gt;0),IF(Inputs!$B$44&lt;=0,0,(INT(Inputs!$B$44/IF(Inputs!$B$39="pvp",15,MAX(0.1,Skills!D19-IF(Skills!E19=TRUE,Inputs!$B$32,0))))+1)),0)</f>
        <v/>
      </c>
      <c r="S1082">
        <f>IFERROR(O1082/N1082,0)</f>
        <v/>
      </c>
      <c r="T1082" t="n">
        <v>0</v>
      </c>
      <c r="V1082" t="n">
        <v>0</v>
      </c>
    </row>
    <row r="1083">
      <c r="A1083">
        <f>Skills!A20</f>
        <v/>
      </c>
      <c r="B1083">
        <f>Skills!B20</f>
        <v/>
      </c>
      <c r="C1083">
        <f>Inputs!$B$3&gt;=15</f>
        <v/>
      </c>
      <c r="D1083">
        <f>IF(Skills!C20=1,60+Inputs!$B$25+Inputs!$B$29,IF(Skills!C20=2,90+Inputs!$B$26+Inputs!$B$29,IF(Skills!C20=3,120+Inputs!$B$27+Inputs!$B$29,MAX(0,(Inputs!$B$3-100)*3)+Inputs!$B$28+Inputs!$B$29)))</f>
        <v/>
      </c>
      <c r="E1083">
        <f>INDEX(FactorTable!$B$2:$Y$301, MATCH(ROUND(MIN(300,MAX(1,D1083)),0), FactorTable!$A$2:$A$301,0), Skills!M20+1)</f>
        <v/>
      </c>
      <c r="F1083">
        <f>IF(Skills!N20=TRUE,(Skills!L20/10)*(E1083/1000),Skills!L20/10)+Skills!O20</f>
        <v/>
      </c>
      <c r="G1083">
        <f>Calc!G20</f>
        <v/>
      </c>
      <c r="H1083">
        <f>Calc!H20</f>
        <v/>
      </c>
      <c r="I1083">
        <f>IF(Skills!AA20&lt;&gt;"",1+(Skills!AA20/10)*(U1066/1000)/100,1)</f>
        <v/>
      </c>
      <c r="J1083" t="inlineStr"/>
      <c r="K1083" t="inlineStr"/>
      <c r="L1083" t="inlineStr"/>
      <c r="M1083" t="inlineStr"/>
      <c r="N1083" t="inlineStr"/>
      <c r="O1083">
        <f>(1-Summary!$B$55)*T1083+Summary!$B$55*V1083</f>
        <v/>
      </c>
      <c r="P1083">
        <f>IF(B1107=0,0,O1083/B1107)</f>
        <v/>
      </c>
      <c r="Q1083">
        <f>IFERROR(1/IF(Inputs!$B$39="pvp",15,MAX(0.1,Skills!D20-IF(Skills!E20=TRUE,Inputs!$B$32,0))),0)</f>
        <v/>
      </c>
      <c r="R1083">
        <f>IF(AND(Inputs!$B$39&lt;&gt;"pvp",Inputs!$B$44&gt;0),IF(Inputs!$B$44&lt;=0,0,(INT(Inputs!$B$44/IF(Inputs!$B$39="pvp",15,MAX(0.1,Skills!D20-IF(Skills!E20=TRUE,Inputs!$B$32,0))))+1)),0)</f>
        <v/>
      </c>
      <c r="S1083">
        <f>IFERROR(O1083/N1083,0)</f>
        <v/>
      </c>
      <c r="T1083" t="n">
        <v>0</v>
      </c>
      <c r="V1083" t="n">
        <v>0</v>
      </c>
    </row>
    <row r="1084">
      <c r="A1084">
        <f>Skills!A21</f>
        <v/>
      </c>
      <c r="B1084">
        <f>Skills!B21</f>
        <v/>
      </c>
      <c r="C1084">
        <f>Inputs!$B$3&gt;=15</f>
        <v/>
      </c>
      <c r="D1084">
        <f>IF(Skills!C21=1,60+Inputs!$B$25+Inputs!$B$29,IF(Skills!C21=2,90+Inputs!$B$26+Inputs!$B$29,IF(Skills!C21=3,120+Inputs!$B$27+Inputs!$B$29,MAX(0,(Inputs!$B$3-100)*3)+Inputs!$B$28+Inputs!$B$29)))</f>
        <v/>
      </c>
      <c r="E1084">
        <f>INDEX(FactorTable!$B$2:$Y$301, MATCH(ROUND(MIN(300,MAX(1,D1084)),0), FactorTable!$A$2:$A$301,0), Skills!M21+1)</f>
        <v/>
      </c>
      <c r="F1084">
        <f>IF(Skills!N21=TRUE,(Skills!L21/10)*(E1084/1000),Skills!L21/10)+Skills!O21</f>
        <v/>
      </c>
      <c r="G1084">
        <f>Calc!G21</f>
        <v/>
      </c>
      <c r="H1084">
        <f>Calc!H21</f>
        <v/>
      </c>
      <c r="I1084">
        <f>IF(Skills!AA21&lt;&gt;"",1+(Skills!AA21/10)*(U1066/1000)/100,1)</f>
        <v/>
      </c>
      <c r="J1084" t="inlineStr"/>
      <c r="K1084" t="inlineStr"/>
      <c r="L1084" t="inlineStr"/>
      <c r="M1084" t="inlineStr"/>
      <c r="N1084" t="inlineStr"/>
      <c r="O1084">
        <f>(1-Summary!$B$55)*T1084+Summary!$B$55*V1084</f>
        <v/>
      </c>
      <c r="P1084">
        <f>IF(B1107=0,0,O1084/B1107)</f>
        <v/>
      </c>
      <c r="Q1084">
        <f>IFERROR(1/IF(Inputs!$B$39="pvp",15,MAX(0.1,Skills!D21-IF(Skills!E21=TRUE,Inputs!$B$32,0))),0)</f>
        <v/>
      </c>
      <c r="R1084">
        <f>IF(AND(Inputs!$B$39&lt;&gt;"pvp",Inputs!$B$44&gt;0),IF(Inputs!$B$44&lt;=0,0,(INT(Inputs!$B$44/IF(Inputs!$B$39="pvp",15,MAX(0.1,Skills!D21-IF(Skills!E21=TRUE,Inputs!$B$32,0))))+1)),0)</f>
        <v/>
      </c>
      <c r="S1084">
        <f>IFERROR(O1084/N1084,0)</f>
        <v/>
      </c>
      <c r="T1084" t="n">
        <v>0</v>
      </c>
      <c r="V1084" t="n">
        <v>0</v>
      </c>
    </row>
    <row r="1085">
      <c r="A1085">
        <f>Skills!A22</f>
        <v/>
      </c>
      <c r="B1085">
        <f>Skills!B22</f>
        <v/>
      </c>
      <c r="C1085">
        <f>Inputs!$B$3&gt;=33</f>
        <v/>
      </c>
      <c r="D1085">
        <f>IF(Skills!C22=1,60+Inputs!$B$25+Inputs!$B$29,IF(Skills!C22=2,90+Inputs!$B$26+Inputs!$B$29,IF(Skills!C22=3,120+Inputs!$B$27+Inputs!$B$29,MAX(0,(Inputs!$B$3-100)*3)+Inputs!$B$28+Inputs!$B$29)))</f>
        <v/>
      </c>
      <c r="E1085">
        <f>INDEX(FactorTable!$B$2:$Y$301, MATCH(ROUND(MIN(300,MAX(1,D1085)),0), FactorTable!$A$2:$A$301,0), Skills!M22+1)</f>
        <v/>
      </c>
      <c r="F1085">
        <f>IF(Skills!N22=TRUE,(Skills!L22/10)*(E1085/1000),Skills!L22/10)+Skills!O22</f>
        <v/>
      </c>
      <c r="G1085">
        <f>Calc!G22</f>
        <v/>
      </c>
      <c r="H1085">
        <f>Calc!H22</f>
        <v/>
      </c>
      <c r="I1085">
        <f>IF(Skills!AA22&lt;&gt;"",1+(Skills!AA22/10)*(U1066/1000)/100,1)</f>
        <v/>
      </c>
      <c r="J1085" t="inlineStr"/>
      <c r="K1085" t="inlineStr"/>
      <c r="L1085" t="inlineStr"/>
      <c r="M1085" t="inlineStr"/>
      <c r="N1085" t="inlineStr"/>
      <c r="O1085">
        <f>(1-Summary!$B$55)*T1085+Summary!$B$55*V1085</f>
        <v/>
      </c>
      <c r="P1085">
        <f>IF(B1107=0,0,O1085/B1107)</f>
        <v/>
      </c>
      <c r="Q1085" t="n">
        <v>0</v>
      </c>
      <c r="R1085" t="n">
        <v>0</v>
      </c>
      <c r="S1085">
        <f>IFERROR(O1085/N1085,0)</f>
        <v/>
      </c>
      <c r="T1085" t="n">
        <v>0</v>
      </c>
      <c r="V1085" t="n">
        <v>0</v>
      </c>
    </row>
    <row r="1086">
      <c r="A1086">
        <f>Skills!A23</f>
        <v/>
      </c>
      <c r="B1086">
        <f>Skills!B23</f>
        <v/>
      </c>
      <c r="C1086">
        <f>Inputs!$B$3&gt;=38</f>
        <v/>
      </c>
      <c r="D1086">
        <f>IF(Skills!C23=1,60+Inputs!$B$25+Inputs!$B$29,IF(Skills!C23=2,90+Inputs!$B$26+Inputs!$B$29,IF(Skills!C23=3,120+Inputs!$B$27+Inputs!$B$29,MAX(0,(Inputs!$B$3-100)*3)+Inputs!$B$28+Inputs!$B$29)))</f>
        <v/>
      </c>
      <c r="E1086">
        <f>INDEX(FactorTable!$B$2:$Y$301, MATCH(ROUND(MIN(300,MAX(1,D1086)),0), FactorTable!$A$2:$A$301,0), Skills!M23+1)</f>
        <v/>
      </c>
      <c r="F1086">
        <f>IF(Skills!N23=TRUE,(Skills!L23/10)*(E1086/1000),Skills!L23/10)+Skills!O23</f>
        <v/>
      </c>
      <c r="G1086">
        <f>Calc!G23</f>
        <v/>
      </c>
      <c r="H1086">
        <f>Calc!H23</f>
        <v/>
      </c>
      <c r="I1086">
        <f>IF(Skills!AA23&lt;&gt;"",1+(Skills!AA23/10)*(U1066/1000)/100,1)</f>
        <v/>
      </c>
      <c r="J1086" t="inlineStr"/>
      <c r="K1086" t="inlineStr"/>
      <c r="L1086" t="inlineStr"/>
      <c r="M1086" t="inlineStr"/>
      <c r="N1086" t="inlineStr"/>
      <c r="O1086">
        <f>(1-Summary!$B$55)*T1086+Summary!$B$55*V1086</f>
        <v/>
      </c>
      <c r="P1086">
        <f>IF(B1107=0,0,O1086/B1107)</f>
        <v/>
      </c>
      <c r="Q1086" t="n">
        <v>0</v>
      </c>
      <c r="R1086" t="n">
        <v>0</v>
      </c>
      <c r="S1086">
        <f>IFERROR(O1086/N1086,0)</f>
        <v/>
      </c>
      <c r="T1086" t="n">
        <v>0</v>
      </c>
      <c r="V1086" t="n">
        <v>0</v>
      </c>
    </row>
    <row r="1087">
      <c r="A1087">
        <f>Skills!A24</f>
        <v/>
      </c>
      <c r="B1087">
        <f>Skills!B24</f>
        <v/>
      </c>
      <c r="C1087">
        <f>Inputs!$B$3&gt;=40</f>
        <v/>
      </c>
      <c r="D1087">
        <f>IF(Skills!C24=1,60+Inputs!$B$25+Inputs!$B$29,IF(Skills!C24=2,90+Inputs!$B$26+Inputs!$B$29,IF(Skills!C24=3,120+Inputs!$B$27+Inputs!$B$29,MAX(0,(Inputs!$B$3-100)*3)+Inputs!$B$28+Inputs!$B$29)))</f>
        <v/>
      </c>
      <c r="E1087">
        <f>INDEX(FactorTable!$B$2:$Y$301, MATCH(ROUND(MIN(300,MAX(1,D1087)),0), FactorTable!$A$2:$A$301,0), Skills!M24+1)</f>
        <v/>
      </c>
      <c r="F1087">
        <f>IF(Skills!N24=TRUE,(Skills!L24/10)*(E1087/1000),Skills!L24/10)+Skills!O24</f>
        <v/>
      </c>
      <c r="G1087">
        <f>Calc!G24</f>
        <v/>
      </c>
      <c r="H1087">
        <f>Calc!H24</f>
        <v/>
      </c>
      <c r="I1087">
        <f>IF(Skills!AA24&lt;&gt;"",1+(Skills!AA24/10)*(U1066/1000)/100,1)</f>
        <v/>
      </c>
      <c r="J1087" t="inlineStr"/>
      <c r="K1087" t="inlineStr"/>
      <c r="L1087" t="inlineStr"/>
      <c r="M1087" t="inlineStr"/>
      <c r="N1087" t="inlineStr"/>
      <c r="O1087">
        <f>(1-Summary!$B$55)*T1087+Summary!$B$55*V1087</f>
        <v/>
      </c>
      <c r="P1087">
        <f>IF(B1107=0,0,O1087/B1107)</f>
        <v/>
      </c>
      <c r="Q1087" t="n">
        <v>0</v>
      </c>
      <c r="R1087" t="n">
        <v>0</v>
      </c>
      <c r="S1087">
        <f>IFERROR(O1087/N1087,0)</f>
        <v/>
      </c>
      <c r="T1087" t="n">
        <v>0</v>
      </c>
      <c r="V1087" t="n">
        <v>0</v>
      </c>
    </row>
    <row r="1088">
      <c r="A1088">
        <f>Skills!A25</f>
        <v/>
      </c>
      <c r="B1088">
        <f>Skills!B25</f>
        <v/>
      </c>
      <c r="C1088">
        <f>Inputs!$B$3&gt;=45</f>
        <v/>
      </c>
      <c r="D1088">
        <f>IF(Skills!C25=1,60+Inputs!$B$25+Inputs!$B$29,IF(Skills!C25=2,90+Inputs!$B$26+Inputs!$B$29,IF(Skills!C25=3,120+Inputs!$B$27+Inputs!$B$29,MAX(0,(Inputs!$B$3-100)*3)+Inputs!$B$28+Inputs!$B$29)))</f>
        <v/>
      </c>
      <c r="E1088">
        <f>INDEX(FactorTable!$B$2:$Y$301, MATCH(ROUND(MIN(300,MAX(1,D1088)),0), FactorTable!$A$2:$A$301,0), Skills!M25+1)</f>
        <v/>
      </c>
      <c r="F1088">
        <f>IF(Skills!N25=TRUE,(Skills!L25/10)*(E1088/1000),Skills!L25/10)+Skills!O25</f>
        <v/>
      </c>
      <c r="G1088">
        <f>Calc!G25</f>
        <v/>
      </c>
      <c r="H1088">
        <f>Calc!H25</f>
        <v/>
      </c>
      <c r="I1088">
        <f>IF(Skills!AA25&lt;&gt;"",1+(Skills!AA25/10)*(U1066/1000)/100,1)</f>
        <v/>
      </c>
      <c r="J1088" t="inlineStr"/>
      <c r="K1088" t="inlineStr"/>
      <c r="L1088" t="inlineStr"/>
      <c r="M1088" t="inlineStr"/>
      <c r="N1088" t="inlineStr"/>
      <c r="O1088">
        <f>(1-Summary!$B$55)*T1088+Summary!$B$55*V1088</f>
        <v/>
      </c>
      <c r="P1088">
        <f>IF(B1107=0,0,O1088/B1107)</f>
        <v/>
      </c>
      <c r="Q1088" t="n">
        <v>0</v>
      </c>
      <c r="R1088" t="n">
        <v>0</v>
      </c>
      <c r="S1088">
        <f>IFERROR(O1088/N1088,0)</f>
        <v/>
      </c>
      <c r="T1088" t="n">
        <v>0</v>
      </c>
      <c r="V1088" t="n">
        <v>0</v>
      </c>
    </row>
    <row r="1089">
      <c r="A1089">
        <f>Skills!A26</f>
        <v/>
      </c>
      <c r="B1089">
        <f>Skills!B26</f>
        <v/>
      </c>
      <c r="C1089">
        <f>Inputs!$B$3&gt;=45</f>
        <v/>
      </c>
      <c r="D1089">
        <f>IF(Skills!C26=1,60+Inputs!$B$25+Inputs!$B$29,IF(Skills!C26=2,90+Inputs!$B$26+Inputs!$B$29,IF(Skills!C26=3,120+Inputs!$B$27+Inputs!$B$29,MAX(0,(Inputs!$B$3-100)*3)+Inputs!$B$28+Inputs!$B$29)))</f>
        <v/>
      </c>
      <c r="E1089">
        <f>INDEX(FactorTable!$B$2:$Y$301, MATCH(ROUND(MIN(300,MAX(1,D1089)),0), FactorTable!$A$2:$A$301,0), Skills!M26+1)</f>
        <v/>
      </c>
      <c r="F1089">
        <f>IF(Skills!N26=TRUE,(Skills!L26/10)*(E1089/1000),Skills!L26/10)+Skills!O26</f>
        <v/>
      </c>
      <c r="G1089">
        <f>Calc!G26</f>
        <v/>
      </c>
      <c r="H1089">
        <f>Calc!H26</f>
        <v/>
      </c>
      <c r="I1089">
        <f>IF(Skills!AA26&lt;&gt;"",1+(Skills!AA26/10)*(U1066/1000)/100,1)</f>
        <v/>
      </c>
      <c r="J1089" t="inlineStr"/>
      <c r="K1089" t="inlineStr"/>
      <c r="L1089" t="inlineStr"/>
      <c r="M1089" t="inlineStr"/>
      <c r="N1089" t="inlineStr"/>
      <c r="O1089">
        <f>(1-Summary!$B$55)*T1089+Summary!$B$55*V1089</f>
        <v/>
      </c>
      <c r="P1089">
        <f>IF(B1107=0,0,O1089/B1107)</f>
        <v/>
      </c>
      <c r="Q1089" t="n">
        <v>0</v>
      </c>
      <c r="R1089" t="n">
        <v>0</v>
      </c>
      <c r="S1089">
        <f>IFERROR(O1089/N1089,0)</f>
        <v/>
      </c>
      <c r="T1089" t="n">
        <v>0</v>
      </c>
      <c r="V1089" t="n">
        <v>0</v>
      </c>
    </row>
    <row r="1090">
      <c r="A1090">
        <f>Skills!A27</f>
        <v/>
      </c>
      <c r="B1090">
        <f>Skills!B27</f>
        <v/>
      </c>
      <c r="C1090">
        <f>Inputs!$B$3&gt;=72</f>
        <v/>
      </c>
      <c r="D1090">
        <f>IF(Skills!C27=1,60+Inputs!$B$25+Inputs!$B$29,IF(Skills!C27=2,90+Inputs!$B$26+Inputs!$B$29,IF(Skills!C27=3,120+Inputs!$B$27+Inputs!$B$29,MAX(0,(Inputs!$B$3-100)*3)+Inputs!$B$28+Inputs!$B$29)))</f>
        <v/>
      </c>
      <c r="E1090">
        <f>INDEX(FactorTable!$B$2:$Y$301, MATCH(ROUND(MIN(300,MAX(1,D1090)),0), FactorTable!$A$2:$A$301,0), Skills!M27+1)</f>
        <v/>
      </c>
      <c r="F1090">
        <f>IF(Skills!N27=TRUE,(Skills!L27/10)*(E1090/1000),Skills!L27/10)+Skills!O27</f>
        <v/>
      </c>
      <c r="G1090">
        <f>Calc!G27</f>
        <v/>
      </c>
      <c r="H1090">
        <f>Calc!H27</f>
        <v/>
      </c>
      <c r="I1090">
        <f>IF(Skills!AA27&lt;&gt;"",1+(Skills!AA27/10)*(U1066/1000)/100,1)</f>
        <v/>
      </c>
      <c r="J1090" t="inlineStr"/>
      <c r="K1090" t="inlineStr"/>
      <c r="L1090" t="inlineStr"/>
      <c r="M1090" t="inlineStr"/>
      <c r="N1090" t="inlineStr"/>
      <c r="O1090">
        <f>(1-Summary!$B$55)*T1090+Summary!$B$55*V1090</f>
        <v/>
      </c>
      <c r="P1090">
        <f>IF(B1107=0,0,O1090/B1107)</f>
        <v/>
      </c>
      <c r="Q1090" t="n">
        <v>0</v>
      </c>
      <c r="R1090" t="n">
        <v>0</v>
      </c>
      <c r="S1090">
        <f>IFERROR(O1090/N1090,0)</f>
        <v/>
      </c>
      <c r="T1090" t="n">
        <v>0</v>
      </c>
      <c r="V1090" t="n">
        <v>0</v>
      </c>
    </row>
    <row r="1091">
      <c r="A1091">
        <f>Skills!A28</f>
        <v/>
      </c>
      <c r="B1091">
        <f>Skills!B28</f>
        <v/>
      </c>
      <c r="C1091">
        <f>Inputs!$B$3&gt;=75</f>
        <v/>
      </c>
      <c r="D1091">
        <f>IF(Skills!C28=1,60+Inputs!$B$25+Inputs!$B$29,IF(Skills!C28=2,90+Inputs!$B$26+Inputs!$B$29,IF(Skills!C28=3,120+Inputs!$B$27+Inputs!$B$29,MAX(0,(Inputs!$B$3-100)*3)+Inputs!$B$28+Inputs!$B$29)))</f>
        <v/>
      </c>
      <c r="E1091">
        <f>INDEX(FactorTable!$B$2:$Y$301, MATCH(ROUND(MIN(300,MAX(1,D1091)),0), FactorTable!$A$2:$A$301,0), Skills!M28+1)</f>
        <v/>
      </c>
      <c r="F1091">
        <f>IF(Skills!N28=TRUE,(Skills!L28/10)*(E1091/1000),Skills!L28/10)+Skills!O28</f>
        <v/>
      </c>
      <c r="G1091">
        <f>Calc!G28</f>
        <v/>
      </c>
      <c r="H1091">
        <f>Calc!H28</f>
        <v/>
      </c>
      <c r="I1091">
        <f>IF(Skills!AA28&lt;&gt;"",1+(Skills!AA28/10)*(U1066/1000)/100,1)</f>
        <v/>
      </c>
      <c r="J1091" t="inlineStr"/>
      <c r="K1091" t="inlineStr"/>
      <c r="L1091" t="inlineStr"/>
      <c r="M1091" t="inlineStr"/>
      <c r="N1091" t="inlineStr"/>
      <c r="O1091">
        <f>(1-Summary!$B$55)*T1091+Summary!$B$55*V1091</f>
        <v/>
      </c>
      <c r="P1091">
        <f>IF(B1107=0,0,O1091/B1107)</f>
        <v/>
      </c>
      <c r="Q1091" t="n">
        <v>0</v>
      </c>
      <c r="R1091" t="n">
        <v>0</v>
      </c>
      <c r="S1091">
        <f>IFERROR(O1091/N1091,0)</f>
        <v/>
      </c>
      <c r="T1091" t="n">
        <v>0</v>
      </c>
      <c r="V1091" t="n">
        <v>0</v>
      </c>
    </row>
    <row r="1092">
      <c r="A1092">
        <f>Skills!A29</f>
        <v/>
      </c>
      <c r="B1092">
        <f>Skills!B29</f>
        <v/>
      </c>
      <c r="C1092">
        <f>Inputs!$B$3&gt;=120</f>
        <v/>
      </c>
      <c r="D1092">
        <f>IF(Skills!C29=1,60+Inputs!$B$25+Inputs!$B$29,IF(Skills!C29=2,90+Inputs!$B$26+Inputs!$B$29,IF(Skills!C29=3,120+Inputs!$B$27+Inputs!$B$29,MAX(0,(Inputs!$B$3-100)*3)+Inputs!$B$28+Inputs!$B$29)))</f>
        <v/>
      </c>
      <c r="E1092">
        <f>INDEX(FactorTable!$B$2:$Y$301, MATCH(ROUND(MIN(300,MAX(1,D1092)),0), FactorTable!$A$2:$A$301,0), Skills!M29+1)</f>
        <v/>
      </c>
      <c r="F1092">
        <f>IF(Skills!N29=TRUE,(Skills!L29/10)*(E1092/1000),Skills!L29/10)+Skills!O29</f>
        <v/>
      </c>
      <c r="G1092">
        <f>Calc!G29</f>
        <v/>
      </c>
      <c r="H1092">
        <f>Calc!H29</f>
        <v/>
      </c>
      <c r="I1092">
        <f>IF(Skills!AA29&lt;&gt;"",1+(Skills!AA29/10)*(U1066/1000)/100,1)</f>
        <v/>
      </c>
      <c r="J1092" t="inlineStr"/>
      <c r="K1092" t="inlineStr"/>
      <c r="L1092" t="inlineStr"/>
      <c r="M1092" t="inlineStr"/>
      <c r="N1092" t="inlineStr"/>
      <c r="O1092">
        <f>(1-Summary!$B$55)*T1092+Summary!$B$55*V1092</f>
        <v/>
      </c>
      <c r="P1092">
        <f>IF(B1107=0,0,O1092/B1107)</f>
        <v/>
      </c>
      <c r="Q1092" t="n">
        <v>0</v>
      </c>
      <c r="R1092" t="n">
        <v>0</v>
      </c>
      <c r="S1092">
        <f>IFERROR(O1092/N1092,0)</f>
        <v/>
      </c>
      <c r="T1092" t="n">
        <v>0</v>
      </c>
      <c r="V1092" t="n">
        <v>0</v>
      </c>
    </row>
    <row r="1093">
      <c r="A1093">
        <f>Skills!A30</f>
        <v/>
      </c>
      <c r="B1093">
        <f>Skills!B30</f>
        <v/>
      </c>
      <c r="C1093">
        <f>Inputs!$B$3&gt;=125</f>
        <v/>
      </c>
      <c r="D1093">
        <f>IF(Skills!C30=1,60+Inputs!$B$25+Inputs!$B$29,IF(Skills!C30=2,90+Inputs!$B$26+Inputs!$B$29,IF(Skills!C30=3,120+Inputs!$B$27+Inputs!$B$29,MAX(0,(Inputs!$B$3-100)*3)+Inputs!$B$28+Inputs!$B$29)))</f>
        <v/>
      </c>
      <c r="E1093">
        <f>INDEX(FactorTable!$B$2:$Y$301, MATCH(ROUND(MIN(300,MAX(1,D1093)),0), FactorTable!$A$2:$A$301,0), Skills!M30+1)</f>
        <v/>
      </c>
      <c r="F1093">
        <f>IF(Skills!N30=TRUE,(Skills!L30/10)*(E1093/1000),Skills!L30/10)+Skills!O30</f>
        <v/>
      </c>
      <c r="G1093">
        <f>Calc!G30</f>
        <v/>
      </c>
      <c r="H1093">
        <f>Calc!H30</f>
        <v/>
      </c>
      <c r="I1093">
        <f>IF(Skills!AA30&lt;&gt;"",1+(Skills!AA30/10)*(U1066/1000)/100,1)</f>
        <v/>
      </c>
      <c r="J1093" t="inlineStr"/>
      <c r="K1093" t="inlineStr"/>
      <c r="L1093" t="inlineStr"/>
      <c r="M1093" t="inlineStr"/>
      <c r="N1093" t="inlineStr"/>
      <c r="O1093">
        <f>(1-Summary!$B$55)*T1093+Summary!$B$55*V1093</f>
        <v/>
      </c>
      <c r="P1093">
        <f>IF(B1107=0,0,O1093/B1107)</f>
        <v/>
      </c>
      <c r="Q1093" t="n">
        <v>0</v>
      </c>
      <c r="R1093" t="n">
        <v>0</v>
      </c>
      <c r="S1093">
        <f>IFERROR(O1093/N1093,0)</f>
        <v/>
      </c>
      <c r="T1093" t="n">
        <v>0</v>
      </c>
      <c r="V1093" t="n">
        <v>0</v>
      </c>
    </row>
    <row r="1094">
      <c r="A1094">
        <f>Skills!A31</f>
        <v/>
      </c>
      <c r="B1094">
        <f>Skills!B31</f>
        <v/>
      </c>
      <c r="C1094">
        <f>Inputs!$B$3&gt;=107</f>
        <v/>
      </c>
      <c r="D1094">
        <f>IF(Skills!C31=1,60+Inputs!$B$25+Inputs!$B$29,IF(Skills!C31=2,90+Inputs!$B$26+Inputs!$B$29,IF(Skills!C31=3,120+Inputs!$B$27+Inputs!$B$29,MAX(0,(Inputs!$B$3-100)*3)+Inputs!$B$28+Inputs!$B$29)))</f>
        <v/>
      </c>
      <c r="E1094">
        <f>INDEX(FactorTable!$B$2:$Y$301, MATCH(ROUND(MIN(300,MAX(1,D1094)),0), FactorTable!$A$2:$A$301,0), Skills!M31+1)</f>
        <v/>
      </c>
      <c r="F1094">
        <f>IF(Skills!N31=TRUE,(Skills!L31/10)*(E1094/1000),Skills!L31/10)+Skills!O31</f>
        <v/>
      </c>
      <c r="G1094">
        <f>Calc!G31</f>
        <v/>
      </c>
      <c r="H1094">
        <f>Calc!H31</f>
        <v/>
      </c>
      <c r="I1094">
        <f>IF(Skills!AA31&lt;&gt;"",1+(Skills!AA31/10)*(U1066/1000)/100,1)</f>
        <v/>
      </c>
      <c r="J1094" t="inlineStr"/>
      <c r="K1094" t="inlineStr"/>
      <c r="L1094" t="inlineStr"/>
      <c r="M1094" t="inlineStr"/>
      <c r="N1094" t="inlineStr"/>
      <c r="O1094">
        <f>(1-Summary!$B$55)*T1094+Summary!$B$55*V1094</f>
        <v/>
      </c>
      <c r="P1094">
        <f>IF(B1107=0,0,O1094/B1107)</f>
        <v/>
      </c>
      <c r="Q1094" t="n">
        <v>0</v>
      </c>
      <c r="R1094" t="n">
        <v>0</v>
      </c>
      <c r="S1094">
        <f>IFERROR(O1094/N1094,0)</f>
        <v/>
      </c>
      <c r="T1094" t="n">
        <v>0</v>
      </c>
      <c r="V1094" t="n">
        <v>0</v>
      </c>
    </row>
    <row r="1096">
      <c r="A1096" t="inlineStr">
        <is>
          <t>Actions Per Second (pre-Adrenalin)</t>
        </is>
      </c>
      <c r="B1096">
        <f>1+MIN(150,150*(1-(1-(Inputs!$B$11+((C1085=TRUE)*(F1085-Calc!F22)))/150)*(1-((C1082=TRUE)*F1082*IF(AND(Inputs!$B$39&lt;&gt;"pvp",Inputs!$B$44&gt;0),(((R1082-1)*(Skills!Y19*(1+Inputs!$B$34/100))+MIN((Skills!Y19*(1+Inputs!$B$34/100)),MAX(0,Inputs!$B$44-((R1082-1)*Skills!D19))))/Inputs!$B$44),IF(Inputs!$B$39="pvp",MIN((Skills!Y19*(1+Inputs!$B$34/100)),15)/15,(Skills!Y19*(1+Inputs!$B$34/100))/Skills!D19)))/150)))/100</f>
        <v/>
      </c>
    </row>
    <row r="1097">
      <c r="A1097" t="inlineStr">
        <is>
          <t>Alchemic Adrenaline Uptime</t>
        </is>
      </c>
      <c r="B1097">
        <f>(Skills!Y6*(1+Inputs!$B$34/100))/((Skills!Y6*(1+Inputs!$B$34/100))+(5/B1096))</f>
        <v/>
      </c>
    </row>
    <row r="1098">
      <c r="A1098" t="inlineStr">
        <is>
          <t>Attack Speed Buff Bonus %</t>
        </is>
      </c>
      <c r="B1098">
        <f>((C1082=TRUE)*F1082*IF(AND(Inputs!$B$39&lt;&gt;"pvp",Inputs!$B$44&gt;0),(((R1082-1)*(Skills!Y19*(1+Inputs!$B$34/100))+MIN((Skills!Y19*(1+Inputs!$B$34/100)),MAX(0,Inputs!$B$44-((R1082-1)*Skills!D19))))/Inputs!$B$44),IF(Inputs!$B$39="pvp",MIN((Skills!Y19*(1+Inputs!$B$34/100)),15)/15,(Skills!Y19*(1+Inputs!$B$34/100))/Skills!D19)))+((C1070=TRUE)*F1070*B1097)</f>
        <v/>
      </c>
    </row>
    <row r="1099">
      <c r="A1099" t="inlineStr">
        <is>
          <t>Actions Per Second (final)</t>
        </is>
      </c>
      <c r="B1099">
        <f>1+MIN(150,150*(1-(1-(Inputs!$B$11+((C1085=TRUE)*(F1085-Calc!F22)))/150)*(1-B1098/150)))/100</f>
        <v/>
      </c>
    </row>
    <row r="1100">
      <c r="A1100" t="inlineStr">
        <is>
          <t>Skill + Buff Cast Rate</t>
        </is>
      </c>
      <c r="B1100">
        <f>IF(AND(Inputs!$B$39&lt;&gt;"pvp",Inputs!$B$44&gt;0),SUMPRODUCT((Skills!E2:E31=TRUE)*(C1065:C1094=TRUE)*R1065:R1094*Skills!F2:F31)/Inputs!$B$44,SUMPRODUCT((Skills!E2:E31=TRUE)*(C1065:C1094=TRUE)*Q1065:Q1094*Skills!F2:F31))</f>
        <v/>
      </c>
    </row>
    <row r="1101">
      <c r="A1101" t="inlineStr">
        <is>
          <t>Showdown Casts Per Second</t>
        </is>
      </c>
      <c r="B1101">
        <f>MAX(0,B1099-B1100)</f>
        <v/>
      </c>
    </row>
    <row r="1102">
      <c r="A1102" t="inlineStr">
        <is>
          <t>Average Buff Multiplier</t>
        </is>
      </c>
      <c r="B1102">
        <f>(1+(((C1084=TRUE)*F1084*IF(AND(Inputs!$B$39&lt;&gt;"pvp",Inputs!$B$44&gt;0),(((R1084-1)*(Skills!Y21*(1+Inputs!$B$34/100))+MIN((Skills!Y21*(1+Inputs!$B$34/100)),MAX(0,Inputs!$B$44-((R1084-1)*Skills!D21))))/Inputs!$B$44),IF(Inputs!$B$39="pvp",MIN((Skills!Y21*(1+Inputs!$B$34/100)),15)/15,(Skills!Y21*(1+Inputs!$B$34/100))/Skills!D21)))+((C1091=TRUE)*(F1091-Calc!F28))+((C1081=TRUE)*(F1081-Calc!F18)))/100)*(1+((C1078=TRUE)*F1078*IF(AND(Inputs!$B$39&lt;&gt;"pvp",Inputs!$B$44&gt;0),(((R1078-1)*(Skills!Y15*(1+Inputs!$B$34/100))+MIN((Skills!Y15*(1+Inputs!$B$34/100)),MAX(0,Inputs!$B$44-((R1078-1)*Skills!D15))))/Inputs!$B$44),IF(Inputs!$B$39="pvp",MIN((Skills!Y15*(1+Inputs!$B$34/100)),15)/15,(Skills!Y15*(1+Inputs!$B$34/100))/Skills!D15)))/100)*(1+((C1069=TRUE)*F1069*B1097)/100)</f>
        <v/>
      </c>
    </row>
    <row r="1103">
      <c r="A1103" t="inlineStr">
        <is>
          <t>Global Crit Rate Bonus %</t>
        </is>
      </c>
      <c r="B1103">
        <f>IF(Inputs!$B$3&gt;=47,8,0)+((C1083=TRUE)*F1083*IF(AND(Inputs!$B$39&lt;&gt;"pvp",Inputs!$B$44&gt;0),(((R1083-1)*(Skills!Y20*(1+Inputs!$B$34/100))+MIN((Skills!Y20*(1+Inputs!$B$34/100)),MAX(0,Inputs!$B$44-((R1083-1)*Skills!D20))))/Inputs!$B$44),IF(Inputs!$B$39="pvp",MIN((Skills!Y20*(1+Inputs!$B$34/100)),15)/15,(Skills!Y20*(1+Inputs!$B$34/100))/Skills!D20)))</f>
        <v/>
      </c>
    </row>
    <row r="1104">
      <c r="A1104" t="inlineStr">
        <is>
          <t>Global Monster Damage-Taken Bonus %</t>
        </is>
      </c>
      <c r="B1104">
        <f>IF(Inputs!$B$3&gt;=82,15,0)+((C1079=TRUE)*F1079*IF(AND(Inputs!$B$39&lt;&gt;"pvp",Inputs!$B$44&gt;0),(((R1079-1)*(Skills!Y16*(1+Inputs!$B$34/100))+MIN((Skills!Y16*(1+Inputs!$B$34/100)),MAX(0,Inputs!$B$44-((R1079-1)*Skills!D16))))/Inputs!$B$44),IF(Inputs!$B$39="pvp",MIN((Skills!Y16*(1+Inputs!$B$34/100)),15)/15,(Skills!Y16*(1+Inputs!$B$34/100))/Skills!D16)))</f>
        <v/>
      </c>
    </row>
    <row r="1105">
      <c r="A1105" t="inlineStr">
        <is>
          <t>Shadow Partner Average Multiplier</t>
        </is>
      </c>
      <c r="B1105">
        <f>1+((C1074=TRUE)*F1074*I1074*Skills!J11/100)/100</f>
        <v/>
      </c>
    </row>
    <row r="1106">
      <c r="A1106" t="inlineStr">
        <is>
          <t>Global Critical Damage Bonus % (Frailty Curse Mastery Lv.111)</t>
        </is>
      </c>
      <c r="B1106">
        <f>IF(Inputs!$B$3&gt;=111,30,0)*IF(AND(Inputs!$B$39&lt;&gt;"pvp",Inputs!$B$44&gt;0),(((R1079-1)*(Skills!Y16*(1+Inputs!$B$34/100))+MIN((Skills!Y16*(1+Inputs!$B$34/100)),MAX(0,Inputs!$B$44-((R1079-1)*Skills!D16))))/Inputs!$B$44),IF(Inputs!$B$39="pvp",MIN((Skills!Y16*(1+Inputs!$B$34/100)),15)/15,(Skills!Y16*(1+Inputs!$B$34/100))/Skills!D16))</f>
        <v/>
      </c>
    </row>
    <row r="1107">
      <c r="A1107" s="5" t="inlineStr">
        <is>
          <t>TOTAL DPS</t>
        </is>
      </c>
      <c r="B1107" s="5">
        <f>SUM(O1065:O1094)</f>
        <v/>
      </c>
    </row>
    <row r="1108">
      <c r="A1108" t="inlineStr">
        <is>
          <t>Buff-Casting Startup Delay (s, fixed-duration only)</t>
        </is>
      </c>
      <c r="B1108">
        <f>IF(AND(Inputs!$B$39&lt;&gt;"pvp",Inputs!$B$44&gt;0),SUMPRODUCT((Skills!Y2:Y31&gt;0)*(Skills!E2:E31=TRUE)*(C1065:C1094=TRUE))/B1099,0)</f>
        <v/>
      </c>
    </row>
    <row r="1109">
      <c r="A1109" t="inlineStr">
        <is>
          <t>Boss-Only Total DPS (this block's swept value)</t>
        </is>
      </c>
      <c r="B1109">
        <f>SUM(T1065:T1094)</f>
        <v/>
      </c>
    </row>
    <row r="1110">
      <c r="A1110" t="inlineStr">
        <is>
          <t>Normal-Only Total DPS (this block's swept value)</t>
        </is>
      </c>
      <c r="B1110">
        <f>SUM(V1065:V1094)</f>
        <v/>
      </c>
    </row>
    <row r="1112">
      <c r="A1112" s="5" t="inlineStr">
        <is>
          <t>Stat: ATTACK %</t>
        </is>
      </c>
    </row>
    <row r="1113">
      <c r="A1113" s="9" t="inlineStr">
        <is>
          <t>Key</t>
        </is>
      </c>
      <c r="B1113" s="9" t="inlineStr">
        <is>
          <t>Name</t>
        </is>
      </c>
      <c r="C1113" s="9" t="inlineStr">
        <is>
          <t>Unlocked</t>
        </is>
      </c>
      <c r="D1113" s="9" t="inlineStr">
        <is>
          <t>InputLevel</t>
        </is>
      </c>
      <c r="E1113" s="9" t="inlineStr">
        <is>
          <t>Factor</t>
        </is>
      </c>
      <c r="F1113" s="9" t="inlineStr">
        <is>
          <t>CoefficientPercent</t>
        </is>
      </c>
      <c r="G1113" s="9" t="inlineStr">
        <is>
          <t>EffectiveHits</t>
        </is>
      </c>
      <c r="H1113" s="9" t="inlineStr">
        <is>
          <t>ProcProbability</t>
        </is>
      </c>
      <c r="I1113" s="9" t="inlineStr">
        <is>
          <t>MapleHeroMultiplier</t>
        </is>
      </c>
      <c r="J1113" s="9" t="inlineStr">
        <is>
          <t>BaseDamage</t>
        </is>
      </c>
      <c r="K1113" s="9" t="inlineStr">
        <is>
          <t>BaseHitDamage</t>
        </is>
      </c>
      <c r="L1113" s="9" t="inlineStr">
        <is>
          <t>NonCritAvg</t>
        </is>
      </c>
      <c r="M1113" s="9" t="inlineStr">
        <is>
          <t>CritAvg</t>
        </is>
      </c>
      <c r="N1113" s="9" t="inlineStr">
        <is>
          <t>ExpectedDamage(perHit)</t>
        </is>
      </c>
      <c r="O1113" s="9" t="inlineStr">
        <is>
          <t>DPS</t>
        </is>
      </c>
      <c r="P1113" s="9" t="inlineStr">
        <is>
          <t>% of Total</t>
        </is>
      </c>
      <c r="Q1113" s="9" t="inlineStr">
        <is>
          <t>InvCooldown</t>
        </is>
      </c>
      <c r="R1113" s="9" t="inlineStr">
        <is>
          <t>CastsInFight</t>
        </is>
      </c>
      <c r="S1113" s="9" t="inlineStr">
        <is>
          <t>HitRate(perSec)</t>
        </is>
      </c>
      <c r="U1113" t="inlineStr">
        <is>
          <t>helpers</t>
        </is>
      </c>
    </row>
    <row r="1114">
      <c r="A1114">
        <f>Skills!A2</f>
        <v/>
      </c>
      <c r="B1114">
        <f>Skills!B2</f>
        <v/>
      </c>
      <c r="C1114">
        <f>Inputs!$B$3&gt;=100</f>
        <v/>
      </c>
      <c r="D1114" t="inlineStr"/>
      <c r="E1114" t="inlineStr"/>
      <c r="F1114">
        <f>U1118+Skills!O2</f>
        <v/>
      </c>
      <c r="G1114">
        <f>Calc!G2</f>
        <v/>
      </c>
      <c r="H1114">
        <f>Calc!H2</f>
        <v/>
      </c>
      <c r="I1114">
        <f>IF(Skills!AA2&lt;&gt;"",1+(Skills!AA2/10)*(U1115/1000)/100,1)</f>
        <v/>
      </c>
      <c r="J1114">
        <f>((Inputs!$B$6*(1+(Inputs!$B$7+1)/100))+(((Inputs!$B$12*(1+Inputs!$B$13/100))-(Inputs!$B$12*(1+Inputs!$B$13/100)))+0.25*(Inputs!$B$14-Inputs!$B$14))*(1+(Inputs!$B$7+1)/100))*(F1114/100)</f>
        <v/>
      </c>
      <c r="K1114">
        <f>J1114*(1+((Inputs!$B$12*(1+Inputs!$B$13/100))*0.01+Inputs!$B$14*0.0025)/100)*(1+Inputs!$B$15/100)*(1+Inputs!$B$16/100)*(5000/(6000+Inputs!$B$43*(1-Inputs!$B$19/100)))*(1+(Inputs!$B$24+((C1142=TRUE)*(F1142-Calc!F30)))/100)*(1+Skills!R2/100)*(1+(IF(Skills!A2="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1114)</f>
        <v/>
      </c>
      <c r="L1114">
        <f>K1114*(MIN(Inputs!$B$22+((C1136=TRUE)*(F1136-Calc!F24)),Inputs!$B$23)/100+Inputs!$B$23/100)/2</f>
        <v/>
      </c>
      <c r="M1114">
        <f>L1114*(1+(Inputs!$B$10+((C1138=TRUE)*(F1138-Calc!F26))+B1155)/100)</f>
        <v/>
      </c>
      <c r="N1114">
        <f>L1114*(1-MIN((Inputs!$B$9+((C1137=TRUE)*(F1137-Calc!F25))+B1152),100)/100)+M1114*(MIN((Inputs!$B$9+((C1137=TRUE)*(F1137-Calc!F25))+B1152),100)/100)</f>
        <v/>
      </c>
      <c r="O1114">
        <f>(1-Summary!$B$55)*T1114+Summary!$B$55*V1114</f>
        <v/>
      </c>
      <c r="P1114">
        <f>IF(B1156=0,0,O1114/B1156)</f>
        <v/>
      </c>
      <c r="Q1114" t="n">
        <v>0</v>
      </c>
      <c r="R1114" t="n">
        <v>0</v>
      </c>
      <c r="S1114">
        <f>IFERROR(O1114/N1114,0)</f>
        <v/>
      </c>
      <c r="T1114">
        <f>IF(C1114,(Skills!G2*N1114*B1150)*IF(Inputs!$B$39="pvp",1,1+(Inputs!$B$20+((C1139=TRUE)*(F1139-Calc!F27))+Skills!P2+B1153)/100),0)</f>
        <v/>
      </c>
      <c r="U1114">
        <f>MAX(0,(Inputs!$B$3-100)*3)+Inputs!$B$28+Inputs!$B$29</f>
        <v/>
      </c>
      <c r="V1114">
        <f>IF(C1114,(Skills!G2*N1114*B1150)*IF(Inputs!$B$39="pvp",1,(1+(Inputs!$B$21+Skills!Q2+B1153)/100)*(MIN((6+Inputs!$B$33),Inputs!$B$37))),0)</f>
        <v/>
      </c>
    </row>
    <row r="1115">
      <c r="A1115">
        <f>Skills!A3</f>
        <v/>
      </c>
      <c r="B1115">
        <f>Skills!B3</f>
        <v/>
      </c>
      <c r="C1115">
        <f>Inputs!$B$3&gt;=35</f>
        <v/>
      </c>
      <c r="D1115">
        <f>IF(Skills!C3=1,60+Inputs!$B$25+Inputs!$B$29,IF(Skills!C3=2,90+Inputs!$B$26+Inputs!$B$29,IF(Skills!C3=3,120+Inputs!$B$27+Inputs!$B$29,MAX(0,(Inputs!$B$3-100)*3)+Inputs!$B$28+Inputs!$B$29)))</f>
        <v/>
      </c>
      <c r="E1115">
        <f>INDEX(FactorTable!$B$2:$Y$301, MATCH(ROUND(MIN(300,MAX(1,D1115)),0), FactorTable!$A$2:$A$301,0), Skills!M3+1)</f>
        <v/>
      </c>
      <c r="F1115">
        <f>IF(Skills!N3=TRUE,(Skills!L3/10)*(E1115/1000),Skills!L3/10)+Skills!O3</f>
        <v/>
      </c>
      <c r="G1115">
        <f>Calc!G3</f>
        <v/>
      </c>
      <c r="H1115">
        <f>Calc!H3</f>
        <v/>
      </c>
      <c r="I1115">
        <f>IF(Skills!AA3&lt;&gt;"",1+(Skills!AA3/10)*(U1115/1000)/100,1)</f>
        <v/>
      </c>
      <c r="J1115">
        <f>((Inputs!$B$6*(1+(Inputs!$B$7+1)/100))+(((Inputs!$B$12*(1+Inputs!$B$13/100))-(Inputs!$B$12*(1+Inputs!$B$13/100)))+0.25*(Inputs!$B$14-Inputs!$B$14))*(1+(Inputs!$B$7+1)/100))*(F1115/100)</f>
        <v/>
      </c>
      <c r="K1115">
        <f>J1115*(1+((Inputs!$B$12*(1+Inputs!$B$13/100))*0.01+Inputs!$B$14*0.0025)/100)*(1+Inputs!$B$15/100)*(1+Inputs!$B$16/100)*(5000/(6000+Inputs!$B$43*(1-Inputs!$B$19/100)))*(1+(Inputs!$B$24+((C1142=TRUE)*(F1142-Calc!F30)))/100)*(1+Skills!R3/100)*(1+(IF(Skills!A3="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1115)</f>
        <v/>
      </c>
      <c r="L1115">
        <f>K1115*(MIN(Inputs!$B$22+((C1136=TRUE)*(F1136-Calc!F24)),Inputs!$B$23)/100+Inputs!$B$23/100)/2</f>
        <v/>
      </c>
      <c r="M1115">
        <f>L1115*(1+(Inputs!$B$10+((C1138=TRUE)*(F1138-Calc!F26))+B1155)/100)</f>
        <v/>
      </c>
      <c r="N1115">
        <f>L1115*(1-MIN((Inputs!$B$9+((C1137=TRUE)*(F1137-Calc!F25))+B1152),100)/100)+M1115*(MIN((Inputs!$B$9+((C1137=TRUE)*(F1137-Calc!F25))+B1152),100)/100)</f>
        <v/>
      </c>
      <c r="O1115">
        <f>(1-Summary!$B$55)*T1115+Summary!$B$55*V1115</f>
        <v/>
      </c>
      <c r="P1115">
        <f>IF(B1156=0,0,O1115/B1156)</f>
        <v/>
      </c>
      <c r="Q1115">
        <f>IFERROR(1/IF(Inputs!$B$39="pvp",15,MAX(0.1,Skills!D3-IF(Skills!E3=TRUE,Inputs!$B$32,0))),0)</f>
        <v/>
      </c>
      <c r="R1115">
        <f>IF(AND(Inputs!$B$39&lt;&gt;"pvp",Inputs!$B$44&gt;0),IF(MAX(0,Inputs!$B$44-B1157)&lt;=0,0,(INT(MAX(0,Inputs!$B$44-B1157)/IF(Inputs!$B$39="pvp",15,MAX(0.1,Skills!D3-IF(Skills!E3=TRUE,Inputs!$B$32,0))))+1)),0)</f>
        <v/>
      </c>
      <c r="S1115">
        <f>IFERROR(O1115/N1115,0)</f>
        <v/>
      </c>
      <c r="T1115">
        <f>IF(C1115,(H1115*N1115*IF(AND(Inputs!$B$39&lt;&gt;"pvp",Inputs!$B$44&gt;0),((Skills!G3*((R1115-1)*IF(Skills!H3&gt;0,Skills!I3/Skills!H3,1)+IF(Skills!H3&gt;0,MIN(Skills!I3,MAX(0,MAX(0,Inputs!$B$44-B1157)-((R1115-1)*IF(Inputs!$B$39="pvp",15,MAX(0.1,Skills!D3-IF(Skills!E3=TRUE,Inputs!$B$32,0))))))/Skills!H3,1)))/Inputs!$B$44),G1115*Q1115))*IF(Inputs!$B$39="pvp",1,1+(Inputs!$B$20+((C1139=TRUE)*(F1139-Calc!F27))+Skills!P3+B1153)/100),0)</f>
        <v/>
      </c>
      <c r="U1115">
        <f>INDEX(FactorTable!$B$2:$Y$301, MATCH(ROUND(MIN(300,MAX(1,U1114)),0), FactorTable!$A$2:$A$301,0), 24)</f>
        <v/>
      </c>
      <c r="V1115">
        <f>IF(C1115,(H1115*N1115*IF(AND(Inputs!$B$39&lt;&gt;"pvp",Inputs!$B$44&gt;0),((Skills!G3*((R1115-1)*IF(Skills!H3&gt;0,Skills!I3/Skills!H3,1)+IF(Skills!H3&gt;0,MIN(Skills!I3,MAX(0,MAX(0,Inputs!$B$44-B1157)-((R1115-1)*IF(Inputs!$B$39="pvp",15,MAX(0.1,Skills!D3-IF(Skills!E3=TRUE,Inputs!$B$32,0))))))/Skills!H3,1)))/Inputs!$B$44),G1115*Q1115))*IF(Inputs!$B$39="pvp",1,(1+(Inputs!$B$21+Skills!Q3+B1153)/100)*(MIN(Skills!W3,Inputs!$B$37))),0)</f>
        <v/>
      </c>
    </row>
    <row r="1116">
      <c r="A1116">
        <f>Skills!A4</f>
        <v/>
      </c>
      <c r="B1116">
        <f>Skills!B4</f>
        <v/>
      </c>
      <c r="C1116">
        <f>Inputs!$B$3&gt;=40</f>
        <v/>
      </c>
      <c r="D1116">
        <f>IF(Skills!C4=1,60+Inputs!$B$25+Inputs!$B$29,IF(Skills!C4=2,90+Inputs!$B$26+Inputs!$B$29,IF(Skills!C4=3,120+Inputs!$B$27+Inputs!$B$29,MAX(0,(Inputs!$B$3-100)*3)+Inputs!$B$28+Inputs!$B$29)))</f>
        <v/>
      </c>
      <c r="E1116">
        <f>INDEX(FactorTable!$B$2:$Y$301, MATCH(ROUND(MIN(300,MAX(1,D1116)),0), FactorTable!$A$2:$A$301,0), Skills!M4+1)</f>
        <v/>
      </c>
      <c r="F1116">
        <f>IF(Skills!N4=TRUE,(Skills!L4/10)*(E1116/1000),Skills!L4/10)+Skills!O4</f>
        <v/>
      </c>
      <c r="G1116">
        <f>Calc!G4</f>
        <v/>
      </c>
      <c r="H1116">
        <f>Calc!H4</f>
        <v/>
      </c>
      <c r="I1116">
        <f>IF(Skills!AA4&lt;&gt;"",1+(Skills!AA4/10)*(U1115/1000)/100,1)</f>
        <v/>
      </c>
      <c r="J1116">
        <f>((Inputs!$B$6*(1+(Inputs!$B$7+1)/100))+(((Inputs!$B$12*(1+Inputs!$B$13/100))-(Inputs!$B$12*(1+Inputs!$B$13/100)))+0.25*(Inputs!$B$14-Inputs!$B$14))*(1+(Inputs!$B$7+1)/100))*(F1116/100)</f>
        <v/>
      </c>
      <c r="K1116">
        <f>J1116*(1+((Inputs!$B$12*(1+Inputs!$B$13/100))*0.01+Inputs!$B$14*0.0025)/100)*(1+Inputs!$B$15/100)*(1+Inputs!$B$16/100)*(5000/(6000+Inputs!$B$43*(1-Inputs!$B$19/100)))*(1+(Inputs!$B$24+((C1142=TRUE)*(F1142-Calc!F30)))/100)*(1+Skills!R4/100)*(1+(IF(Skills!A4="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1116)</f>
        <v/>
      </c>
      <c r="L1116">
        <f>K1116*(MIN(Inputs!$B$22+((C1136=TRUE)*(F1136-Calc!F24)),Inputs!$B$23)/100+Inputs!$B$23/100)/2</f>
        <v/>
      </c>
      <c r="M1116">
        <f>L1116*(1+(Inputs!$B$10+((C1138=TRUE)*(F1138-Calc!F26))+B1155)/100)</f>
        <v/>
      </c>
      <c r="N1116">
        <f>L1116*(1-MIN((Inputs!$B$9+((C1137=TRUE)*(F1137-Calc!F25))+B1152),100)/100)+M1116*(MIN((Inputs!$B$9+((C1137=TRUE)*(F1137-Calc!F25))+B1152),100)/100)</f>
        <v/>
      </c>
      <c r="O1116">
        <f>(1-Summary!$B$55)*T1116+Summary!$B$55*V1116</f>
        <v/>
      </c>
      <c r="P1116">
        <f>IF(B1156=0,0,O1116/B1156)</f>
        <v/>
      </c>
      <c r="Q1116">
        <f>IFERROR(1/IF(Inputs!$B$39="pvp",15,MAX(0.1,Skills!D4-IF(Skills!E4=TRUE,Inputs!$B$32,0))),0)</f>
        <v/>
      </c>
      <c r="R1116">
        <f>IF(AND(Inputs!$B$39&lt;&gt;"pvp",Inputs!$B$44&gt;0),IF(MAX(0,Inputs!$B$44-B1157)&lt;=0,0,(INT(MAX(0,Inputs!$B$44-B1157)/IF(Inputs!$B$39="pvp",15,MAX(0.1,Skills!D4-IF(Skills!E4=TRUE,Inputs!$B$32,0))))+1)),0)</f>
        <v/>
      </c>
      <c r="S1116">
        <f>IFERROR(O1116/N1116,0)</f>
        <v/>
      </c>
      <c r="T1116">
        <f>IF(C1116,(H1116*N1116*IF(AND(Inputs!$B$39&lt;&gt;"pvp",Inputs!$B$44&gt;0),((Skills!G4*((R1116-1)*IF(Skills!H4&gt;0,Skills!I4/Skills!H4,1)+IF(Skills!H4&gt;0,MIN(Skills!I4,MAX(0,MAX(0,Inputs!$B$44-B1157)-((R1116-1)*IF(Inputs!$B$39="pvp",15,MAX(0.1,Skills!D4-IF(Skills!E4=TRUE,Inputs!$B$32,0))))))/Skills!H4,1)))/Inputs!$B$44),G1116*Q1116))*IF(Inputs!$B$39="pvp",1,1+(Inputs!$B$20+((C1139=TRUE)*(F1139-Calc!F27))+Skills!P4+B1153)/100),0)</f>
        <v/>
      </c>
      <c r="U1116">
        <f>MAX(0,(Inputs!$B$3-100)*3)+Inputs!$B$28+Inputs!$B$29</f>
        <v/>
      </c>
      <c r="V1116">
        <f>IF(C1116,(H1116*N1116*IF(AND(Inputs!$B$39&lt;&gt;"pvp",Inputs!$B$44&gt;0),((Skills!G4*((R1116-1)*IF(Skills!H4&gt;0,Skills!I4/Skills!H4,1)+IF(Skills!H4&gt;0,MIN(Skills!I4,MAX(0,MAX(0,Inputs!$B$44-B1157)-((R1116-1)*IF(Inputs!$B$39="pvp",15,MAX(0.1,Skills!D4-IF(Skills!E4=TRUE,Inputs!$B$32,0))))))/Skills!H4,1)))/Inputs!$B$44),G1116*Q1116))*IF(Inputs!$B$39="pvp",1,(1+(Inputs!$B$21+Skills!Q4+B1153)/100)*(MIN(Skills!W4,Inputs!$B$37))),0)</f>
        <v/>
      </c>
    </row>
    <row r="1117">
      <c r="A1117">
        <f>Skills!A5</f>
        <v/>
      </c>
      <c r="B1117">
        <f>Skills!B5</f>
        <v/>
      </c>
      <c r="C1117">
        <f>Inputs!$B$3&gt;=63</f>
        <v/>
      </c>
      <c r="D1117">
        <f>IF(Skills!C5=1,60+Inputs!$B$25+Inputs!$B$29,IF(Skills!C5=2,90+Inputs!$B$26+Inputs!$B$29,IF(Skills!C5=3,120+Inputs!$B$27+Inputs!$B$29,MAX(0,(Inputs!$B$3-100)*3)+Inputs!$B$28+Inputs!$B$29)))</f>
        <v/>
      </c>
      <c r="E1117">
        <f>INDEX(FactorTable!$B$2:$Y$301, MATCH(ROUND(MIN(300,MAX(1,D1117)),0), FactorTable!$A$2:$A$301,0), Skills!M5+1)</f>
        <v/>
      </c>
      <c r="F1117">
        <f>IF(Skills!N5=TRUE,(Skills!L5/10)*(E1117/1000),Skills!L5/10)+Skills!O5</f>
        <v/>
      </c>
      <c r="G1117">
        <f>Calc!G5</f>
        <v/>
      </c>
      <c r="H1117">
        <f>Calc!H5</f>
        <v/>
      </c>
      <c r="I1117">
        <f>IF(Skills!AA5&lt;&gt;"",1+(Skills!AA5/10)*(U1115/1000)/100,1)</f>
        <v/>
      </c>
      <c r="J1117">
        <f>((Inputs!$B$6*(1+(Inputs!$B$7+1)/100))+(((Inputs!$B$12*(1+Inputs!$B$13/100))-(Inputs!$B$12*(1+Inputs!$B$13/100)))+0.25*(Inputs!$B$14-Inputs!$B$14))*(1+(Inputs!$B$7+1)/100))*(F1117/100)</f>
        <v/>
      </c>
      <c r="K1117">
        <f>J1117*(1+((Inputs!$B$12*(1+Inputs!$B$13/100))*0.01+Inputs!$B$14*0.0025)/100)*(1+Inputs!$B$15/100)*(1+Inputs!$B$16/100)*(5000/(6000+Inputs!$B$43*(1-Inputs!$B$19/100)))*(1+(Inputs!$B$24+((C1142=TRUE)*(F1142-Calc!F30)))/100)*(1+Skills!R5/100)*(1+(IF(Skills!A5="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1117)</f>
        <v/>
      </c>
      <c r="L1117">
        <f>K1117*(MIN(Inputs!$B$22+((C1136=TRUE)*(F1136-Calc!F24)),Inputs!$B$23)/100+Inputs!$B$23/100)/2</f>
        <v/>
      </c>
      <c r="M1117">
        <f>L1117*(1+(Inputs!$B$10+((C1138=TRUE)*(F1138-Calc!F26))+B1155)/100)</f>
        <v/>
      </c>
      <c r="N1117">
        <f>L1117*(1-MIN((Inputs!$B$9+((C1137=TRUE)*(F1137-Calc!F25))+B1152),100)/100)+M1117*(MIN((Inputs!$B$9+((C1137=TRUE)*(F1137-Calc!F25))+B1152),100)/100)</f>
        <v/>
      </c>
      <c r="O1117">
        <f>(1-Summary!$B$55)*T1117+Summary!$B$55*V1117</f>
        <v/>
      </c>
      <c r="P1117">
        <f>IF(B1156=0,0,O1117/B1156)</f>
        <v/>
      </c>
      <c r="Q1117">
        <f>IFERROR(1/IF(Inputs!$B$39="pvp",15,MAX(0.1,Skills!D5-IF(Skills!E5=TRUE,Inputs!$B$32,0))),0)</f>
        <v/>
      </c>
      <c r="R1117">
        <f>IF(AND(Inputs!$B$39&lt;&gt;"pvp",Inputs!$B$44&gt;0),IF(MAX(0,Inputs!$B$44-B1157)&lt;=0,0,(INT(MAX(0,Inputs!$B$44-B1157)/IF(Inputs!$B$39="pvp",15,MAX(0.1,Skills!D5-IF(Skills!E5=TRUE,Inputs!$B$32,0))))+1)),0)</f>
        <v/>
      </c>
      <c r="S1117">
        <f>IFERROR(O1117/N1117,0)</f>
        <v/>
      </c>
      <c r="T1117">
        <f>IF(C1117,(H1117*N1117*IF(AND(Inputs!$B$39&lt;&gt;"pvp",Inputs!$B$44&gt;0),((Skills!G5*((R1117-1)*IF(Skills!H5&gt;0,Skills!I5/Skills!H5,1)+IF(Skills!H5&gt;0,MIN(Skills!I5,MAX(0,MAX(0,Inputs!$B$44-B1157)-((R1117-1)*IF(Inputs!$B$39="pvp",15,MAX(0.1,Skills!D5-IF(Skills!E5=TRUE,Inputs!$B$32,0))))))/Skills!H5,1)))/Inputs!$B$44),G1117*Q1117))*IF(Inputs!$B$39="pvp",1,1+(Inputs!$B$20+((C1139=TRUE)*(F1139-Calc!F27))+Skills!P5+B1153)/100),0)</f>
        <v/>
      </c>
      <c r="U1117">
        <f>INDEX(FactorTable!$B$2:$Y$301, MATCH(ROUND(MIN(300,MAX(1,U1116)),0), FactorTable!$A$2:$A$301,0), 22)</f>
        <v/>
      </c>
      <c r="V1117">
        <f>IF(C1117,(H1117*N1117*IF(AND(Inputs!$B$39&lt;&gt;"pvp",Inputs!$B$44&gt;0),((Skills!G5*((R1117-1)*IF(Skills!H5&gt;0,Skills!I5/Skills!H5,1)+IF(Skills!H5&gt;0,MIN(Skills!I5,MAX(0,MAX(0,Inputs!$B$44-B1157)-((R1117-1)*IF(Inputs!$B$39="pvp",15,MAX(0.1,Skills!D5-IF(Skills!E5=TRUE,Inputs!$B$32,0))))))/Skills!H5,1)))/Inputs!$B$44),G1117*Q1117))*IF(Inputs!$B$39="pvp",1,(1+(Inputs!$B$21+Skills!Q5+B1153)/100)*(MIN(Skills!W5,Inputs!$B$37))),0)</f>
        <v/>
      </c>
    </row>
    <row r="1118">
      <c r="A1118">
        <f>Skills!A6</f>
        <v/>
      </c>
      <c r="B1118">
        <f>Skills!B6</f>
        <v/>
      </c>
      <c r="C1118">
        <f>Inputs!$B$3&gt;=66</f>
        <v/>
      </c>
      <c r="D1118">
        <f>IF(Skills!C6=1,60+Inputs!$B$25+Inputs!$B$29,IF(Skills!C6=2,90+Inputs!$B$26+Inputs!$B$29,IF(Skills!C6=3,120+Inputs!$B$27+Inputs!$B$29,MAX(0,(Inputs!$B$3-100)*3)+Inputs!$B$28+Inputs!$B$29)))</f>
        <v/>
      </c>
      <c r="E1118">
        <f>INDEX(FactorTable!$B$2:$Y$301, MATCH(ROUND(MIN(300,MAX(1,D1118)),0), FactorTable!$A$2:$A$301,0), Skills!M6+1)</f>
        <v/>
      </c>
      <c r="F1118">
        <f>IF(Skills!N6=TRUE,(Skills!L6/10)*(E1118/1000),Skills!L6/10)+Skills!O6</f>
        <v/>
      </c>
      <c r="G1118">
        <f>Calc!G6</f>
        <v/>
      </c>
      <c r="H1118">
        <f>Calc!H6</f>
        <v/>
      </c>
      <c r="I1118">
        <f>IF(Skills!AA6&lt;&gt;"",1+(Skills!AA6/10)*(U1115/1000)/100,1)</f>
        <v/>
      </c>
      <c r="J1118" t="inlineStr"/>
      <c r="K1118" t="inlineStr"/>
      <c r="L1118" t="inlineStr"/>
      <c r="M1118" t="inlineStr"/>
      <c r="N1118" t="inlineStr"/>
      <c r="O1118">
        <f>(1-Summary!$B$55)*T1118+Summary!$B$55*V1118</f>
        <v/>
      </c>
      <c r="P1118">
        <f>IF(B1156=0,0,O1118/B1156)</f>
        <v/>
      </c>
      <c r="Q1118" t="n">
        <v>0</v>
      </c>
      <c r="R1118" t="n">
        <v>0</v>
      </c>
      <c r="S1118">
        <f>IFERROR(O1118/N1118,0)</f>
        <v/>
      </c>
      <c r="T1118" t="n">
        <v>0</v>
      </c>
      <c r="U1118">
        <f>290*U1117/1000</f>
        <v/>
      </c>
      <c r="V1118" t="n">
        <v>0</v>
      </c>
    </row>
    <row r="1119">
      <c r="A1119">
        <f>Skills!A7</f>
        <v/>
      </c>
      <c r="B1119">
        <f>Skills!B7</f>
        <v/>
      </c>
      <c r="C1119">
        <f>Inputs!$B$3&gt;=66</f>
        <v/>
      </c>
      <c r="D1119">
        <f>IF(Skills!C7=1,60+Inputs!$B$25+Inputs!$B$29,IF(Skills!C7=2,90+Inputs!$B$26+Inputs!$B$29,IF(Skills!C7=3,120+Inputs!$B$27+Inputs!$B$29,MAX(0,(Inputs!$B$3-100)*3)+Inputs!$B$28+Inputs!$B$29)))</f>
        <v/>
      </c>
      <c r="E1119">
        <f>INDEX(FactorTable!$B$2:$Y$301, MATCH(ROUND(MIN(300,MAX(1,D1119)),0), FactorTable!$A$2:$A$301,0), Skills!M7+1)</f>
        <v/>
      </c>
      <c r="F1119">
        <f>IF(Skills!N7=TRUE,(Skills!L7/10)*(E1119/1000),Skills!L7/10)+Skills!O7</f>
        <v/>
      </c>
      <c r="G1119">
        <f>Calc!G7</f>
        <v/>
      </c>
      <c r="H1119">
        <f>Calc!H7</f>
        <v/>
      </c>
      <c r="I1119">
        <f>IF(Skills!AA7&lt;&gt;"",1+(Skills!AA7/10)*(U1115/1000)/100,1)</f>
        <v/>
      </c>
      <c r="J1119" t="inlineStr"/>
      <c r="K1119" t="inlineStr"/>
      <c r="L1119" t="inlineStr"/>
      <c r="M1119" t="inlineStr"/>
      <c r="N1119" t="inlineStr"/>
      <c r="O1119">
        <f>(1-Summary!$B$55)*T1119+Summary!$B$55*V1119</f>
        <v/>
      </c>
      <c r="P1119">
        <f>IF(B1156=0,0,O1119/B1156)</f>
        <v/>
      </c>
      <c r="Q1119" t="n">
        <v>0</v>
      </c>
      <c r="R1119" t="n">
        <v>0</v>
      </c>
      <c r="S1119">
        <f>IFERROR(O1119/N1119,0)</f>
        <v/>
      </c>
      <c r="T1119" t="n">
        <v>0</v>
      </c>
      <c r="V1119" t="n">
        <v>0</v>
      </c>
    </row>
    <row r="1120">
      <c r="A1120">
        <f>Skills!A8</f>
        <v/>
      </c>
      <c r="B1120">
        <f>Skills!B8</f>
        <v/>
      </c>
      <c r="C1120">
        <f>Inputs!$B$3&gt;=69</f>
        <v/>
      </c>
      <c r="D1120">
        <f>IF(Skills!C8=1,60+Inputs!$B$25+Inputs!$B$29,IF(Skills!C8=2,90+Inputs!$B$26+Inputs!$B$29,IF(Skills!C8=3,120+Inputs!$B$27+Inputs!$B$29,MAX(0,(Inputs!$B$3-100)*3)+Inputs!$B$28+Inputs!$B$29)))</f>
        <v/>
      </c>
      <c r="E1120">
        <f>INDEX(FactorTable!$B$2:$Y$301, MATCH(ROUND(MIN(300,MAX(1,D1120)),0), FactorTable!$A$2:$A$301,0), Skills!M8+1)</f>
        <v/>
      </c>
      <c r="F1120">
        <f>IF(Skills!N8=TRUE,(Skills!L8/10)*(E1120/1000),Skills!L8/10)+Skills!O8</f>
        <v/>
      </c>
      <c r="G1120">
        <f>Calc!G8</f>
        <v/>
      </c>
      <c r="H1120">
        <f>Calc!H8</f>
        <v/>
      </c>
      <c r="I1120">
        <f>IF(Skills!AA8&lt;&gt;"",1+(Skills!AA8/10)*(U1115/1000)/100,1)</f>
        <v/>
      </c>
      <c r="J1120">
        <f>((Inputs!$B$6*(1+(Inputs!$B$7+1)/100))+(((Inputs!$B$12*(1+Inputs!$B$13/100))-(Inputs!$B$12*(1+Inputs!$B$13/100)))+0.25*(Inputs!$B$14-Inputs!$B$14))*(1+(Inputs!$B$7+1)/100))*(F1120/100)</f>
        <v/>
      </c>
      <c r="K1120">
        <f>J1120*(1+((Inputs!$B$12*(1+Inputs!$B$13/100))*0.01+Inputs!$B$14*0.0025)/100)*(1+Inputs!$B$15/100)*(1+Inputs!$B$16/100)*(5000/(6000+Inputs!$B$43*(1-Inputs!$B$19/100)))*(1+(Inputs!$B$24+((C1142=TRUE)*(F1142-Calc!F30)))/100)*(1+Skills!R8/100)*(1+(IF(Skills!A8="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1120)</f>
        <v/>
      </c>
      <c r="L1120">
        <f>K1120*(MIN(Inputs!$B$22+((C1136=TRUE)*(F1136-Calc!F24)),Inputs!$B$23)/100+Inputs!$B$23/100)/2</f>
        <v/>
      </c>
      <c r="M1120">
        <f>L1120*(1+(Inputs!$B$10+((C1138=TRUE)*(F1138-Calc!F26))+B1155)/100)</f>
        <v/>
      </c>
      <c r="N1120">
        <f>L1120*(1-MIN((Inputs!$B$9+((C1137=TRUE)*(F1137-Calc!F25))+B1152),100)/100)+M1120*(MIN((Inputs!$B$9+((C1137=TRUE)*(F1137-Calc!F25))+B1152),100)/100)</f>
        <v/>
      </c>
      <c r="O1120">
        <f>(1-Summary!$B$55)*T1120+Summary!$B$55*V1120</f>
        <v/>
      </c>
      <c r="P1120">
        <f>IF(B1156=0,0,O1120/B1156)</f>
        <v/>
      </c>
      <c r="Q1120">
        <f>IFERROR(1/IF(Inputs!$B$39="pvp",15,MAX(0.1,Skills!D8-IF(Skills!E8=TRUE,Inputs!$B$32,0))),0)</f>
        <v/>
      </c>
      <c r="R1120">
        <f>IF(AND(Inputs!$B$39&lt;&gt;"pvp",Inputs!$B$44&gt;0),IF(MAX(0,Inputs!$B$44-B1157)&lt;=0,0,(INT(MAX(0,Inputs!$B$44-B1157)/IF(Inputs!$B$39="pvp",15,MAX(0.1,Skills!D8-IF(Skills!E8=TRUE,Inputs!$B$32,0))))+1)),0)</f>
        <v/>
      </c>
      <c r="S1120">
        <f>IFERROR(O1120/N1120,0)</f>
        <v/>
      </c>
      <c r="T1120">
        <f>IF(C1120,(H1120*N1120*IF(AND(Inputs!$B$39&lt;&gt;"pvp",Inputs!$B$44&gt;0),((Skills!G8*((R1120-1)*IF(Skills!H8&gt;0,Skills!I8/Skills!H8,1)+IF(Skills!H8&gt;0,MIN(Skills!I8,MAX(0,MAX(0,Inputs!$B$44-B1157)-((R1120-1)*IF(Inputs!$B$39="pvp",15,MAX(0.1,Skills!D8-IF(Skills!E8=TRUE,Inputs!$B$32,0))))))/Skills!H8,1)))/Inputs!$B$44),G1120*Q1120))*IF(Inputs!$B$39="pvp",1,1+(Inputs!$B$20+((C1139=TRUE)*(F1139-Calc!F27))+Skills!P8+B1153)/100),0)</f>
        <v/>
      </c>
      <c r="V1120">
        <f>IF(C1120,(H1120*N1120*IF(AND(Inputs!$B$39&lt;&gt;"pvp",Inputs!$B$44&gt;0),((Skills!G8*((R1120-1)*IF(Skills!H8&gt;0,Skills!I8/Skills!H8,1)+IF(Skills!H8&gt;0,MIN(Skills!I8,MAX(0,MAX(0,Inputs!$B$44-B1157)-((R1120-1)*IF(Inputs!$B$39="pvp",15,MAX(0.1,Skills!D8-IF(Skills!E8=TRUE,Inputs!$B$32,0))))))/Skills!H8,1)))/Inputs!$B$44),G1120*Q1120))*IF(Inputs!$B$39="pvp",1,(1+(Inputs!$B$21+Skills!Q8+B1153)/100)*(MIN(Skills!W8,Inputs!$B$37))),0)</f>
        <v/>
      </c>
    </row>
    <row r="1121">
      <c r="A1121">
        <f>Skills!A9</f>
        <v/>
      </c>
      <c r="B1121">
        <f>Skills!B9</f>
        <v/>
      </c>
      <c r="C1121">
        <f>Inputs!$B$3&gt;=72</f>
        <v/>
      </c>
      <c r="D1121">
        <f>IF(Skills!C9=1,60+Inputs!$B$25+Inputs!$B$29,IF(Skills!C9=2,90+Inputs!$B$26+Inputs!$B$29,IF(Skills!C9=3,120+Inputs!$B$27+Inputs!$B$29,MAX(0,(Inputs!$B$3-100)*3)+Inputs!$B$28+Inputs!$B$29)))</f>
        <v/>
      </c>
      <c r="E1121">
        <f>INDEX(FactorTable!$B$2:$Y$301, MATCH(ROUND(MIN(300,MAX(1,D1121)),0), FactorTable!$A$2:$A$301,0), Skills!M9+1)</f>
        <v/>
      </c>
      <c r="F1121">
        <f>IF(Skills!N9=TRUE,(Skills!L9/10)*(E1121/1000),Skills!L9/10)+Skills!O9</f>
        <v/>
      </c>
      <c r="G1121">
        <f>Calc!G9</f>
        <v/>
      </c>
      <c r="H1121">
        <f>Calc!H9</f>
        <v/>
      </c>
      <c r="I1121">
        <f>IF(Skills!AA9&lt;&gt;"",1+(Skills!AA9/10)*(U1115/1000)/100,1)</f>
        <v/>
      </c>
      <c r="J1121">
        <f>((Inputs!$B$6*(1+(Inputs!$B$7+1)/100))+(((Inputs!$B$12*(1+Inputs!$B$13/100))-(Inputs!$B$12*(1+Inputs!$B$13/100)))+0.25*(Inputs!$B$14-Inputs!$B$14))*(1+(Inputs!$B$7+1)/100))*(F1121/100)</f>
        <v/>
      </c>
      <c r="K1121">
        <f>J1121*(1+((Inputs!$B$12*(1+Inputs!$B$13/100))*0.01+Inputs!$B$14*0.0025)/100)*(1+Inputs!$B$15/100)*(1+Inputs!$B$16/100)*(5000/(6000+Inputs!$B$43*(1-Inputs!$B$19/100)))*(1+(Inputs!$B$24+((C1142=TRUE)*(F1142-Calc!F30)))/100)*(1+Skills!R9/100)*(1+(IF(Skills!A9="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1121)</f>
        <v/>
      </c>
      <c r="L1121">
        <f>K1121*(MIN(Inputs!$B$22+((C1136=TRUE)*(F1136-Calc!F24)),Inputs!$B$23)/100+Inputs!$B$23/100)/2</f>
        <v/>
      </c>
      <c r="M1121">
        <f>L1121*(1+(Inputs!$B$10+((C1138=TRUE)*(F1138-Calc!F26))+B1155)/100)</f>
        <v/>
      </c>
      <c r="N1121">
        <f>L1121*(1-MIN((Inputs!$B$9+((C1137=TRUE)*(F1137-Calc!F25))+B1152),100)/100)+M1121*(MIN((Inputs!$B$9+((C1137=TRUE)*(F1137-Calc!F25))+B1152),100)/100)</f>
        <v/>
      </c>
      <c r="O1121">
        <f>(1-Summary!$B$55)*T1121+Summary!$B$55*V1121</f>
        <v/>
      </c>
      <c r="P1121">
        <f>IF(B1156=0,0,O1121/B1156)</f>
        <v/>
      </c>
      <c r="Q1121">
        <f>IFERROR(1/IF(Inputs!$B$39="pvp",15,MAX(0.1,Skills!D9-IF(Skills!E9=TRUE,Inputs!$B$32,0))),0)</f>
        <v/>
      </c>
      <c r="R1121">
        <f>IF(AND(Inputs!$B$39&lt;&gt;"pvp",Inputs!$B$44&gt;0),IF(MAX(0,Inputs!$B$44-B1157)&lt;=0,0,(INT(MAX(0,Inputs!$B$44-B1157)/IF(Inputs!$B$39="pvp",15,MAX(0.1,Skills!D9-IF(Skills!E9=TRUE,Inputs!$B$32,0))))+1)),0)</f>
        <v/>
      </c>
      <c r="S1121">
        <f>IFERROR(O1121/N1121,0)</f>
        <v/>
      </c>
      <c r="T1121">
        <f>IF(C1121,(H1121*N1121*IF(AND(Inputs!$B$39&lt;&gt;"pvp",Inputs!$B$44&gt;0),((Skills!G9*((R1121-1)*IF(Skills!H9&gt;0,Skills!I9/Skills!H9,1)+IF(Skills!H9&gt;0,MIN(Skills!I9,MAX(0,MAX(0,Inputs!$B$44-B1157)-((R1121-1)*IF(Inputs!$B$39="pvp",15,MAX(0.1,Skills!D9-IF(Skills!E9=TRUE,Inputs!$B$32,0))))))/Skills!H9,1)))/Inputs!$B$44),G1121*Q1121))*IF(Inputs!$B$39="pvp",1,1+(Inputs!$B$20+((C1139=TRUE)*(F1139-Calc!F27))+Skills!P9+B1153)/100),0)</f>
        <v/>
      </c>
      <c r="V1121">
        <f>IF(C1121,(H1121*N1121*IF(AND(Inputs!$B$39&lt;&gt;"pvp",Inputs!$B$44&gt;0),((Skills!G9*((R1121-1)*IF(Skills!H9&gt;0,Skills!I9/Skills!H9,1)+IF(Skills!H9&gt;0,MIN(Skills!I9,MAX(0,MAX(0,Inputs!$B$44-B1157)-((R1121-1)*IF(Inputs!$B$39="pvp",15,MAX(0.1,Skills!D9-IF(Skills!E9=TRUE,Inputs!$B$32,0))))))/Skills!H9,1)))/Inputs!$B$44),G1121*Q1121))*IF(Inputs!$B$39="pvp",1,(1+(Inputs!$B$21+Skills!Q9+B1153)/100)*(MIN(Skills!W9,Inputs!$B$37))),0)</f>
        <v/>
      </c>
    </row>
    <row r="1122">
      <c r="A1122">
        <f>Skills!A10</f>
        <v/>
      </c>
      <c r="B1122">
        <f>Skills!B10</f>
        <v/>
      </c>
      <c r="C1122">
        <f>Inputs!$B$3&gt;=117</f>
        <v/>
      </c>
      <c r="D1122">
        <f>IF(Skills!C10=1,60+Inputs!$B$25+Inputs!$B$29,IF(Skills!C10=2,90+Inputs!$B$26+Inputs!$B$29,IF(Skills!C10=3,120+Inputs!$B$27+Inputs!$B$29,MAX(0,(Inputs!$B$3-100)*3)+Inputs!$B$28+Inputs!$B$29)))</f>
        <v/>
      </c>
      <c r="E1122">
        <f>INDEX(FactorTable!$B$2:$Y$301, MATCH(ROUND(MIN(300,MAX(1,D1122)),0), FactorTable!$A$2:$A$301,0), Skills!M10+1)</f>
        <v/>
      </c>
      <c r="F1122">
        <f>IF(Skills!N10=TRUE,(Skills!L10/10)*(E1122/1000),Skills!L10/10)+Skills!O10</f>
        <v/>
      </c>
      <c r="G1122">
        <f>Calc!G10</f>
        <v/>
      </c>
      <c r="H1122">
        <f>Calc!H10</f>
        <v/>
      </c>
      <c r="I1122">
        <f>IF(Skills!AA10&lt;&gt;"",1+(Skills!AA10/10)*(U1115/1000)/100,1)</f>
        <v/>
      </c>
      <c r="J1122">
        <f>((Inputs!$B$6*(1+(Inputs!$B$7+1)/100))+(((Inputs!$B$12*(1+Inputs!$B$13/100))-(Inputs!$B$12*(1+Inputs!$B$13/100)))+0.25*(Inputs!$B$14-Inputs!$B$14))*(1+(Inputs!$B$7+1)/100))*(F1122/100)</f>
        <v/>
      </c>
      <c r="K1122">
        <f>J1122*(1+((Inputs!$B$12*(1+Inputs!$B$13/100))*0.01+Inputs!$B$14*0.0025)/100)*(1+Inputs!$B$15/100)*(1+Inputs!$B$16/100)*(5000/(6000+Inputs!$B$43*(1-Inputs!$B$19/100)))*(1+(Inputs!$B$24+((C1142=TRUE)*(F1142-Calc!F30)))/100)*(1+Skills!R10/100)*(1+(IF(Skills!A10="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1122)</f>
        <v/>
      </c>
      <c r="L1122">
        <f>K1122*(MIN(Inputs!$B$22+((C1136=TRUE)*(F1136-Calc!F24)),Inputs!$B$23)/100+Inputs!$B$23/100)/2</f>
        <v/>
      </c>
      <c r="M1122">
        <f>L1122*(1+(Inputs!$B$10+((C1138=TRUE)*(F1138-Calc!F26))+B1155)/100)</f>
        <v/>
      </c>
      <c r="N1122">
        <f>L1122*(1-MIN((Inputs!$B$9+((C1137=TRUE)*(F1137-Calc!F25))+B1152),100)/100)+M1122*(MIN((Inputs!$B$9+((C1137=TRUE)*(F1137-Calc!F25))+B1152),100)/100)</f>
        <v/>
      </c>
      <c r="O1122">
        <f>(1-Summary!$B$55)*T1122+Summary!$B$55*V1122</f>
        <v/>
      </c>
      <c r="P1122">
        <f>IF(B1156=0,0,O1122/B1156)</f>
        <v/>
      </c>
      <c r="Q1122" t="n">
        <v>0</v>
      </c>
      <c r="R1122" t="n">
        <v>0</v>
      </c>
      <c r="S1122" t="n">
        <v>0</v>
      </c>
      <c r="T1122">
        <f>IF(C1122,(0.2*SUMPRODUCT((Skills!Z2:Z31=TRUE)*(C1114:C1143=TRUE)*S1114:S1143)*N1122)*IF(Inputs!$B$39="pvp",1,1+(Inputs!$B$20+((C1139=TRUE)*(F1139-Calc!F27))+Skills!P10+B1153)/100),0)</f>
        <v/>
      </c>
      <c r="V1122">
        <f>IF(C1122,(0.2*SUMPRODUCT((Skills!Z2:Z31=TRUE)*(C1114:C1143=TRUE)*S1114:S1143)*N1122)*IF(Inputs!$B$39="pvp",1,(1+(Inputs!$B$21+Skills!Q10+B1153)/100)*(MIN(Skills!W10,Inputs!$B$37))),0)</f>
        <v/>
      </c>
    </row>
    <row r="1123">
      <c r="A1123">
        <f>Skills!A11</f>
        <v/>
      </c>
      <c r="B1123">
        <f>Skills!B11</f>
        <v/>
      </c>
      <c r="C1123">
        <f>Inputs!$B$3&gt;=60</f>
        <v/>
      </c>
      <c r="D1123">
        <f>IF(Skills!C11=1,60+Inputs!$B$25+Inputs!$B$29,IF(Skills!C11=2,90+Inputs!$B$26+Inputs!$B$29,IF(Skills!C11=3,120+Inputs!$B$27+Inputs!$B$29,MAX(0,(Inputs!$B$3-100)*3)+Inputs!$B$28+Inputs!$B$29)))</f>
        <v/>
      </c>
      <c r="E1123">
        <f>INDEX(FactorTable!$B$2:$Y$301, MATCH(ROUND(MIN(300,MAX(1,D1123)),0), FactorTable!$A$2:$A$301,0), Skills!M11+1)</f>
        <v/>
      </c>
      <c r="F1123">
        <f>IF(Skills!N11=TRUE,(Skills!L11/10)*(E1123/1000),Skills!L11/10)+Skills!O11</f>
        <v/>
      </c>
      <c r="G1123">
        <f>Calc!G11</f>
        <v/>
      </c>
      <c r="H1123">
        <f>Calc!H11</f>
        <v/>
      </c>
      <c r="I1123">
        <f>IF(Skills!AA11&lt;&gt;"",1+(Skills!AA11/10)*(U1115/1000)/100,1)</f>
        <v/>
      </c>
      <c r="J1123" t="inlineStr"/>
      <c r="K1123" t="inlineStr"/>
      <c r="L1123" t="inlineStr"/>
      <c r="M1123" t="inlineStr"/>
      <c r="N1123" t="inlineStr"/>
      <c r="O1123">
        <f>(1-Summary!$B$55)*T1123+Summary!$B$55*V1123</f>
        <v/>
      </c>
      <c r="P1123">
        <f>IF(B1156=0,0,O1123/B1156)</f>
        <v/>
      </c>
      <c r="Q1123" t="n">
        <v>0</v>
      </c>
      <c r="R1123" t="n">
        <v>0</v>
      </c>
      <c r="S1123">
        <f>IFERROR(O1123/N1123,0)</f>
        <v/>
      </c>
      <c r="T1123" t="n">
        <v>0</v>
      </c>
      <c r="V1123" t="n">
        <v>0</v>
      </c>
    </row>
    <row r="1124">
      <c r="A1124">
        <f>Skills!A12</f>
        <v/>
      </c>
      <c r="B1124">
        <f>Skills!B12</f>
        <v/>
      </c>
      <c r="C1124">
        <f>Inputs!$B$3&gt;=103</f>
        <v/>
      </c>
      <c r="D1124">
        <f>IF(Skills!C12=1,60+Inputs!$B$25+Inputs!$B$29,IF(Skills!C12=2,90+Inputs!$B$26+Inputs!$B$29,IF(Skills!C12=3,120+Inputs!$B$27+Inputs!$B$29,MAX(0,(Inputs!$B$3-100)*3)+Inputs!$B$28+Inputs!$B$29)))</f>
        <v/>
      </c>
      <c r="E1124">
        <f>INDEX(FactorTable!$B$2:$Y$301, MATCH(ROUND(MIN(300,MAX(1,D1124)),0), FactorTable!$A$2:$A$301,0), Skills!M12+1)</f>
        <v/>
      </c>
      <c r="F1124">
        <f>IF(Skills!N12=TRUE,(Skills!L12/10)*(E1124/1000),Skills!L12/10)+Skills!O12</f>
        <v/>
      </c>
      <c r="G1124">
        <f>Calc!G12</f>
        <v/>
      </c>
      <c r="H1124">
        <f>Calc!H12</f>
        <v/>
      </c>
      <c r="I1124">
        <f>IF(Skills!AA12&lt;&gt;"",1+(Skills!AA12/10)*(U1115/1000)/100,1)</f>
        <v/>
      </c>
      <c r="J1124">
        <f>((Inputs!$B$6*(1+(Inputs!$B$7+1)/100))+(((Inputs!$B$12*(1+Inputs!$B$13/100))-(Inputs!$B$12*(1+Inputs!$B$13/100)))+0.25*(Inputs!$B$14-Inputs!$B$14))*(1+(Inputs!$B$7+1)/100))*(F1124/100)</f>
        <v/>
      </c>
      <c r="K1124">
        <f>J1124*(1+((Inputs!$B$12*(1+Inputs!$B$13/100))*0.01+Inputs!$B$14*0.0025)/100)*(1+Inputs!$B$15/100)*(1+Inputs!$B$16/100)*(5000/(6000+Inputs!$B$43*(1-Inputs!$B$19/100)))*(1+(Inputs!$B$24+((C1142=TRUE)*(F1142-Calc!F30)))/100)*(1+Skills!R12/100)*(1+(IF(Skills!A12="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1124)</f>
        <v/>
      </c>
      <c r="L1124">
        <f>K1124*(MIN(Inputs!$B$22+((C1136=TRUE)*(F1136-Calc!F24)),Inputs!$B$23)/100+Inputs!$B$23/100)/2</f>
        <v/>
      </c>
      <c r="M1124">
        <f>L1124*(1+(Inputs!$B$10+((C1138=TRUE)*(F1138-Calc!F26))+B1155)/100)</f>
        <v/>
      </c>
      <c r="N1124">
        <f>L1124*(1-MIN((Inputs!$B$9+((C1137=TRUE)*(F1137-Calc!F25))+B1152),100)/100)+M1124*(MIN((Inputs!$B$9+((C1137=TRUE)*(F1137-Calc!F25))+B1152),100)/100)</f>
        <v/>
      </c>
      <c r="O1124">
        <f>(1-Summary!$B$55)*T1124+Summary!$B$55*V1124</f>
        <v/>
      </c>
      <c r="P1124">
        <f>IF(B1156=0,0,O1124/B1156)</f>
        <v/>
      </c>
      <c r="Q1124">
        <f>IFERROR(1/IF(Inputs!$B$39="pvp",15,MAX(0.1,Skills!D12-IF(Skills!E12=TRUE,Inputs!$B$32,0))),0)</f>
        <v/>
      </c>
      <c r="R1124">
        <f>IF(AND(Inputs!$B$39&lt;&gt;"pvp",Inputs!$B$44&gt;0),IF(MAX(0,Inputs!$B$44-B1157)&lt;=0,0,(INT(MAX(0,Inputs!$B$44-B1157)/IF(Inputs!$B$39="pvp",15,MAX(0.1,Skills!D12-IF(Skills!E12=TRUE,Inputs!$B$32,0))))+1)),0)</f>
        <v/>
      </c>
      <c r="S1124">
        <f>IFERROR(O1124/N1124,0)</f>
        <v/>
      </c>
      <c r="T1124">
        <f>IF(C1124,(H1124*N1124*IF(AND(Inputs!$B$39&lt;&gt;"pvp",Inputs!$B$44&gt;0),((Skills!G12*((R1124-1)*IF(Skills!H12&gt;0,Skills!I12/Skills!H12,1)+IF(Skills!H12&gt;0,MIN(Skills!I12,MAX(0,MAX(0,Inputs!$B$44-B1157)-((R1124-1)*IF(Inputs!$B$39="pvp",15,MAX(0.1,Skills!D12-IF(Skills!E12=TRUE,Inputs!$B$32,0))))))/Skills!H12,1)))/Inputs!$B$44),G1124*Q1124))*IF(Inputs!$B$39="pvp",1,1+(Inputs!$B$20+((C1139=TRUE)*(F1139-Calc!F27))+Skills!P12+B1153)/100),0)</f>
        <v/>
      </c>
      <c r="V1124">
        <f>IF(C1124,(H1124*N1124*IF(AND(Inputs!$B$39&lt;&gt;"pvp",Inputs!$B$44&gt;0),((Skills!G12*((R1124-1)*IF(Skills!H12&gt;0,Skills!I12/Skills!H12,1)+IF(Skills!H12&gt;0,MIN(Skills!I12,MAX(0,MAX(0,Inputs!$B$44-B1157)-((R1124-1)*IF(Inputs!$B$39="pvp",15,MAX(0.1,Skills!D12-IF(Skills!E12=TRUE,Inputs!$B$32,0))))))/Skills!H12,1)))/Inputs!$B$44),G1124*Q1124))*IF(Inputs!$B$39="pvp",1,(1+(Inputs!$B$21+Skills!Q12+B1153)/100)*(MIN(Skills!W12,Inputs!$B$37))),0)</f>
        <v/>
      </c>
    </row>
    <row r="1125">
      <c r="A1125">
        <f>Skills!A13</f>
        <v/>
      </c>
      <c r="B1125">
        <f>Skills!B13</f>
        <v/>
      </c>
      <c r="C1125">
        <f>Inputs!$B$3&gt;=105</f>
        <v/>
      </c>
      <c r="D1125">
        <f>IF(Skills!C13=1,60+Inputs!$B$25+Inputs!$B$29,IF(Skills!C13=2,90+Inputs!$B$26+Inputs!$B$29,IF(Skills!C13=3,120+Inputs!$B$27+Inputs!$B$29,MAX(0,(Inputs!$B$3-100)*3)+Inputs!$B$28+Inputs!$B$29)))</f>
        <v/>
      </c>
      <c r="E1125">
        <f>INDEX(FactorTable!$B$2:$Y$301, MATCH(ROUND(MIN(300,MAX(1,D1125)),0), FactorTable!$A$2:$A$301,0), Skills!M13+1)</f>
        <v/>
      </c>
      <c r="F1125">
        <f>IF(Skills!N13=TRUE,(Skills!L13/10)*(E1125/1000),Skills!L13/10)+Skills!O13</f>
        <v/>
      </c>
      <c r="G1125">
        <f>Calc!G13</f>
        <v/>
      </c>
      <c r="H1125">
        <f>Calc!H13</f>
        <v/>
      </c>
      <c r="I1125">
        <f>IF(Skills!AA13&lt;&gt;"",1+(Skills!AA13/10)*(U1115/1000)/100,1)</f>
        <v/>
      </c>
      <c r="J1125">
        <f>((Inputs!$B$6*(1+(Inputs!$B$7+1)/100))+(((Inputs!$B$12*(1+Inputs!$B$13/100))-(Inputs!$B$12*(1+Inputs!$B$13/100)))+0.25*(Inputs!$B$14-Inputs!$B$14))*(1+(Inputs!$B$7+1)/100))*(F1125/100)</f>
        <v/>
      </c>
      <c r="K1125">
        <f>J1125*(1+((Inputs!$B$12*(1+Inputs!$B$13/100))*0.01+Inputs!$B$14*0.0025)/100)*(1+Inputs!$B$15/100)*(1+Inputs!$B$16/100)*(5000/(6000+Inputs!$B$43*(1-Inputs!$B$19/100)))*(1+(Inputs!$B$24+((C1142=TRUE)*(F1142-Calc!F30)))/100)*(1+Skills!R13/100)*(1+(IF(Skills!A13="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1125)</f>
        <v/>
      </c>
      <c r="L1125">
        <f>K1125*(MIN(Inputs!$B$22+((C1136=TRUE)*(F1136-Calc!F24)),Inputs!$B$23)/100+Inputs!$B$23/100)/2</f>
        <v/>
      </c>
      <c r="M1125">
        <f>L1125*(1+(Inputs!$B$10+((C1138=TRUE)*(F1138-Calc!F26))+B1155)/100)</f>
        <v/>
      </c>
      <c r="N1125">
        <f>L1125*(1-MIN((Inputs!$B$9+((C1137=TRUE)*(F1137-Calc!F25))+B1152),100)/100)+M1125*(MIN((Inputs!$B$9+((C1137=TRUE)*(F1137-Calc!F25))+B1152),100)/100)</f>
        <v/>
      </c>
      <c r="O1125">
        <f>(1-Summary!$B$55)*T1125+Summary!$B$55*V1125</f>
        <v/>
      </c>
      <c r="P1125">
        <f>IF(B1156=0,0,O1125/B1156)</f>
        <v/>
      </c>
      <c r="Q1125">
        <f>IFERROR(1/IF(Inputs!$B$39="pvp",15,MAX(0.1,Skills!D13-IF(Skills!E13=TRUE,Inputs!$B$32,0))),0)</f>
        <v/>
      </c>
      <c r="R1125">
        <f>IF(AND(Inputs!$B$39&lt;&gt;"pvp",Inputs!$B$44&gt;0),IF(MAX(0,Inputs!$B$44-B1157)&lt;=0,0,(INT(MAX(0,Inputs!$B$44-B1157)/IF(Inputs!$B$39="pvp",15,MAX(0.1,Skills!D13-IF(Skills!E13=TRUE,Inputs!$B$32,0))))+1)),0)</f>
        <v/>
      </c>
      <c r="S1125">
        <f>IFERROR(O1125/N1125,0)</f>
        <v/>
      </c>
      <c r="T1125">
        <f>IF(C1125,(H1125*N1125*IF(AND(Inputs!$B$39&lt;&gt;"pvp",Inputs!$B$44&gt;0),((Skills!G13*((R1125-1)*IF(Skills!H13&gt;0,Skills!I13/Skills!H13,1)+IF(Skills!H13&gt;0,MIN(Skills!I13,MAX(0,MAX(0,Inputs!$B$44-B1157)-((R1125-1)*IF(Inputs!$B$39="pvp",15,MAX(0.1,Skills!D13-IF(Skills!E13=TRUE,Inputs!$B$32,0))))))/Skills!H13,1)))/Inputs!$B$44),G1125*Q1125))*IF(Inputs!$B$39="pvp",1,1+(Inputs!$B$20+((C1139=TRUE)*(F1139-Calc!F27))+Skills!P13+B1153)/100),0)</f>
        <v/>
      </c>
      <c r="V1125">
        <f>IF(C1125,(H1125*N1125*IF(AND(Inputs!$B$39&lt;&gt;"pvp",Inputs!$B$44&gt;0),((Skills!G13*((R1125-1)*IF(Skills!H13&gt;0,Skills!I13/Skills!H13,1)+IF(Skills!H13&gt;0,MIN(Skills!I13,MAX(0,MAX(0,Inputs!$B$44-B1157)-((R1125-1)*IF(Inputs!$B$39="pvp",15,MAX(0.1,Skills!D13-IF(Skills!E13=TRUE,Inputs!$B$32,0))))))/Skills!H13,1)))/Inputs!$B$44),G1125*Q1125))*IF(Inputs!$B$39="pvp",1,(1+(Inputs!$B$21+Skills!Q13+B1153)/100)*(MIN(Skills!W13,Inputs!$B$37))),0)</f>
        <v/>
      </c>
    </row>
    <row r="1126">
      <c r="A1126">
        <f>Skills!A14</f>
        <v/>
      </c>
      <c r="B1126">
        <f>Skills!B14</f>
        <v/>
      </c>
      <c r="C1126">
        <f>Inputs!$B$3&gt;=105</f>
        <v/>
      </c>
      <c r="D1126">
        <f>IF(Skills!C14=1,60+Inputs!$B$25+Inputs!$B$29,IF(Skills!C14=2,90+Inputs!$B$26+Inputs!$B$29,IF(Skills!C14=3,120+Inputs!$B$27+Inputs!$B$29,MAX(0,(Inputs!$B$3-100)*3)+Inputs!$B$28+Inputs!$B$29)))</f>
        <v/>
      </c>
      <c r="E1126">
        <f>INDEX(FactorTable!$B$2:$Y$301, MATCH(ROUND(MIN(300,MAX(1,D1126)),0), FactorTable!$A$2:$A$301,0), Skills!M14+1)</f>
        <v/>
      </c>
      <c r="F1126">
        <f>IF(Skills!N14=TRUE,(Skills!L14/10)*(E1126/1000),Skills!L14/10)+Skills!O14</f>
        <v/>
      </c>
      <c r="G1126">
        <f>Calc!G14</f>
        <v/>
      </c>
      <c r="H1126">
        <f>Calc!H14</f>
        <v/>
      </c>
      <c r="I1126">
        <f>IF(Skills!AA14&lt;&gt;"",1+(Skills!AA14/10)*(U1115/1000)/100,1)</f>
        <v/>
      </c>
      <c r="J1126">
        <f>((Inputs!$B$6*(1+(Inputs!$B$7+1)/100))+(((Inputs!$B$12*(1+Inputs!$B$13/100))-(Inputs!$B$12*(1+Inputs!$B$13/100)))+0.25*(Inputs!$B$14-Inputs!$B$14))*(1+(Inputs!$B$7+1)/100))*(F1126/100)</f>
        <v/>
      </c>
      <c r="K1126">
        <f>J1126*(1+((Inputs!$B$12*(1+Inputs!$B$13/100))*0.01+Inputs!$B$14*0.0025)/100)*(1+Inputs!$B$15/100)*(1+Inputs!$B$16/100)*(5000/(6000+Inputs!$B$43*(1-Inputs!$B$19/100)))*(1+(Inputs!$B$24+((C1142=TRUE)*(F1142-Calc!F30)))/100)*(1+Skills!R14/100)*(1+(IF(Skills!A14="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1126)</f>
        <v/>
      </c>
      <c r="L1126">
        <f>K1126*(MIN(Inputs!$B$22+((C1136=TRUE)*(F1136-Calc!F24)),Inputs!$B$23)/100+Inputs!$B$23/100)/2</f>
        <v/>
      </c>
      <c r="M1126">
        <f>L1126*(1+(Inputs!$B$10+((C1138=TRUE)*(F1138-Calc!F26))+B1155)/100)</f>
        <v/>
      </c>
      <c r="N1126">
        <f>L1126*(1-MIN((Inputs!$B$9+((C1137=TRUE)*(F1137-Calc!F25))+B1152),100)/100)+M1126*(MIN((Inputs!$B$9+((C1137=TRUE)*(F1137-Calc!F25))+B1152),100)/100)</f>
        <v/>
      </c>
      <c r="O1126">
        <f>(1-Summary!$B$55)*T1126+Summary!$B$55*V1126</f>
        <v/>
      </c>
      <c r="P1126">
        <f>IF(B1156=0,0,O1126/B1156)</f>
        <v/>
      </c>
      <c r="Q1126">
        <f>IFERROR(1/IF(Inputs!$B$39="pvp",15,MAX(0.1,Skills!D14-IF(Skills!E14=TRUE,Inputs!$B$32,0))),0)</f>
        <v/>
      </c>
      <c r="R1126">
        <f>IF(AND(Inputs!$B$39&lt;&gt;"pvp",Inputs!$B$44&gt;0),IF(MAX(0,Inputs!$B$44-B1157)&lt;=0,0,(INT(MAX(0,Inputs!$B$44-B1157)/IF(Inputs!$B$39="pvp",15,MAX(0.1,Skills!D14-IF(Skills!E14=TRUE,Inputs!$B$32,0))))+1)),0)</f>
        <v/>
      </c>
      <c r="S1126">
        <f>IFERROR(O1126/N1126,0)</f>
        <v/>
      </c>
      <c r="T1126">
        <f>IF(C1126,(H1126*N1126*IF(AND(Inputs!$B$39&lt;&gt;"pvp",Inputs!$B$44&gt;0),((Skills!G14*((R1126-1)*IF(Skills!H14&gt;0,Skills!I14/Skills!H14,1)+IF(Skills!H14&gt;0,MIN(Skills!I14,MAX(0,MAX(0,Inputs!$B$44-B1157)-((R1126-1)*IF(Inputs!$B$39="pvp",15,MAX(0.1,Skills!D14-IF(Skills!E14=TRUE,Inputs!$B$32,0))))))/Skills!H14,1)))/Inputs!$B$44),G1126*Q1126))*IF(Inputs!$B$39="pvp",1,1+(Inputs!$B$20+((C1139=TRUE)*(F1139-Calc!F27))+Skills!P14+B1153)/100),0)</f>
        <v/>
      </c>
      <c r="V1126">
        <f>IF(C1126,(H1126*N1126*IF(AND(Inputs!$B$39&lt;&gt;"pvp",Inputs!$B$44&gt;0),((Skills!G14*((R1126-1)*IF(Skills!H14&gt;0,Skills!I14/Skills!H14,1)+IF(Skills!H14&gt;0,MIN(Skills!I14,MAX(0,MAX(0,Inputs!$B$44-B1157)-((R1126-1)*IF(Inputs!$B$39="pvp",15,MAX(0.1,Skills!D14-IF(Skills!E14=TRUE,Inputs!$B$32,0))))))/Skills!H14,1)))/Inputs!$B$44),G1126*Q1126))*IF(Inputs!$B$39="pvp",1,(1+(Inputs!$B$21+Skills!Q14+B1153)/100)*(MIN(Skills!W14,Inputs!$B$37))),0)</f>
        <v/>
      </c>
    </row>
    <row r="1127">
      <c r="A1127">
        <f>Skills!A15</f>
        <v/>
      </c>
      <c r="B1127">
        <f>Skills!B15</f>
        <v/>
      </c>
      <c r="C1127">
        <f>Inputs!$B$3&gt;=110</f>
        <v/>
      </c>
      <c r="D1127">
        <f>IF(Skills!C15=1,60+Inputs!$B$25+Inputs!$B$29,IF(Skills!C15=2,90+Inputs!$B$26+Inputs!$B$29,IF(Skills!C15=3,120+Inputs!$B$27+Inputs!$B$29,MAX(0,(Inputs!$B$3-100)*3)+Inputs!$B$28+Inputs!$B$29)))</f>
        <v/>
      </c>
      <c r="E1127">
        <f>INDEX(FactorTable!$B$2:$Y$301, MATCH(ROUND(MIN(300,MAX(1,D1127)),0), FactorTable!$A$2:$A$301,0), Skills!M15+1)</f>
        <v/>
      </c>
      <c r="F1127">
        <f>IF(Skills!N15=TRUE,(Skills!L15/10)*(E1127/1000),Skills!L15/10)+Skills!O15</f>
        <v/>
      </c>
      <c r="G1127">
        <f>Calc!G15</f>
        <v/>
      </c>
      <c r="H1127">
        <f>Calc!H15</f>
        <v/>
      </c>
      <c r="I1127">
        <f>IF(Skills!AA15&lt;&gt;"",1+(Skills!AA15/10)*(U1115/1000)/100,1)</f>
        <v/>
      </c>
      <c r="J1127" t="inlineStr"/>
      <c r="K1127" t="inlineStr"/>
      <c r="L1127" t="inlineStr"/>
      <c r="M1127" t="inlineStr"/>
      <c r="N1127" t="inlineStr"/>
      <c r="O1127">
        <f>(1-Summary!$B$55)*T1127+Summary!$B$55*V1127</f>
        <v/>
      </c>
      <c r="P1127">
        <f>IF(B1156=0,0,O1127/B1156)</f>
        <v/>
      </c>
      <c r="Q1127">
        <f>IFERROR(1/IF(Inputs!$B$39="pvp",15,MAX(0.1,Skills!D15-IF(Skills!E15=TRUE,Inputs!$B$32,0))),0)</f>
        <v/>
      </c>
      <c r="R1127">
        <f>IF(AND(Inputs!$B$39&lt;&gt;"pvp",Inputs!$B$44&gt;0),IF(Inputs!$B$44&lt;=0,0,(INT(Inputs!$B$44/IF(Inputs!$B$39="pvp",15,MAX(0.1,Skills!D15-IF(Skills!E15=TRUE,Inputs!$B$32,0))))+1)),0)</f>
        <v/>
      </c>
      <c r="S1127">
        <f>IFERROR(O1127/N1127,0)</f>
        <v/>
      </c>
      <c r="T1127" t="n">
        <v>0</v>
      </c>
      <c r="V1127" t="n">
        <v>0</v>
      </c>
    </row>
    <row r="1128">
      <c r="A1128">
        <f>Skills!A16</f>
        <v/>
      </c>
      <c r="B1128">
        <f>Skills!B16</f>
        <v/>
      </c>
      <c r="C1128">
        <f>Inputs!$B$3&gt;=110</f>
        <v/>
      </c>
      <c r="D1128">
        <f>IF(Skills!C16=1,60+Inputs!$B$25+Inputs!$B$29,IF(Skills!C16=2,90+Inputs!$B$26+Inputs!$B$29,IF(Skills!C16=3,120+Inputs!$B$27+Inputs!$B$29,MAX(0,(Inputs!$B$3-100)*3)+Inputs!$B$28+Inputs!$B$29)))</f>
        <v/>
      </c>
      <c r="E1128">
        <f>INDEX(FactorTable!$B$2:$Y$301, MATCH(ROUND(MIN(300,MAX(1,D1128)),0), FactorTable!$A$2:$A$301,0), Skills!M16+1)</f>
        <v/>
      </c>
      <c r="F1128">
        <f>IF(Skills!N16=TRUE,(Skills!L16/10)*(E1128/1000),Skills!L16/10)+Skills!O16</f>
        <v/>
      </c>
      <c r="G1128">
        <f>Calc!G16</f>
        <v/>
      </c>
      <c r="H1128">
        <f>Calc!H16</f>
        <v/>
      </c>
      <c r="I1128">
        <f>IF(Skills!AA16&lt;&gt;"",1+(Skills!AA16/10)*(U1115/1000)/100,1)</f>
        <v/>
      </c>
      <c r="J1128" t="inlineStr"/>
      <c r="K1128" t="inlineStr"/>
      <c r="L1128" t="inlineStr"/>
      <c r="M1128" t="inlineStr"/>
      <c r="N1128" t="inlineStr"/>
      <c r="O1128">
        <f>(1-Summary!$B$55)*T1128+Summary!$B$55*V1128</f>
        <v/>
      </c>
      <c r="P1128">
        <f>IF(B1156=0,0,O1128/B1156)</f>
        <v/>
      </c>
      <c r="Q1128">
        <f>IFERROR(1/IF(Inputs!$B$39="pvp",15,MAX(0.1,Skills!D16-IF(Skills!E16=TRUE,Inputs!$B$32,0))),0)</f>
        <v/>
      </c>
      <c r="R1128">
        <f>IF(AND(Inputs!$B$39&lt;&gt;"pvp",Inputs!$B$44&gt;0),IF(Inputs!$B$44&lt;=0,0,(INT(Inputs!$B$44/IF(Inputs!$B$39="pvp",15,MAX(0.1,Skills!D16-IF(Skills!E16=TRUE,Inputs!$B$32,0))))+1)),0)</f>
        <v/>
      </c>
      <c r="S1128">
        <f>IFERROR(O1128/N1128,0)</f>
        <v/>
      </c>
      <c r="T1128" t="n">
        <v>0</v>
      </c>
      <c r="V1128" t="n">
        <v>0</v>
      </c>
    </row>
    <row r="1129">
      <c r="A1129">
        <f>Skills!A17</f>
        <v/>
      </c>
      <c r="B1129">
        <f>Skills!B17</f>
        <v/>
      </c>
      <c r="C1129">
        <f>Inputs!$B$3&gt;=115</f>
        <v/>
      </c>
      <c r="D1129">
        <f>IF(Skills!C17=1,60+Inputs!$B$25+Inputs!$B$29,IF(Skills!C17=2,90+Inputs!$B$26+Inputs!$B$29,IF(Skills!C17=3,120+Inputs!$B$27+Inputs!$B$29,MAX(0,(Inputs!$B$3-100)*3)+Inputs!$B$28+Inputs!$B$29)))</f>
        <v/>
      </c>
      <c r="E1129">
        <f>INDEX(FactorTable!$B$2:$Y$301, MATCH(ROUND(MIN(300,MAX(1,D1129)),0), FactorTable!$A$2:$A$301,0), Skills!M17+1)</f>
        <v/>
      </c>
      <c r="F1129">
        <f>IF(Skills!N17=TRUE,(Skills!L17/10)*(E1129/1000),Skills!L17/10)+Skills!O17</f>
        <v/>
      </c>
      <c r="G1129">
        <f>Calc!G17</f>
        <v/>
      </c>
      <c r="H1129">
        <f>Calc!H17</f>
        <v/>
      </c>
      <c r="I1129">
        <f>IF(Skills!AA17&lt;&gt;"",1+(Skills!AA17/10)*(U1115/1000)/100,1)</f>
        <v/>
      </c>
      <c r="J1129">
        <f>((Inputs!$B$6*(1+(Inputs!$B$7+1)/100))+(((Inputs!$B$12*(1+Inputs!$B$13/100))-(Inputs!$B$12*(1+Inputs!$B$13/100)))+0.25*(Inputs!$B$14-Inputs!$B$14))*(1+(Inputs!$B$7+1)/100))*(F1129/100)</f>
        <v/>
      </c>
      <c r="K1129">
        <f>J1129*(1+((Inputs!$B$12*(1+Inputs!$B$13/100))*0.01+Inputs!$B$14*0.0025)/100)*(1+Inputs!$B$15/100)*(1+Inputs!$B$16/100)*(5000/(6000+Inputs!$B$43*(1-Inputs!$B$19/100)))*(1+(Inputs!$B$24+((C1142=TRUE)*(F1142-Calc!F30)))/100)*(1+Skills!R17/100)*(1+(IF(Skills!A17="SHOWDOWN",Inputs!$B$17+((C1135=TRUE)*(F1135-Calc!F23)),Inputs!$B$18+((C1141=TRUE)*(F1141-Calc!F29))))/100)*(((1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B1154*I1129)</f>
        <v/>
      </c>
      <c r="L1129">
        <f>K1129*(MIN(Inputs!$B$22+((C1136=TRUE)*(F1136-Calc!F24)),Inputs!$B$23)/100+Inputs!$B$23/100)/2</f>
        <v/>
      </c>
      <c r="M1129">
        <f>L1129*(1+(Inputs!$B$10+((C1138=TRUE)*(F1138-Calc!F26))+B1155)/100)</f>
        <v/>
      </c>
      <c r="N1129">
        <f>L1129*(1-MIN((Inputs!$B$9+((C1137=TRUE)*(F1137-Calc!F25))+B1152),100)/100)+M1129*(MIN((Inputs!$B$9+((C1137=TRUE)*(F1137-Calc!F25))+B1152),100)/100)</f>
        <v/>
      </c>
      <c r="O1129">
        <f>(1-Summary!$B$55)*T1129+Summary!$B$55*V1129</f>
        <v/>
      </c>
      <c r="P1129">
        <f>IF(B1156=0,0,O1129/B1156)</f>
        <v/>
      </c>
      <c r="Q1129" t="n">
        <v>0</v>
      </c>
      <c r="R1129" t="n">
        <v>0</v>
      </c>
      <c r="S1129">
        <f>IFERROR(O1129/N1129,0)</f>
        <v/>
      </c>
      <c r="T1129">
        <f>IF(C1129,(Inputs!$B$38*0.2*N1129)*IF(Inputs!$B$39="pvp",1,1+(Inputs!$B$20+((C1139=TRUE)*(F1139-Calc!F27))+Skills!P17+B1153)/100),0)</f>
        <v/>
      </c>
      <c r="V1129">
        <f>IF(C1129,(Inputs!$B$38*0.2*N1129)*IF(Inputs!$B$39="pvp",1,(1+(Inputs!$B$21+Skills!Q17+B1153)/100)*(MIN(Skills!W17,Inputs!$B$37))),0)</f>
        <v/>
      </c>
    </row>
    <row r="1130">
      <c r="A1130">
        <f>Skills!A18</f>
        <v/>
      </c>
      <c r="B1130">
        <f>Skills!B18</f>
        <v/>
      </c>
      <c r="C1130">
        <f>Inputs!$B$3&gt;=115</f>
        <v/>
      </c>
      <c r="D1130">
        <f>IF(Skills!C18=1,60+Inputs!$B$25+Inputs!$B$29,IF(Skills!C18=2,90+Inputs!$B$26+Inputs!$B$29,IF(Skills!C18=3,120+Inputs!$B$27+Inputs!$B$29,MAX(0,(Inputs!$B$3-100)*3)+Inputs!$B$28+Inputs!$B$29)))</f>
        <v/>
      </c>
      <c r="E1130">
        <f>INDEX(FactorTable!$B$2:$Y$301, MATCH(ROUND(MIN(300,MAX(1,D1130)),0), FactorTable!$A$2:$A$301,0), Skills!M18+1)</f>
        <v/>
      </c>
      <c r="F1130">
        <f>IF(Skills!N18=TRUE,(Skills!L18/10)*(E1130/1000),Skills!L18/10)+Skills!O18</f>
        <v/>
      </c>
      <c r="G1130">
        <f>Calc!G18</f>
        <v/>
      </c>
      <c r="H1130">
        <f>Calc!H18</f>
        <v/>
      </c>
      <c r="I1130">
        <f>IF(Skills!AA18&lt;&gt;"",1+(Skills!AA18/10)*(U1115/1000)/100,1)</f>
        <v/>
      </c>
      <c r="J1130" t="inlineStr"/>
      <c r="K1130" t="inlineStr"/>
      <c r="L1130" t="inlineStr"/>
      <c r="M1130" t="inlineStr"/>
      <c r="N1130" t="inlineStr"/>
      <c r="O1130">
        <f>(1-Summary!$B$55)*T1130+Summary!$B$55*V1130</f>
        <v/>
      </c>
      <c r="P1130">
        <f>IF(B1156=0,0,O1130/B1156)</f>
        <v/>
      </c>
      <c r="Q1130" t="n">
        <v>0</v>
      </c>
      <c r="R1130" t="n">
        <v>0</v>
      </c>
      <c r="S1130">
        <f>IFERROR(O1130/N1130,0)</f>
        <v/>
      </c>
      <c r="T1130" t="n">
        <v>0</v>
      </c>
      <c r="V1130" t="n">
        <v>0</v>
      </c>
    </row>
    <row r="1131">
      <c r="A1131">
        <f>Skills!A19</f>
        <v/>
      </c>
      <c r="B1131">
        <f>Skills!B19</f>
        <v/>
      </c>
      <c r="C1131">
        <f>TRUE</f>
        <v/>
      </c>
      <c r="D1131">
        <f>IF(Skills!C19=1,60+Inputs!$B$25+Inputs!$B$29,IF(Skills!C19=2,90+Inputs!$B$26+Inputs!$B$29,IF(Skills!C19=3,120+Inputs!$B$27+Inputs!$B$29,MAX(0,(Inputs!$B$3-100)*3)+Inputs!$B$28+Inputs!$B$29)))</f>
        <v/>
      </c>
      <c r="E1131">
        <f>INDEX(FactorTable!$B$2:$Y$301, MATCH(ROUND(MIN(300,MAX(1,D1131)),0), FactorTable!$A$2:$A$301,0), Skills!M19+1)</f>
        <v/>
      </c>
      <c r="F1131">
        <f>IF(Skills!N19=TRUE,(Skills!L19/10)*(E1131/1000),Skills!L19/10)+Skills!O19</f>
        <v/>
      </c>
      <c r="G1131">
        <f>Calc!G19</f>
        <v/>
      </c>
      <c r="H1131">
        <f>Calc!H19</f>
        <v/>
      </c>
      <c r="I1131">
        <f>IF(Skills!AA19&lt;&gt;"",1+(Skills!AA19/10)*(U1115/1000)/100,1)</f>
        <v/>
      </c>
      <c r="J1131" t="inlineStr"/>
      <c r="K1131" t="inlineStr"/>
      <c r="L1131" t="inlineStr"/>
      <c r="M1131" t="inlineStr"/>
      <c r="N1131" t="inlineStr"/>
      <c r="O1131">
        <f>(1-Summary!$B$55)*T1131+Summary!$B$55*V1131</f>
        <v/>
      </c>
      <c r="P1131">
        <f>IF(B1156=0,0,O1131/B1156)</f>
        <v/>
      </c>
      <c r="Q1131">
        <f>IFERROR(1/IF(Inputs!$B$39="pvp",15,MAX(0.1,Skills!D19-IF(Skills!E19=TRUE,Inputs!$B$32,0))),0)</f>
        <v/>
      </c>
      <c r="R1131">
        <f>IF(AND(Inputs!$B$39&lt;&gt;"pvp",Inputs!$B$44&gt;0),IF(Inputs!$B$44&lt;=0,0,(INT(Inputs!$B$44/IF(Inputs!$B$39="pvp",15,MAX(0.1,Skills!D19-IF(Skills!E19=TRUE,Inputs!$B$32,0))))+1)),0)</f>
        <v/>
      </c>
      <c r="S1131">
        <f>IFERROR(O1131/N1131,0)</f>
        <v/>
      </c>
      <c r="T1131" t="n">
        <v>0</v>
      </c>
      <c r="V1131" t="n">
        <v>0</v>
      </c>
    </row>
    <row r="1132">
      <c r="A1132">
        <f>Skills!A20</f>
        <v/>
      </c>
      <c r="B1132">
        <f>Skills!B20</f>
        <v/>
      </c>
      <c r="C1132">
        <f>Inputs!$B$3&gt;=15</f>
        <v/>
      </c>
      <c r="D1132">
        <f>IF(Skills!C20=1,60+Inputs!$B$25+Inputs!$B$29,IF(Skills!C20=2,90+Inputs!$B$26+Inputs!$B$29,IF(Skills!C20=3,120+Inputs!$B$27+Inputs!$B$29,MAX(0,(Inputs!$B$3-100)*3)+Inputs!$B$28+Inputs!$B$29)))</f>
        <v/>
      </c>
      <c r="E1132">
        <f>INDEX(FactorTable!$B$2:$Y$301, MATCH(ROUND(MIN(300,MAX(1,D1132)),0), FactorTable!$A$2:$A$301,0), Skills!M20+1)</f>
        <v/>
      </c>
      <c r="F1132">
        <f>IF(Skills!N20=TRUE,(Skills!L20/10)*(E1132/1000),Skills!L20/10)+Skills!O20</f>
        <v/>
      </c>
      <c r="G1132">
        <f>Calc!G20</f>
        <v/>
      </c>
      <c r="H1132">
        <f>Calc!H20</f>
        <v/>
      </c>
      <c r="I1132">
        <f>IF(Skills!AA20&lt;&gt;"",1+(Skills!AA20/10)*(U1115/1000)/100,1)</f>
        <v/>
      </c>
      <c r="J1132" t="inlineStr"/>
      <c r="K1132" t="inlineStr"/>
      <c r="L1132" t="inlineStr"/>
      <c r="M1132" t="inlineStr"/>
      <c r="N1132" t="inlineStr"/>
      <c r="O1132">
        <f>(1-Summary!$B$55)*T1132+Summary!$B$55*V1132</f>
        <v/>
      </c>
      <c r="P1132">
        <f>IF(B1156=0,0,O1132/B1156)</f>
        <v/>
      </c>
      <c r="Q1132">
        <f>IFERROR(1/IF(Inputs!$B$39="pvp",15,MAX(0.1,Skills!D20-IF(Skills!E20=TRUE,Inputs!$B$32,0))),0)</f>
        <v/>
      </c>
      <c r="R1132">
        <f>IF(AND(Inputs!$B$39&lt;&gt;"pvp",Inputs!$B$44&gt;0),IF(Inputs!$B$44&lt;=0,0,(INT(Inputs!$B$44/IF(Inputs!$B$39="pvp",15,MAX(0.1,Skills!D20-IF(Skills!E20=TRUE,Inputs!$B$32,0))))+1)),0)</f>
        <v/>
      </c>
      <c r="S1132">
        <f>IFERROR(O1132/N1132,0)</f>
        <v/>
      </c>
      <c r="T1132" t="n">
        <v>0</v>
      </c>
      <c r="V1132" t="n">
        <v>0</v>
      </c>
    </row>
    <row r="1133">
      <c r="A1133">
        <f>Skills!A21</f>
        <v/>
      </c>
      <c r="B1133">
        <f>Skills!B21</f>
        <v/>
      </c>
      <c r="C1133">
        <f>Inputs!$B$3&gt;=15</f>
        <v/>
      </c>
      <c r="D1133">
        <f>IF(Skills!C21=1,60+Inputs!$B$25+Inputs!$B$29,IF(Skills!C21=2,90+Inputs!$B$26+Inputs!$B$29,IF(Skills!C21=3,120+Inputs!$B$27+Inputs!$B$29,MAX(0,(Inputs!$B$3-100)*3)+Inputs!$B$28+Inputs!$B$29)))</f>
        <v/>
      </c>
      <c r="E1133">
        <f>INDEX(FactorTable!$B$2:$Y$301, MATCH(ROUND(MIN(300,MAX(1,D1133)),0), FactorTable!$A$2:$A$301,0), Skills!M21+1)</f>
        <v/>
      </c>
      <c r="F1133">
        <f>IF(Skills!N21=TRUE,(Skills!L21/10)*(E1133/1000),Skills!L21/10)+Skills!O21</f>
        <v/>
      </c>
      <c r="G1133">
        <f>Calc!G21</f>
        <v/>
      </c>
      <c r="H1133">
        <f>Calc!H21</f>
        <v/>
      </c>
      <c r="I1133">
        <f>IF(Skills!AA21&lt;&gt;"",1+(Skills!AA21/10)*(U1115/1000)/100,1)</f>
        <v/>
      </c>
      <c r="J1133" t="inlineStr"/>
      <c r="K1133" t="inlineStr"/>
      <c r="L1133" t="inlineStr"/>
      <c r="M1133" t="inlineStr"/>
      <c r="N1133" t="inlineStr"/>
      <c r="O1133">
        <f>(1-Summary!$B$55)*T1133+Summary!$B$55*V1133</f>
        <v/>
      </c>
      <c r="P1133">
        <f>IF(B1156=0,0,O1133/B1156)</f>
        <v/>
      </c>
      <c r="Q1133">
        <f>IFERROR(1/IF(Inputs!$B$39="pvp",15,MAX(0.1,Skills!D21-IF(Skills!E21=TRUE,Inputs!$B$32,0))),0)</f>
        <v/>
      </c>
      <c r="R1133">
        <f>IF(AND(Inputs!$B$39&lt;&gt;"pvp",Inputs!$B$44&gt;0),IF(Inputs!$B$44&lt;=0,0,(INT(Inputs!$B$44/IF(Inputs!$B$39="pvp",15,MAX(0.1,Skills!D21-IF(Skills!E21=TRUE,Inputs!$B$32,0))))+1)),0)</f>
        <v/>
      </c>
      <c r="S1133">
        <f>IFERROR(O1133/N1133,0)</f>
        <v/>
      </c>
      <c r="T1133" t="n">
        <v>0</v>
      </c>
      <c r="V1133" t="n">
        <v>0</v>
      </c>
    </row>
    <row r="1134">
      <c r="A1134">
        <f>Skills!A22</f>
        <v/>
      </c>
      <c r="B1134">
        <f>Skills!B22</f>
        <v/>
      </c>
      <c r="C1134">
        <f>Inputs!$B$3&gt;=33</f>
        <v/>
      </c>
      <c r="D1134">
        <f>IF(Skills!C22=1,60+Inputs!$B$25+Inputs!$B$29,IF(Skills!C22=2,90+Inputs!$B$26+Inputs!$B$29,IF(Skills!C22=3,120+Inputs!$B$27+Inputs!$B$29,MAX(0,(Inputs!$B$3-100)*3)+Inputs!$B$28+Inputs!$B$29)))</f>
        <v/>
      </c>
      <c r="E1134">
        <f>INDEX(FactorTable!$B$2:$Y$301, MATCH(ROUND(MIN(300,MAX(1,D1134)),0), FactorTable!$A$2:$A$301,0), Skills!M22+1)</f>
        <v/>
      </c>
      <c r="F1134">
        <f>IF(Skills!N22=TRUE,(Skills!L22/10)*(E1134/1000),Skills!L22/10)+Skills!O22</f>
        <v/>
      </c>
      <c r="G1134">
        <f>Calc!G22</f>
        <v/>
      </c>
      <c r="H1134">
        <f>Calc!H22</f>
        <v/>
      </c>
      <c r="I1134">
        <f>IF(Skills!AA22&lt;&gt;"",1+(Skills!AA22/10)*(U1115/1000)/100,1)</f>
        <v/>
      </c>
      <c r="J1134" t="inlineStr"/>
      <c r="K1134" t="inlineStr"/>
      <c r="L1134" t="inlineStr"/>
      <c r="M1134" t="inlineStr"/>
      <c r="N1134" t="inlineStr"/>
      <c r="O1134">
        <f>(1-Summary!$B$55)*T1134+Summary!$B$55*V1134</f>
        <v/>
      </c>
      <c r="P1134">
        <f>IF(B1156=0,0,O1134/B1156)</f>
        <v/>
      </c>
      <c r="Q1134" t="n">
        <v>0</v>
      </c>
      <c r="R1134" t="n">
        <v>0</v>
      </c>
      <c r="S1134">
        <f>IFERROR(O1134/N1134,0)</f>
        <v/>
      </c>
      <c r="T1134" t="n">
        <v>0</v>
      </c>
      <c r="V1134" t="n">
        <v>0</v>
      </c>
    </row>
    <row r="1135">
      <c r="A1135">
        <f>Skills!A23</f>
        <v/>
      </c>
      <c r="B1135">
        <f>Skills!B23</f>
        <v/>
      </c>
      <c r="C1135">
        <f>Inputs!$B$3&gt;=38</f>
        <v/>
      </c>
      <c r="D1135">
        <f>IF(Skills!C23=1,60+Inputs!$B$25+Inputs!$B$29,IF(Skills!C23=2,90+Inputs!$B$26+Inputs!$B$29,IF(Skills!C23=3,120+Inputs!$B$27+Inputs!$B$29,MAX(0,(Inputs!$B$3-100)*3)+Inputs!$B$28+Inputs!$B$29)))</f>
        <v/>
      </c>
      <c r="E1135">
        <f>INDEX(FactorTable!$B$2:$Y$301, MATCH(ROUND(MIN(300,MAX(1,D1135)),0), FactorTable!$A$2:$A$301,0), Skills!M23+1)</f>
        <v/>
      </c>
      <c r="F1135">
        <f>IF(Skills!N23=TRUE,(Skills!L23/10)*(E1135/1000),Skills!L23/10)+Skills!O23</f>
        <v/>
      </c>
      <c r="G1135">
        <f>Calc!G23</f>
        <v/>
      </c>
      <c r="H1135">
        <f>Calc!H23</f>
        <v/>
      </c>
      <c r="I1135">
        <f>IF(Skills!AA23&lt;&gt;"",1+(Skills!AA23/10)*(U1115/1000)/100,1)</f>
        <v/>
      </c>
      <c r="J1135" t="inlineStr"/>
      <c r="K1135" t="inlineStr"/>
      <c r="L1135" t="inlineStr"/>
      <c r="M1135" t="inlineStr"/>
      <c r="N1135" t="inlineStr"/>
      <c r="O1135">
        <f>(1-Summary!$B$55)*T1135+Summary!$B$55*V1135</f>
        <v/>
      </c>
      <c r="P1135">
        <f>IF(B1156=0,0,O1135/B1156)</f>
        <v/>
      </c>
      <c r="Q1135" t="n">
        <v>0</v>
      </c>
      <c r="R1135" t="n">
        <v>0</v>
      </c>
      <c r="S1135">
        <f>IFERROR(O1135/N1135,0)</f>
        <v/>
      </c>
      <c r="T1135" t="n">
        <v>0</v>
      </c>
      <c r="V1135" t="n">
        <v>0</v>
      </c>
    </row>
    <row r="1136">
      <c r="A1136">
        <f>Skills!A24</f>
        <v/>
      </c>
      <c r="B1136">
        <f>Skills!B24</f>
        <v/>
      </c>
      <c r="C1136">
        <f>Inputs!$B$3&gt;=40</f>
        <v/>
      </c>
      <c r="D1136">
        <f>IF(Skills!C24=1,60+Inputs!$B$25+Inputs!$B$29,IF(Skills!C24=2,90+Inputs!$B$26+Inputs!$B$29,IF(Skills!C24=3,120+Inputs!$B$27+Inputs!$B$29,MAX(0,(Inputs!$B$3-100)*3)+Inputs!$B$28+Inputs!$B$29)))</f>
        <v/>
      </c>
      <c r="E1136">
        <f>INDEX(FactorTable!$B$2:$Y$301, MATCH(ROUND(MIN(300,MAX(1,D1136)),0), FactorTable!$A$2:$A$301,0), Skills!M24+1)</f>
        <v/>
      </c>
      <c r="F1136">
        <f>IF(Skills!N24=TRUE,(Skills!L24/10)*(E1136/1000),Skills!L24/10)+Skills!O24</f>
        <v/>
      </c>
      <c r="G1136">
        <f>Calc!G24</f>
        <v/>
      </c>
      <c r="H1136">
        <f>Calc!H24</f>
        <v/>
      </c>
      <c r="I1136">
        <f>IF(Skills!AA24&lt;&gt;"",1+(Skills!AA24/10)*(U1115/1000)/100,1)</f>
        <v/>
      </c>
      <c r="J1136" t="inlineStr"/>
      <c r="K1136" t="inlineStr"/>
      <c r="L1136" t="inlineStr"/>
      <c r="M1136" t="inlineStr"/>
      <c r="N1136" t="inlineStr"/>
      <c r="O1136">
        <f>(1-Summary!$B$55)*T1136+Summary!$B$55*V1136</f>
        <v/>
      </c>
      <c r="P1136">
        <f>IF(B1156=0,0,O1136/B1156)</f>
        <v/>
      </c>
      <c r="Q1136" t="n">
        <v>0</v>
      </c>
      <c r="R1136" t="n">
        <v>0</v>
      </c>
      <c r="S1136">
        <f>IFERROR(O1136/N1136,0)</f>
        <v/>
      </c>
      <c r="T1136" t="n">
        <v>0</v>
      </c>
      <c r="V1136" t="n">
        <v>0</v>
      </c>
    </row>
    <row r="1137">
      <c r="A1137">
        <f>Skills!A25</f>
        <v/>
      </c>
      <c r="B1137">
        <f>Skills!B25</f>
        <v/>
      </c>
      <c r="C1137">
        <f>Inputs!$B$3&gt;=45</f>
        <v/>
      </c>
      <c r="D1137">
        <f>IF(Skills!C25=1,60+Inputs!$B$25+Inputs!$B$29,IF(Skills!C25=2,90+Inputs!$B$26+Inputs!$B$29,IF(Skills!C25=3,120+Inputs!$B$27+Inputs!$B$29,MAX(0,(Inputs!$B$3-100)*3)+Inputs!$B$28+Inputs!$B$29)))</f>
        <v/>
      </c>
      <c r="E1137">
        <f>INDEX(FactorTable!$B$2:$Y$301, MATCH(ROUND(MIN(300,MAX(1,D1137)),0), FactorTable!$A$2:$A$301,0), Skills!M25+1)</f>
        <v/>
      </c>
      <c r="F1137">
        <f>IF(Skills!N25=TRUE,(Skills!L25/10)*(E1137/1000),Skills!L25/10)+Skills!O25</f>
        <v/>
      </c>
      <c r="G1137">
        <f>Calc!G25</f>
        <v/>
      </c>
      <c r="H1137">
        <f>Calc!H25</f>
        <v/>
      </c>
      <c r="I1137">
        <f>IF(Skills!AA25&lt;&gt;"",1+(Skills!AA25/10)*(U1115/1000)/100,1)</f>
        <v/>
      </c>
      <c r="J1137" t="inlineStr"/>
      <c r="K1137" t="inlineStr"/>
      <c r="L1137" t="inlineStr"/>
      <c r="M1137" t="inlineStr"/>
      <c r="N1137" t="inlineStr"/>
      <c r="O1137">
        <f>(1-Summary!$B$55)*T1137+Summary!$B$55*V1137</f>
        <v/>
      </c>
      <c r="P1137">
        <f>IF(B1156=0,0,O1137/B1156)</f>
        <v/>
      </c>
      <c r="Q1137" t="n">
        <v>0</v>
      </c>
      <c r="R1137" t="n">
        <v>0</v>
      </c>
      <c r="S1137">
        <f>IFERROR(O1137/N1137,0)</f>
        <v/>
      </c>
      <c r="T1137" t="n">
        <v>0</v>
      </c>
      <c r="V1137" t="n">
        <v>0</v>
      </c>
    </row>
    <row r="1138">
      <c r="A1138">
        <f>Skills!A26</f>
        <v/>
      </c>
      <c r="B1138">
        <f>Skills!B26</f>
        <v/>
      </c>
      <c r="C1138">
        <f>Inputs!$B$3&gt;=45</f>
        <v/>
      </c>
      <c r="D1138">
        <f>IF(Skills!C26=1,60+Inputs!$B$25+Inputs!$B$29,IF(Skills!C26=2,90+Inputs!$B$26+Inputs!$B$29,IF(Skills!C26=3,120+Inputs!$B$27+Inputs!$B$29,MAX(0,(Inputs!$B$3-100)*3)+Inputs!$B$28+Inputs!$B$29)))</f>
        <v/>
      </c>
      <c r="E1138">
        <f>INDEX(FactorTable!$B$2:$Y$301, MATCH(ROUND(MIN(300,MAX(1,D1138)),0), FactorTable!$A$2:$A$301,0), Skills!M26+1)</f>
        <v/>
      </c>
      <c r="F1138">
        <f>IF(Skills!N26=TRUE,(Skills!L26/10)*(E1138/1000),Skills!L26/10)+Skills!O26</f>
        <v/>
      </c>
      <c r="G1138">
        <f>Calc!G26</f>
        <v/>
      </c>
      <c r="H1138">
        <f>Calc!H26</f>
        <v/>
      </c>
      <c r="I1138">
        <f>IF(Skills!AA26&lt;&gt;"",1+(Skills!AA26/10)*(U1115/1000)/100,1)</f>
        <v/>
      </c>
      <c r="J1138" t="inlineStr"/>
      <c r="K1138" t="inlineStr"/>
      <c r="L1138" t="inlineStr"/>
      <c r="M1138" t="inlineStr"/>
      <c r="N1138" t="inlineStr"/>
      <c r="O1138">
        <f>(1-Summary!$B$55)*T1138+Summary!$B$55*V1138</f>
        <v/>
      </c>
      <c r="P1138">
        <f>IF(B1156=0,0,O1138/B1156)</f>
        <v/>
      </c>
      <c r="Q1138" t="n">
        <v>0</v>
      </c>
      <c r="R1138" t="n">
        <v>0</v>
      </c>
      <c r="S1138">
        <f>IFERROR(O1138/N1138,0)</f>
        <v/>
      </c>
      <c r="T1138" t="n">
        <v>0</v>
      </c>
      <c r="V1138" t="n">
        <v>0</v>
      </c>
    </row>
    <row r="1139">
      <c r="A1139">
        <f>Skills!A27</f>
        <v/>
      </c>
      <c r="B1139">
        <f>Skills!B27</f>
        <v/>
      </c>
      <c r="C1139">
        <f>Inputs!$B$3&gt;=72</f>
        <v/>
      </c>
      <c r="D1139">
        <f>IF(Skills!C27=1,60+Inputs!$B$25+Inputs!$B$29,IF(Skills!C27=2,90+Inputs!$B$26+Inputs!$B$29,IF(Skills!C27=3,120+Inputs!$B$27+Inputs!$B$29,MAX(0,(Inputs!$B$3-100)*3)+Inputs!$B$28+Inputs!$B$29)))</f>
        <v/>
      </c>
      <c r="E1139">
        <f>INDEX(FactorTable!$B$2:$Y$301, MATCH(ROUND(MIN(300,MAX(1,D1139)),0), FactorTable!$A$2:$A$301,0), Skills!M27+1)</f>
        <v/>
      </c>
      <c r="F1139">
        <f>IF(Skills!N27=TRUE,(Skills!L27/10)*(E1139/1000),Skills!L27/10)+Skills!O27</f>
        <v/>
      </c>
      <c r="G1139">
        <f>Calc!G27</f>
        <v/>
      </c>
      <c r="H1139">
        <f>Calc!H27</f>
        <v/>
      </c>
      <c r="I1139">
        <f>IF(Skills!AA27&lt;&gt;"",1+(Skills!AA27/10)*(U1115/1000)/100,1)</f>
        <v/>
      </c>
      <c r="J1139" t="inlineStr"/>
      <c r="K1139" t="inlineStr"/>
      <c r="L1139" t="inlineStr"/>
      <c r="M1139" t="inlineStr"/>
      <c r="N1139" t="inlineStr"/>
      <c r="O1139">
        <f>(1-Summary!$B$55)*T1139+Summary!$B$55*V1139</f>
        <v/>
      </c>
      <c r="P1139">
        <f>IF(B1156=0,0,O1139/B1156)</f>
        <v/>
      </c>
      <c r="Q1139" t="n">
        <v>0</v>
      </c>
      <c r="R1139" t="n">
        <v>0</v>
      </c>
      <c r="S1139">
        <f>IFERROR(O1139/N1139,0)</f>
        <v/>
      </c>
      <c r="T1139" t="n">
        <v>0</v>
      </c>
      <c r="V1139" t="n">
        <v>0</v>
      </c>
    </row>
    <row r="1140">
      <c r="A1140">
        <f>Skills!A28</f>
        <v/>
      </c>
      <c r="B1140">
        <f>Skills!B28</f>
        <v/>
      </c>
      <c r="C1140">
        <f>Inputs!$B$3&gt;=75</f>
        <v/>
      </c>
      <c r="D1140">
        <f>IF(Skills!C28=1,60+Inputs!$B$25+Inputs!$B$29,IF(Skills!C28=2,90+Inputs!$B$26+Inputs!$B$29,IF(Skills!C28=3,120+Inputs!$B$27+Inputs!$B$29,MAX(0,(Inputs!$B$3-100)*3)+Inputs!$B$28+Inputs!$B$29)))</f>
        <v/>
      </c>
      <c r="E1140">
        <f>INDEX(FactorTable!$B$2:$Y$301, MATCH(ROUND(MIN(300,MAX(1,D1140)),0), FactorTable!$A$2:$A$301,0), Skills!M28+1)</f>
        <v/>
      </c>
      <c r="F1140">
        <f>IF(Skills!N28=TRUE,(Skills!L28/10)*(E1140/1000),Skills!L28/10)+Skills!O28</f>
        <v/>
      </c>
      <c r="G1140">
        <f>Calc!G28</f>
        <v/>
      </c>
      <c r="H1140">
        <f>Calc!H28</f>
        <v/>
      </c>
      <c r="I1140">
        <f>IF(Skills!AA28&lt;&gt;"",1+(Skills!AA28/10)*(U1115/1000)/100,1)</f>
        <v/>
      </c>
      <c r="J1140" t="inlineStr"/>
      <c r="K1140" t="inlineStr"/>
      <c r="L1140" t="inlineStr"/>
      <c r="M1140" t="inlineStr"/>
      <c r="N1140" t="inlineStr"/>
      <c r="O1140">
        <f>(1-Summary!$B$55)*T1140+Summary!$B$55*V1140</f>
        <v/>
      </c>
      <c r="P1140">
        <f>IF(B1156=0,0,O1140/B1156)</f>
        <v/>
      </c>
      <c r="Q1140" t="n">
        <v>0</v>
      </c>
      <c r="R1140" t="n">
        <v>0</v>
      </c>
      <c r="S1140">
        <f>IFERROR(O1140/N1140,0)</f>
        <v/>
      </c>
      <c r="T1140" t="n">
        <v>0</v>
      </c>
      <c r="V1140" t="n">
        <v>0</v>
      </c>
    </row>
    <row r="1141">
      <c r="A1141">
        <f>Skills!A29</f>
        <v/>
      </c>
      <c r="B1141">
        <f>Skills!B29</f>
        <v/>
      </c>
      <c r="C1141">
        <f>Inputs!$B$3&gt;=120</f>
        <v/>
      </c>
      <c r="D1141">
        <f>IF(Skills!C29=1,60+Inputs!$B$25+Inputs!$B$29,IF(Skills!C29=2,90+Inputs!$B$26+Inputs!$B$29,IF(Skills!C29=3,120+Inputs!$B$27+Inputs!$B$29,MAX(0,(Inputs!$B$3-100)*3)+Inputs!$B$28+Inputs!$B$29)))</f>
        <v/>
      </c>
      <c r="E1141">
        <f>INDEX(FactorTable!$B$2:$Y$301, MATCH(ROUND(MIN(300,MAX(1,D1141)),0), FactorTable!$A$2:$A$301,0), Skills!M29+1)</f>
        <v/>
      </c>
      <c r="F1141">
        <f>IF(Skills!N29=TRUE,(Skills!L29/10)*(E1141/1000),Skills!L29/10)+Skills!O29</f>
        <v/>
      </c>
      <c r="G1141">
        <f>Calc!G29</f>
        <v/>
      </c>
      <c r="H1141">
        <f>Calc!H29</f>
        <v/>
      </c>
      <c r="I1141">
        <f>IF(Skills!AA29&lt;&gt;"",1+(Skills!AA29/10)*(U1115/1000)/100,1)</f>
        <v/>
      </c>
      <c r="J1141" t="inlineStr"/>
      <c r="K1141" t="inlineStr"/>
      <c r="L1141" t="inlineStr"/>
      <c r="M1141" t="inlineStr"/>
      <c r="N1141" t="inlineStr"/>
      <c r="O1141">
        <f>(1-Summary!$B$55)*T1141+Summary!$B$55*V1141</f>
        <v/>
      </c>
      <c r="P1141">
        <f>IF(B1156=0,0,O1141/B1156)</f>
        <v/>
      </c>
      <c r="Q1141" t="n">
        <v>0</v>
      </c>
      <c r="R1141" t="n">
        <v>0</v>
      </c>
      <c r="S1141">
        <f>IFERROR(O1141/N1141,0)</f>
        <v/>
      </c>
      <c r="T1141" t="n">
        <v>0</v>
      </c>
      <c r="V1141" t="n">
        <v>0</v>
      </c>
    </row>
    <row r="1142">
      <c r="A1142">
        <f>Skills!A30</f>
        <v/>
      </c>
      <c r="B1142">
        <f>Skills!B30</f>
        <v/>
      </c>
      <c r="C1142">
        <f>Inputs!$B$3&gt;=125</f>
        <v/>
      </c>
      <c r="D1142">
        <f>IF(Skills!C30=1,60+Inputs!$B$25+Inputs!$B$29,IF(Skills!C30=2,90+Inputs!$B$26+Inputs!$B$29,IF(Skills!C30=3,120+Inputs!$B$27+Inputs!$B$29,MAX(0,(Inputs!$B$3-100)*3)+Inputs!$B$28+Inputs!$B$29)))</f>
        <v/>
      </c>
      <c r="E1142">
        <f>INDEX(FactorTable!$B$2:$Y$301, MATCH(ROUND(MIN(300,MAX(1,D1142)),0), FactorTable!$A$2:$A$301,0), Skills!M30+1)</f>
        <v/>
      </c>
      <c r="F1142">
        <f>IF(Skills!N30=TRUE,(Skills!L30/10)*(E1142/1000),Skills!L30/10)+Skills!O30</f>
        <v/>
      </c>
      <c r="G1142">
        <f>Calc!G30</f>
        <v/>
      </c>
      <c r="H1142">
        <f>Calc!H30</f>
        <v/>
      </c>
      <c r="I1142">
        <f>IF(Skills!AA30&lt;&gt;"",1+(Skills!AA30/10)*(U1115/1000)/100,1)</f>
        <v/>
      </c>
      <c r="J1142" t="inlineStr"/>
      <c r="K1142" t="inlineStr"/>
      <c r="L1142" t="inlineStr"/>
      <c r="M1142" t="inlineStr"/>
      <c r="N1142" t="inlineStr"/>
      <c r="O1142">
        <f>(1-Summary!$B$55)*T1142+Summary!$B$55*V1142</f>
        <v/>
      </c>
      <c r="P1142">
        <f>IF(B1156=0,0,O1142/B1156)</f>
        <v/>
      </c>
      <c r="Q1142" t="n">
        <v>0</v>
      </c>
      <c r="R1142" t="n">
        <v>0</v>
      </c>
      <c r="S1142">
        <f>IFERROR(O1142/N1142,0)</f>
        <v/>
      </c>
      <c r="T1142" t="n">
        <v>0</v>
      </c>
      <c r="V1142" t="n">
        <v>0</v>
      </c>
    </row>
    <row r="1143">
      <c r="A1143">
        <f>Skills!A31</f>
        <v/>
      </c>
      <c r="B1143">
        <f>Skills!B31</f>
        <v/>
      </c>
      <c r="C1143">
        <f>Inputs!$B$3&gt;=107</f>
        <v/>
      </c>
      <c r="D1143">
        <f>IF(Skills!C31=1,60+Inputs!$B$25+Inputs!$B$29,IF(Skills!C31=2,90+Inputs!$B$26+Inputs!$B$29,IF(Skills!C31=3,120+Inputs!$B$27+Inputs!$B$29,MAX(0,(Inputs!$B$3-100)*3)+Inputs!$B$28+Inputs!$B$29)))</f>
        <v/>
      </c>
      <c r="E1143">
        <f>INDEX(FactorTable!$B$2:$Y$301, MATCH(ROUND(MIN(300,MAX(1,D1143)),0), FactorTable!$A$2:$A$301,0), Skills!M31+1)</f>
        <v/>
      </c>
      <c r="F1143">
        <f>IF(Skills!N31=TRUE,(Skills!L31/10)*(E1143/1000),Skills!L31/10)+Skills!O31</f>
        <v/>
      </c>
      <c r="G1143">
        <f>Calc!G31</f>
        <v/>
      </c>
      <c r="H1143">
        <f>Calc!H31</f>
        <v/>
      </c>
      <c r="I1143">
        <f>IF(Skills!AA31&lt;&gt;"",1+(Skills!AA31/10)*(U1115/1000)/100,1)</f>
        <v/>
      </c>
      <c r="J1143" t="inlineStr"/>
      <c r="K1143" t="inlineStr"/>
      <c r="L1143" t="inlineStr"/>
      <c r="M1143" t="inlineStr"/>
      <c r="N1143" t="inlineStr"/>
      <c r="O1143">
        <f>(1-Summary!$B$55)*T1143+Summary!$B$55*V1143</f>
        <v/>
      </c>
      <c r="P1143">
        <f>IF(B1156=0,0,O1143/B1156)</f>
        <v/>
      </c>
      <c r="Q1143" t="n">
        <v>0</v>
      </c>
      <c r="R1143" t="n">
        <v>0</v>
      </c>
      <c r="S1143">
        <f>IFERROR(O1143/N1143,0)</f>
        <v/>
      </c>
      <c r="T1143" t="n">
        <v>0</v>
      </c>
      <c r="V1143" t="n">
        <v>0</v>
      </c>
    </row>
    <row r="1145">
      <c r="A1145" t="inlineStr">
        <is>
          <t>Actions Per Second (pre-Adrenalin)</t>
        </is>
      </c>
      <c r="B1145">
        <f>1+MIN(150,150*(1-(1-(Inputs!$B$11+((C1134=TRUE)*(F1134-Calc!F22)))/150)*(1-((C1131=TRUE)*F1131*IF(AND(Inputs!$B$39&lt;&gt;"pvp",Inputs!$B$44&gt;0),(((R1131-1)*(Skills!Y19*(1+Inputs!$B$34/100))+MIN((Skills!Y19*(1+Inputs!$B$34/100)),MAX(0,Inputs!$B$44-((R1131-1)*Skills!D19))))/Inputs!$B$44),IF(Inputs!$B$39="pvp",MIN((Skills!Y19*(1+Inputs!$B$34/100)),15)/15,(Skills!Y19*(1+Inputs!$B$34/100))/Skills!D19)))/150)))/100</f>
        <v/>
      </c>
    </row>
    <row r="1146">
      <c r="A1146" t="inlineStr">
        <is>
          <t>Alchemic Adrenaline Uptime</t>
        </is>
      </c>
      <c r="B1146">
        <f>(Skills!Y6*(1+Inputs!$B$34/100))/((Skills!Y6*(1+Inputs!$B$34/100))+(5/B1145))</f>
        <v/>
      </c>
    </row>
    <row r="1147">
      <c r="A1147" t="inlineStr">
        <is>
          <t>Attack Speed Buff Bonus %</t>
        </is>
      </c>
      <c r="B1147">
        <f>((C1131=TRUE)*F1131*IF(AND(Inputs!$B$39&lt;&gt;"pvp",Inputs!$B$44&gt;0),(((R1131-1)*(Skills!Y19*(1+Inputs!$B$34/100))+MIN((Skills!Y19*(1+Inputs!$B$34/100)),MAX(0,Inputs!$B$44-((R1131-1)*Skills!D19))))/Inputs!$B$44),IF(Inputs!$B$39="pvp",MIN((Skills!Y19*(1+Inputs!$B$34/100)),15)/15,(Skills!Y19*(1+Inputs!$B$34/100))/Skills!D19)))+((C1119=TRUE)*F1119*B1146)</f>
        <v/>
      </c>
    </row>
    <row r="1148">
      <c r="A1148" t="inlineStr">
        <is>
          <t>Actions Per Second (final)</t>
        </is>
      </c>
      <c r="B1148">
        <f>1+MIN(150,150*(1-(1-(Inputs!$B$11+((C1134=TRUE)*(F1134-Calc!F22)))/150)*(1-B1147/150)))/100</f>
        <v/>
      </c>
    </row>
    <row r="1149">
      <c r="A1149" t="inlineStr">
        <is>
          <t>Skill + Buff Cast Rate</t>
        </is>
      </c>
      <c r="B1149">
        <f>IF(AND(Inputs!$B$39&lt;&gt;"pvp",Inputs!$B$44&gt;0),SUMPRODUCT((Skills!E2:E31=TRUE)*(C1114:C1143=TRUE)*R1114:R1143*Skills!F2:F31)/Inputs!$B$44,SUMPRODUCT((Skills!E2:E31=TRUE)*(C1114:C1143=TRUE)*Q1114:Q1143*Skills!F2:F31))</f>
        <v/>
      </c>
    </row>
    <row r="1150">
      <c r="A1150" t="inlineStr">
        <is>
          <t>Showdown Casts Per Second</t>
        </is>
      </c>
      <c r="B1150">
        <f>MAX(0,B1148-B1149)</f>
        <v/>
      </c>
    </row>
    <row r="1151">
      <c r="A1151" t="inlineStr">
        <is>
          <t>Average Buff Multiplier</t>
        </is>
      </c>
      <c r="B1151">
        <f>(1+(((C1133=TRUE)*F1133*IF(AND(Inputs!$B$39&lt;&gt;"pvp",Inputs!$B$44&gt;0),(((R1133-1)*(Skills!Y21*(1+Inputs!$B$34/100))+MIN((Skills!Y21*(1+Inputs!$B$34/100)),MAX(0,Inputs!$B$44-((R1133-1)*Skills!D21))))/Inputs!$B$44),IF(Inputs!$B$39="pvp",MIN((Skills!Y21*(1+Inputs!$B$34/100)),15)/15,(Skills!Y21*(1+Inputs!$B$34/100))/Skills!D21)))+((C1140=TRUE)*(F1140-Calc!F28))+((C1130=TRUE)*(F1130-Calc!F18)))/100)*(1+((C1127=TRUE)*F1127*IF(AND(Inputs!$B$39&lt;&gt;"pvp",Inputs!$B$44&gt;0),(((R1127-1)*(Skills!Y15*(1+Inputs!$B$34/100))+MIN((Skills!Y15*(1+Inputs!$B$34/100)),MAX(0,Inputs!$B$44-((R1127-1)*Skills!D15))))/Inputs!$B$44),IF(Inputs!$B$39="pvp",MIN((Skills!Y15*(1+Inputs!$B$34/100)),15)/15,(Skills!Y15*(1+Inputs!$B$34/100))/Skills!D15)))/100)*(1+((C1118=TRUE)*F1118*B1146)/100)</f>
        <v/>
      </c>
    </row>
    <row r="1152">
      <c r="A1152" t="inlineStr">
        <is>
          <t>Global Crit Rate Bonus %</t>
        </is>
      </c>
      <c r="B1152">
        <f>IF(Inputs!$B$3&gt;=47,8,0)+((C1132=TRUE)*F1132*IF(AND(Inputs!$B$39&lt;&gt;"pvp",Inputs!$B$44&gt;0),(((R1132-1)*(Skills!Y20*(1+Inputs!$B$34/100))+MIN((Skills!Y20*(1+Inputs!$B$34/100)),MAX(0,Inputs!$B$44-((R1132-1)*Skills!D20))))/Inputs!$B$44),IF(Inputs!$B$39="pvp",MIN((Skills!Y20*(1+Inputs!$B$34/100)),15)/15,(Skills!Y20*(1+Inputs!$B$34/100))/Skills!D20)))</f>
        <v/>
      </c>
    </row>
    <row r="1153">
      <c r="A1153" t="inlineStr">
        <is>
          <t>Global Monster Damage-Taken Bonus %</t>
        </is>
      </c>
      <c r="B1153">
        <f>IF(Inputs!$B$3&gt;=82,15,0)+((C1128=TRUE)*F1128*IF(AND(Inputs!$B$39&lt;&gt;"pvp",Inputs!$B$44&gt;0),(((R1128-1)*(Skills!Y16*(1+Inputs!$B$34/100))+MIN((Skills!Y16*(1+Inputs!$B$34/100)),MAX(0,Inputs!$B$44-((R1128-1)*Skills!D16))))/Inputs!$B$44),IF(Inputs!$B$39="pvp",MIN((Skills!Y16*(1+Inputs!$B$34/100)),15)/15,(Skills!Y16*(1+Inputs!$B$34/100))/Skills!D16)))</f>
        <v/>
      </c>
    </row>
    <row r="1154">
      <c r="A1154" t="inlineStr">
        <is>
          <t>Shadow Partner Average Multiplier</t>
        </is>
      </c>
      <c r="B1154">
        <f>1+((C1123=TRUE)*F1123*I1123*Skills!J11/100)/100</f>
        <v/>
      </c>
    </row>
    <row r="1155">
      <c r="A1155" t="inlineStr">
        <is>
          <t>Global Critical Damage Bonus % (Frailty Curse Mastery Lv.111)</t>
        </is>
      </c>
      <c r="B1155">
        <f>IF(Inputs!$B$3&gt;=111,30,0)*IF(AND(Inputs!$B$39&lt;&gt;"pvp",Inputs!$B$44&gt;0),(((R1128-1)*(Skills!Y16*(1+Inputs!$B$34/100))+MIN((Skills!Y16*(1+Inputs!$B$34/100)),MAX(0,Inputs!$B$44-((R1128-1)*Skills!D16))))/Inputs!$B$44),IF(Inputs!$B$39="pvp",MIN((Skills!Y16*(1+Inputs!$B$34/100)),15)/15,(Skills!Y16*(1+Inputs!$B$34/100))/Skills!D16))</f>
        <v/>
      </c>
    </row>
    <row r="1156">
      <c r="A1156" s="5" t="inlineStr">
        <is>
          <t>TOTAL DPS</t>
        </is>
      </c>
      <c r="B1156" s="5">
        <f>SUM(O1114:O1143)</f>
        <v/>
      </c>
    </row>
    <row r="1157">
      <c r="A1157" t="inlineStr">
        <is>
          <t>Buff-Casting Startup Delay (s, fixed-duration only)</t>
        </is>
      </c>
      <c r="B1157">
        <f>IF(AND(Inputs!$B$39&lt;&gt;"pvp",Inputs!$B$44&gt;0),SUMPRODUCT((Skills!Y2:Y31&gt;0)*(Skills!E2:E31=TRUE)*(C1114:C1143=TRUE))/B1148,0)</f>
        <v/>
      </c>
    </row>
    <row r="1158">
      <c r="A1158" t="inlineStr">
        <is>
          <t>Boss-Only Total DPS (this block's swept value)</t>
        </is>
      </c>
      <c r="B1158">
        <f>SUM(T1114:T1143)</f>
        <v/>
      </c>
    </row>
    <row r="1159">
      <c r="A1159" t="inlineStr">
        <is>
          <t>Normal-Only Total DPS (this block's swept value)</t>
        </is>
      </c>
      <c r="B1159">
        <f>SUM(V1114:V1143)</f>
        <v/>
      </c>
    </row>
    <row r="1161">
      <c r="A1161" s="5" t="inlineStr">
        <is>
          <t>Stat: Skill Cooldown Decrease (seconds)</t>
        </is>
      </c>
    </row>
    <row r="1162">
      <c r="A1162" s="9" t="inlineStr">
        <is>
          <t>Key</t>
        </is>
      </c>
      <c r="B1162" s="9" t="inlineStr">
        <is>
          <t>Name</t>
        </is>
      </c>
      <c r="C1162" s="9" t="inlineStr">
        <is>
          <t>Unlocked</t>
        </is>
      </c>
      <c r="D1162" s="9" t="inlineStr">
        <is>
          <t>InputLevel</t>
        </is>
      </c>
      <c r="E1162" s="9" t="inlineStr">
        <is>
          <t>Factor</t>
        </is>
      </c>
      <c r="F1162" s="9" t="inlineStr">
        <is>
          <t>CoefficientPercent</t>
        </is>
      </c>
      <c r="G1162" s="9" t="inlineStr">
        <is>
          <t>EffectiveHits</t>
        </is>
      </c>
      <c r="H1162" s="9" t="inlineStr">
        <is>
          <t>ProcProbability</t>
        </is>
      </c>
      <c r="I1162" s="9" t="inlineStr">
        <is>
          <t>MapleHeroMultiplier</t>
        </is>
      </c>
      <c r="J1162" s="9" t="inlineStr">
        <is>
          <t>BaseDamage</t>
        </is>
      </c>
      <c r="K1162" s="9" t="inlineStr">
        <is>
          <t>BaseHitDamage</t>
        </is>
      </c>
      <c r="L1162" s="9" t="inlineStr">
        <is>
          <t>NonCritAvg</t>
        </is>
      </c>
      <c r="M1162" s="9" t="inlineStr">
        <is>
          <t>CritAvg</t>
        </is>
      </c>
      <c r="N1162" s="9" t="inlineStr">
        <is>
          <t>ExpectedDamage(perHit)</t>
        </is>
      </c>
      <c r="O1162" s="9" t="inlineStr">
        <is>
          <t>DPS</t>
        </is>
      </c>
      <c r="P1162" s="9" t="inlineStr">
        <is>
          <t>% of Total</t>
        </is>
      </c>
      <c r="Q1162" s="9" t="inlineStr">
        <is>
          <t>InvCooldown</t>
        </is>
      </c>
      <c r="R1162" s="9" t="inlineStr">
        <is>
          <t>CastsInFight</t>
        </is>
      </c>
      <c r="S1162" s="9" t="inlineStr">
        <is>
          <t>HitRate(perSec)</t>
        </is>
      </c>
      <c r="U1162" t="inlineStr">
        <is>
          <t>helpers</t>
        </is>
      </c>
    </row>
    <row r="1163">
      <c r="A1163">
        <f>Skills!A2</f>
        <v/>
      </c>
      <c r="B1163">
        <f>Skills!B2</f>
        <v/>
      </c>
      <c r="C1163">
        <f>Inputs!$B$3&gt;=100</f>
        <v/>
      </c>
      <c r="D1163" t="inlineStr"/>
      <c r="E1163" t="inlineStr"/>
      <c r="F1163">
        <f>U1167+Skills!O2</f>
        <v/>
      </c>
      <c r="G1163">
        <f>Calc!G2</f>
        <v/>
      </c>
      <c r="H1163">
        <f>Calc!H2</f>
        <v/>
      </c>
      <c r="I1163">
        <f>IF(Skills!AA2&lt;&gt;"",1+(Skills!AA2/10)*(U1164/1000)/100,1)</f>
        <v/>
      </c>
      <c r="J1163">
        <f>((Inputs!$B$6*(1+Inputs!$B$7/100))+(((Inputs!$B$12*(1+Inputs!$B$13/100))-(Inputs!$B$12*(1+Inputs!$B$13/100)))+0.25*(Inputs!$B$14-Inputs!$B$14))*(1+Inputs!$B$7/100))*(F1163/100)</f>
        <v/>
      </c>
      <c r="K1163">
        <f>J1163*(1+((Inputs!$B$12*(1+Inputs!$B$13/100))*0.01+Inputs!$B$14*0.0025)/100)*(1+Inputs!$B$15/100)*(1+Inputs!$B$16/100)*(5000/(6000+Inputs!$B$43*(1-Inputs!$B$19/100)))*(1+(Inputs!$B$24+((C1191=TRUE)*(F1191-Calc!F30)))/100)*(1+Skills!R2/100)*(1+(IF(Skills!A2="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1163)</f>
        <v/>
      </c>
      <c r="L1163">
        <f>K1163*(MIN(Inputs!$B$22+((C1185=TRUE)*(F1185-Calc!F24)),Inputs!$B$23)/100+Inputs!$B$23/100)/2</f>
        <v/>
      </c>
      <c r="M1163">
        <f>L1163*(1+(Inputs!$B$10+((C1187=TRUE)*(F1187-Calc!F26))+B1204)/100)</f>
        <v/>
      </c>
      <c r="N1163">
        <f>L1163*(1-MIN((Inputs!$B$9+((C1186=TRUE)*(F1186-Calc!F25))+B1201),100)/100)+M1163*(MIN((Inputs!$B$9+((C1186=TRUE)*(F1186-Calc!F25))+B1201),100)/100)</f>
        <v/>
      </c>
      <c r="O1163">
        <f>(1-Summary!$B$55)*T1163+Summary!$B$55*V1163</f>
        <v/>
      </c>
      <c r="P1163">
        <f>IF(B1205=0,0,O1163/B1205)</f>
        <v/>
      </c>
      <c r="Q1163" t="n">
        <v>0</v>
      </c>
      <c r="R1163" t="n">
        <v>0</v>
      </c>
      <c r="S1163">
        <f>IFERROR(O1163/N1163,0)</f>
        <v/>
      </c>
      <c r="T1163">
        <f>IF(C1163,(Skills!G2*N1163*B1199)*IF(Inputs!$B$39="pvp",1,1+(Inputs!$B$20+((C1188=TRUE)*(F1188-Calc!F27))+Skills!P2+B1202)/100),0)</f>
        <v/>
      </c>
      <c r="U1163">
        <f>MAX(0,(Inputs!$B$3-100)*3)+Inputs!$B$28+Inputs!$B$29</f>
        <v/>
      </c>
      <c r="V1163">
        <f>IF(C1163,(Skills!G2*N1163*B1199)*IF(Inputs!$B$39="pvp",1,(1+(Inputs!$B$21+Skills!Q2+B1202)/100)*(MIN((6+Inputs!$B$33),Inputs!$B$37))),0)</f>
        <v/>
      </c>
    </row>
    <row r="1164">
      <c r="A1164">
        <f>Skills!A3</f>
        <v/>
      </c>
      <c r="B1164">
        <f>Skills!B3</f>
        <v/>
      </c>
      <c r="C1164">
        <f>Inputs!$B$3&gt;=35</f>
        <v/>
      </c>
      <c r="D1164">
        <f>IF(Skills!C3=1,60+Inputs!$B$25+Inputs!$B$29,IF(Skills!C3=2,90+Inputs!$B$26+Inputs!$B$29,IF(Skills!C3=3,120+Inputs!$B$27+Inputs!$B$29,MAX(0,(Inputs!$B$3-100)*3)+Inputs!$B$28+Inputs!$B$29)))</f>
        <v/>
      </c>
      <c r="E1164">
        <f>INDEX(FactorTable!$B$2:$Y$301, MATCH(ROUND(MIN(300,MAX(1,D1164)),0), FactorTable!$A$2:$A$301,0), Skills!M3+1)</f>
        <v/>
      </c>
      <c r="F1164">
        <f>IF(Skills!N3=TRUE,(Skills!L3/10)*(E1164/1000),Skills!L3/10)+Skills!O3</f>
        <v/>
      </c>
      <c r="G1164">
        <f>Calc!G3</f>
        <v/>
      </c>
      <c r="H1164">
        <f>Calc!H3</f>
        <v/>
      </c>
      <c r="I1164">
        <f>IF(Skills!AA3&lt;&gt;"",1+(Skills!AA3/10)*(U1164/1000)/100,1)</f>
        <v/>
      </c>
      <c r="J1164">
        <f>((Inputs!$B$6*(1+Inputs!$B$7/100))+(((Inputs!$B$12*(1+Inputs!$B$13/100))-(Inputs!$B$12*(1+Inputs!$B$13/100)))+0.25*(Inputs!$B$14-Inputs!$B$14))*(1+Inputs!$B$7/100))*(F1164/100)</f>
        <v/>
      </c>
      <c r="K1164">
        <f>J1164*(1+((Inputs!$B$12*(1+Inputs!$B$13/100))*0.01+Inputs!$B$14*0.0025)/100)*(1+Inputs!$B$15/100)*(1+Inputs!$B$16/100)*(5000/(6000+Inputs!$B$43*(1-Inputs!$B$19/100)))*(1+(Inputs!$B$24+((C1191=TRUE)*(F1191-Calc!F30)))/100)*(1+Skills!R3/100)*(1+(IF(Skills!A3="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1164)</f>
        <v/>
      </c>
      <c r="L1164">
        <f>K1164*(MIN(Inputs!$B$22+((C1185=TRUE)*(F1185-Calc!F24)),Inputs!$B$23)/100+Inputs!$B$23/100)/2</f>
        <v/>
      </c>
      <c r="M1164">
        <f>L1164*(1+(Inputs!$B$10+((C1187=TRUE)*(F1187-Calc!F26))+B1204)/100)</f>
        <v/>
      </c>
      <c r="N1164">
        <f>L1164*(1-MIN((Inputs!$B$9+((C1186=TRUE)*(F1186-Calc!F25))+B1201),100)/100)+M1164*(MIN((Inputs!$B$9+((C1186=TRUE)*(F1186-Calc!F25))+B1201),100)/100)</f>
        <v/>
      </c>
      <c r="O1164">
        <f>(1-Summary!$B$55)*T1164+Summary!$B$55*V1164</f>
        <v/>
      </c>
      <c r="P1164">
        <f>IF(B1205=0,0,O1164/B1205)</f>
        <v/>
      </c>
      <c r="Q1164">
        <f>IFERROR(1/IF(Inputs!$B$39="pvp",15,MAX(0.1,Skills!D3-IF(Skills!E3=TRUE,(Inputs!$B$32+1),0))),0)</f>
        <v/>
      </c>
      <c r="R1164">
        <f>IF(AND(Inputs!$B$39&lt;&gt;"pvp",Inputs!$B$44&gt;0),IF(MAX(0,Inputs!$B$44-B1206)&lt;=0,0,(INT(MAX(0,Inputs!$B$44-B1206)/IF(Inputs!$B$39="pvp",15,MAX(0.1,Skills!D3-IF(Skills!E3=TRUE,(Inputs!$B$32+1),0))))+1)),0)</f>
        <v/>
      </c>
      <c r="S1164">
        <f>IFERROR(O1164/N1164,0)</f>
        <v/>
      </c>
      <c r="T1164">
        <f>IF(C1164,(H1164*N1164*IF(AND(Inputs!$B$39&lt;&gt;"pvp",Inputs!$B$44&gt;0),((Skills!G3*((R1164-1)*IF(Skills!H3&gt;0,Skills!I3/Skills!H3,1)+IF(Skills!H3&gt;0,MIN(Skills!I3,MAX(0,MAX(0,Inputs!$B$44-B1206)-((R1164-1)*IF(Inputs!$B$39="pvp",15,MAX(0.1,Skills!D3-IF(Skills!E3=TRUE,(Inputs!$B$32+1),0))))))/Skills!H3,1)))/Inputs!$B$44),G1164*Q1164))*IF(Inputs!$B$39="pvp",1,1+(Inputs!$B$20+((C1188=TRUE)*(F1188-Calc!F27))+Skills!P3+B1202)/100),0)</f>
        <v/>
      </c>
      <c r="U1164">
        <f>INDEX(FactorTable!$B$2:$Y$301, MATCH(ROUND(MIN(300,MAX(1,U1163)),0), FactorTable!$A$2:$A$301,0), 24)</f>
        <v/>
      </c>
      <c r="V1164">
        <f>IF(C1164,(H1164*N1164*IF(AND(Inputs!$B$39&lt;&gt;"pvp",Inputs!$B$44&gt;0),((Skills!G3*((R1164-1)*IF(Skills!H3&gt;0,Skills!I3/Skills!H3,1)+IF(Skills!H3&gt;0,MIN(Skills!I3,MAX(0,MAX(0,Inputs!$B$44-B1206)-((R1164-1)*IF(Inputs!$B$39="pvp",15,MAX(0.1,Skills!D3-IF(Skills!E3=TRUE,(Inputs!$B$32+1),0))))))/Skills!H3,1)))/Inputs!$B$44),G1164*Q1164))*IF(Inputs!$B$39="pvp",1,(1+(Inputs!$B$21+Skills!Q3+B1202)/100)*(MIN(Skills!W3,Inputs!$B$37))),0)</f>
        <v/>
      </c>
    </row>
    <row r="1165">
      <c r="A1165">
        <f>Skills!A4</f>
        <v/>
      </c>
      <c r="B1165">
        <f>Skills!B4</f>
        <v/>
      </c>
      <c r="C1165">
        <f>Inputs!$B$3&gt;=40</f>
        <v/>
      </c>
      <c r="D1165">
        <f>IF(Skills!C4=1,60+Inputs!$B$25+Inputs!$B$29,IF(Skills!C4=2,90+Inputs!$B$26+Inputs!$B$29,IF(Skills!C4=3,120+Inputs!$B$27+Inputs!$B$29,MAX(0,(Inputs!$B$3-100)*3)+Inputs!$B$28+Inputs!$B$29)))</f>
        <v/>
      </c>
      <c r="E1165">
        <f>INDEX(FactorTable!$B$2:$Y$301, MATCH(ROUND(MIN(300,MAX(1,D1165)),0), FactorTable!$A$2:$A$301,0), Skills!M4+1)</f>
        <v/>
      </c>
      <c r="F1165">
        <f>IF(Skills!N4=TRUE,(Skills!L4/10)*(E1165/1000),Skills!L4/10)+Skills!O4</f>
        <v/>
      </c>
      <c r="G1165">
        <f>Calc!G4</f>
        <v/>
      </c>
      <c r="H1165">
        <f>Calc!H4</f>
        <v/>
      </c>
      <c r="I1165">
        <f>IF(Skills!AA4&lt;&gt;"",1+(Skills!AA4/10)*(U1164/1000)/100,1)</f>
        <v/>
      </c>
      <c r="J1165">
        <f>((Inputs!$B$6*(1+Inputs!$B$7/100))+(((Inputs!$B$12*(1+Inputs!$B$13/100))-(Inputs!$B$12*(1+Inputs!$B$13/100)))+0.25*(Inputs!$B$14-Inputs!$B$14))*(1+Inputs!$B$7/100))*(F1165/100)</f>
        <v/>
      </c>
      <c r="K1165">
        <f>J1165*(1+((Inputs!$B$12*(1+Inputs!$B$13/100))*0.01+Inputs!$B$14*0.0025)/100)*(1+Inputs!$B$15/100)*(1+Inputs!$B$16/100)*(5000/(6000+Inputs!$B$43*(1-Inputs!$B$19/100)))*(1+(Inputs!$B$24+((C1191=TRUE)*(F1191-Calc!F30)))/100)*(1+Skills!R4/100)*(1+(IF(Skills!A4="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1165)</f>
        <v/>
      </c>
      <c r="L1165">
        <f>K1165*(MIN(Inputs!$B$22+((C1185=TRUE)*(F1185-Calc!F24)),Inputs!$B$23)/100+Inputs!$B$23/100)/2</f>
        <v/>
      </c>
      <c r="M1165">
        <f>L1165*(1+(Inputs!$B$10+((C1187=TRUE)*(F1187-Calc!F26))+B1204)/100)</f>
        <v/>
      </c>
      <c r="N1165">
        <f>L1165*(1-MIN((Inputs!$B$9+((C1186=TRUE)*(F1186-Calc!F25))+B1201),100)/100)+M1165*(MIN((Inputs!$B$9+((C1186=TRUE)*(F1186-Calc!F25))+B1201),100)/100)</f>
        <v/>
      </c>
      <c r="O1165">
        <f>(1-Summary!$B$55)*T1165+Summary!$B$55*V1165</f>
        <v/>
      </c>
      <c r="P1165">
        <f>IF(B1205=0,0,O1165/B1205)</f>
        <v/>
      </c>
      <c r="Q1165">
        <f>IFERROR(1/IF(Inputs!$B$39="pvp",15,MAX(0.1,Skills!D4-IF(Skills!E4=TRUE,(Inputs!$B$32+1),0))),0)</f>
        <v/>
      </c>
      <c r="R1165">
        <f>IF(AND(Inputs!$B$39&lt;&gt;"pvp",Inputs!$B$44&gt;0),IF(MAX(0,Inputs!$B$44-B1206)&lt;=0,0,(INT(MAX(0,Inputs!$B$44-B1206)/IF(Inputs!$B$39="pvp",15,MAX(0.1,Skills!D4-IF(Skills!E4=TRUE,(Inputs!$B$32+1),0))))+1)),0)</f>
        <v/>
      </c>
      <c r="S1165">
        <f>IFERROR(O1165/N1165,0)</f>
        <v/>
      </c>
      <c r="T1165">
        <f>IF(C1165,(H1165*N1165*IF(AND(Inputs!$B$39&lt;&gt;"pvp",Inputs!$B$44&gt;0),((Skills!G4*((R1165-1)*IF(Skills!H4&gt;0,Skills!I4/Skills!H4,1)+IF(Skills!H4&gt;0,MIN(Skills!I4,MAX(0,MAX(0,Inputs!$B$44-B1206)-((R1165-1)*IF(Inputs!$B$39="pvp",15,MAX(0.1,Skills!D4-IF(Skills!E4=TRUE,(Inputs!$B$32+1),0))))))/Skills!H4,1)))/Inputs!$B$44),G1165*Q1165))*IF(Inputs!$B$39="pvp",1,1+(Inputs!$B$20+((C1188=TRUE)*(F1188-Calc!F27))+Skills!P4+B1202)/100),0)</f>
        <v/>
      </c>
      <c r="U1165">
        <f>MAX(0,(Inputs!$B$3-100)*3)+Inputs!$B$28+Inputs!$B$29</f>
        <v/>
      </c>
      <c r="V1165">
        <f>IF(C1165,(H1165*N1165*IF(AND(Inputs!$B$39&lt;&gt;"pvp",Inputs!$B$44&gt;0),((Skills!G4*((R1165-1)*IF(Skills!H4&gt;0,Skills!I4/Skills!H4,1)+IF(Skills!H4&gt;0,MIN(Skills!I4,MAX(0,MAX(0,Inputs!$B$44-B1206)-((R1165-1)*IF(Inputs!$B$39="pvp",15,MAX(0.1,Skills!D4-IF(Skills!E4=TRUE,(Inputs!$B$32+1),0))))))/Skills!H4,1)))/Inputs!$B$44),G1165*Q1165))*IF(Inputs!$B$39="pvp",1,(1+(Inputs!$B$21+Skills!Q4+B1202)/100)*(MIN(Skills!W4,Inputs!$B$37))),0)</f>
        <v/>
      </c>
    </row>
    <row r="1166">
      <c r="A1166">
        <f>Skills!A5</f>
        <v/>
      </c>
      <c r="B1166">
        <f>Skills!B5</f>
        <v/>
      </c>
      <c r="C1166">
        <f>Inputs!$B$3&gt;=63</f>
        <v/>
      </c>
      <c r="D1166">
        <f>IF(Skills!C5=1,60+Inputs!$B$25+Inputs!$B$29,IF(Skills!C5=2,90+Inputs!$B$26+Inputs!$B$29,IF(Skills!C5=3,120+Inputs!$B$27+Inputs!$B$29,MAX(0,(Inputs!$B$3-100)*3)+Inputs!$B$28+Inputs!$B$29)))</f>
        <v/>
      </c>
      <c r="E1166">
        <f>INDEX(FactorTable!$B$2:$Y$301, MATCH(ROUND(MIN(300,MAX(1,D1166)),0), FactorTable!$A$2:$A$301,0), Skills!M5+1)</f>
        <v/>
      </c>
      <c r="F1166">
        <f>IF(Skills!N5=TRUE,(Skills!L5/10)*(E1166/1000),Skills!L5/10)+Skills!O5</f>
        <v/>
      </c>
      <c r="G1166">
        <f>Calc!G5</f>
        <v/>
      </c>
      <c r="H1166">
        <f>Calc!H5</f>
        <v/>
      </c>
      <c r="I1166">
        <f>IF(Skills!AA5&lt;&gt;"",1+(Skills!AA5/10)*(U1164/1000)/100,1)</f>
        <v/>
      </c>
      <c r="J1166">
        <f>((Inputs!$B$6*(1+Inputs!$B$7/100))+(((Inputs!$B$12*(1+Inputs!$B$13/100))-(Inputs!$B$12*(1+Inputs!$B$13/100)))+0.25*(Inputs!$B$14-Inputs!$B$14))*(1+Inputs!$B$7/100))*(F1166/100)</f>
        <v/>
      </c>
      <c r="K1166">
        <f>J1166*(1+((Inputs!$B$12*(1+Inputs!$B$13/100))*0.01+Inputs!$B$14*0.0025)/100)*(1+Inputs!$B$15/100)*(1+Inputs!$B$16/100)*(5000/(6000+Inputs!$B$43*(1-Inputs!$B$19/100)))*(1+(Inputs!$B$24+((C1191=TRUE)*(F1191-Calc!F30)))/100)*(1+Skills!R5/100)*(1+(IF(Skills!A5="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1166)</f>
        <v/>
      </c>
      <c r="L1166">
        <f>K1166*(MIN(Inputs!$B$22+((C1185=TRUE)*(F1185-Calc!F24)),Inputs!$B$23)/100+Inputs!$B$23/100)/2</f>
        <v/>
      </c>
      <c r="M1166">
        <f>L1166*(1+(Inputs!$B$10+((C1187=TRUE)*(F1187-Calc!F26))+B1204)/100)</f>
        <v/>
      </c>
      <c r="N1166">
        <f>L1166*(1-MIN((Inputs!$B$9+((C1186=TRUE)*(F1186-Calc!F25))+B1201),100)/100)+M1166*(MIN((Inputs!$B$9+((C1186=TRUE)*(F1186-Calc!F25))+B1201),100)/100)</f>
        <v/>
      </c>
      <c r="O1166">
        <f>(1-Summary!$B$55)*T1166+Summary!$B$55*V1166</f>
        <v/>
      </c>
      <c r="P1166">
        <f>IF(B1205=0,0,O1166/B1205)</f>
        <v/>
      </c>
      <c r="Q1166">
        <f>IFERROR(1/IF(Inputs!$B$39="pvp",15,MAX(0.1,Skills!D5-IF(Skills!E5=TRUE,(Inputs!$B$32+1),0))),0)</f>
        <v/>
      </c>
      <c r="R1166">
        <f>IF(AND(Inputs!$B$39&lt;&gt;"pvp",Inputs!$B$44&gt;0),IF(MAX(0,Inputs!$B$44-B1206)&lt;=0,0,(INT(MAX(0,Inputs!$B$44-B1206)/IF(Inputs!$B$39="pvp",15,MAX(0.1,Skills!D5-IF(Skills!E5=TRUE,(Inputs!$B$32+1),0))))+1)),0)</f>
        <v/>
      </c>
      <c r="S1166">
        <f>IFERROR(O1166/N1166,0)</f>
        <v/>
      </c>
      <c r="T1166">
        <f>IF(C1166,(H1166*N1166*IF(AND(Inputs!$B$39&lt;&gt;"pvp",Inputs!$B$44&gt;0),((Skills!G5*((R1166-1)*IF(Skills!H5&gt;0,Skills!I5/Skills!H5,1)+IF(Skills!H5&gt;0,MIN(Skills!I5,MAX(0,MAX(0,Inputs!$B$44-B1206)-((R1166-1)*IF(Inputs!$B$39="pvp",15,MAX(0.1,Skills!D5-IF(Skills!E5=TRUE,(Inputs!$B$32+1),0))))))/Skills!H5,1)))/Inputs!$B$44),G1166*Q1166))*IF(Inputs!$B$39="pvp",1,1+(Inputs!$B$20+((C1188=TRUE)*(F1188-Calc!F27))+Skills!P5+B1202)/100),0)</f>
        <v/>
      </c>
      <c r="U1166">
        <f>INDEX(FactorTable!$B$2:$Y$301, MATCH(ROUND(MIN(300,MAX(1,U1165)),0), FactorTable!$A$2:$A$301,0), 22)</f>
        <v/>
      </c>
      <c r="V1166">
        <f>IF(C1166,(H1166*N1166*IF(AND(Inputs!$B$39&lt;&gt;"pvp",Inputs!$B$44&gt;0),((Skills!G5*((R1166-1)*IF(Skills!H5&gt;0,Skills!I5/Skills!H5,1)+IF(Skills!H5&gt;0,MIN(Skills!I5,MAX(0,MAX(0,Inputs!$B$44-B1206)-((R1166-1)*IF(Inputs!$B$39="pvp",15,MAX(0.1,Skills!D5-IF(Skills!E5=TRUE,(Inputs!$B$32+1),0))))))/Skills!H5,1)))/Inputs!$B$44),G1166*Q1166))*IF(Inputs!$B$39="pvp",1,(1+(Inputs!$B$21+Skills!Q5+B1202)/100)*(MIN(Skills!W5,Inputs!$B$37))),0)</f>
        <v/>
      </c>
    </row>
    <row r="1167">
      <c r="A1167">
        <f>Skills!A6</f>
        <v/>
      </c>
      <c r="B1167">
        <f>Skills!B6</f>
        <v/>
      </c>
      <c r="C1167">
        <f>Inputs!$B$3&gt;=66</f>
        <v/>
      </c>
      <c r="D1167">
        <f>IF(Skills!C6=1,60+Inputs!$B$25+Inputs!$B$29,IF(Skills!C6=2,90+Inputs!$B$26+Inputs!$B$29,IF(Skills!C6=3,120+Inputs!$B$27+Inputs!$B$29,MAX(0,(Inputs!$B$3-100)*3)+Inputs!$B$28+Inputs!$B$29)))</f>
        <v/>
      </c>
      <c r="E1167">
        <f>INDEX(FactorTable!$B$2:$Y$301, MATCH(ROUND(MIN(300,MAX(1,D1167)),0), FactorTable!$A$2:$A$301,0), Skills!M6+1)</f>
        <v/>
      </c>
      <c r="F1167">
        <f>IF(Skills!N6=TRUE,(Skills!L6/10)*(E1167/1000),Skills!L6/10)+Skills!O6</f>
        <v/>
      </c>
      <c r="G1167">
        <f>Calc!G6</f>
        <v/>
      </c>
      <c r="H1167">
        <f>Calc!H6</f>
        <v/>
      </c>
      <c r="I1167">
        <f>IF(Skills!AA6&lt;&gt;"",1+(Skills!AA6/10)*(U1164/1000)/100,1)</f>
        <v/>
      </c>
      <c r="J1167" t="inlineStr"/>
      <c r="K1167" t="inlineStr"/>
      <c r="L1167" t="inlineStr"/>
      <c r="M1167" t="inlineStr"/>
      <c r="N1167" t="inlineStr"/>
      <c r="O1167">
        <f>(1-Summary!$B$55)*T1167+Summary!$B$55*V1167</f>
        <v/>
      </c>
      <c r="P1167">
        <f>IF(B1205=0,0,O1167/B1205)</f>
        <v/>
      </c>
      <c r="Q1167" t="n">
        <v>0</v>
      </c>
      <c r="R1167" t="n">
        <v>0</v>
      </c>
      <c r="S1167">
        <f>IFERROR(O1167/N1167,0)</f>
        <v/>
      </c>
      <c r="T1167" t="n">
        <v>0</v>
      </c>
      <c r="U1167">
        <f>290*U1166/1000</f>
        <v/>
      </c>
      <c r="V1167" t="n">
        <v>0</v>
      </c>
    </row>
    <row r="1168">
      <c r="A1168">
        <f>Skills!A7</f>
        <v/>
      </c>
      <c r="B1168">
        <f>Skills!B7</f>
        <v/>
      </c>
      <c r="C1168">
        <f>Inputs!$B$3&gt;=66</f>
        <v/>
      </c>
      <c r="D1168">
        <f>IF(Skills!C7=1,60+Inputs!$B$25+Inputs!$B$29,IF(Skills!C7=2,90+Inputs!$B$26+Inputs!$B$29,IF(Skills!C7=3,120+Inputs!$B$27+Inputs!$B$29,MAX(0,(Inputs!$B$3-100)*3)+Inputs!$B$28+Inputs!$B$29)))</f>
        <v/>
      </c>
      <c r="E1168">
        <f>INDEX(FactorTable!$B$2:$Y$301, MATCH(ROUND(MIN(300,MAX(1,D1168)),0), FactorTable!$A$2:$A$301,0), Skills!M7+1)</f>
        <v/>
      </c>
      <c r="F1168">
        <f>IF(Skills!N7=TRUE,(Skills!L7/10)*(E1168/1000),Skills!L7/10)+Skills!O7</f>
        <v/>
      </c>
      <c r="G1168">
        <f>Calc!G7</f>
        <v/>
      </c>
      <c r="H1168">
        <f>Calc!H7</f>
        <v/>
      </c>
      <c r="I1168">
        <f>IF(Skills!AA7&lt;&gt;"",1+(Skills!AA7/10)*(U1164/1000)/100,1)</f>
        <v/>
      </c>
      <c r="J1168" t="inlineStr"/>
      <c r="K1168" t="inlineStr"/>
      <c r="L1168" t="inlineStr"/>
      <c r="M1168" t="inlineStr"/>
      <c r="N1168" t="inlineStr"/>
      <c r="O1168">
        <f>(1-Summary!$B$55)*T1168+Summary!$B$55*V1168</f>
        <v/>
      </c>
      <c r="P1168">
        <f>IF(B1205=0,0,O1168/B1205)</f>
        <v/>
      </c>
      <c r="Q1168" t="n">
        <v>0</v>
      </c>
      <c r="R1168" t="n">
        <v>0</v>
      </c>
      <c r="S1168">
        <f>IFERROR(O1168/N1168,0)</f>
        <v/>
      </c>
      <c r="T1168" t="n">
        <v>0</v>
      </c>
      <c r="V1168" t="n">
        <v>0</v>
      </c>
    </row>
    <row r="1169">
      <c r="A1169">
        <f>Skills!A8</f>
        <v/>
      </c>
      <c r="B1169">
        <f>Skills!B8</f>
        <v/>
      </c>
      <c r="C1169">
        <f>Inputs!$B$3&gt;=69</f>
        <v/>
      </c>
      <c r="D1169">
        <f>IF(Skills!C8=1,60+Inputs!$B$25+Inputs!$B$29,IF(Skills!C8=2,90+Inputs!$B$26+Inputs!$B$29,IF(Skills!C8=3,120+Inputs!$B$27+Inputs!$B$29,MAX(0,(Inputs!$B$3-100)*3)+Inputs!$B$28+Inputs!$B$29)))</f>
        <v/>
      </c>
      <c r="E1169">
        <f>INDEX(FactorTable!$B$2:$Y$301, MATCH(ROUND(MIN(300,MAX(1,D1169)),0), FactorTable!$A$2:$A$301,0), Skills!M8+1)</f>
        <v/>
      </c>
      <c r="F1169">
        <f>IF(Skills!N8=TRUE,(Skills!L8/10)*(E1169/1000),Skills!L8/10)+Skills!O8</f>
        <v/>
      </c>
      <c r="G1169">
        <f>Calc!G8</f>
        <v/>
      </c>
      <c r="H1169">
        <f>Calc!H8</f>
        <v/>
      </c>
      <c r="I1169">
        <f>IF(Skills!AA8&lt;&gt;"",1+(Skills!AA8/10)*(U1164/1000)/100,1)</f>
        <v/>
      </c>
      <c r="J1169">
        <f>((Inputs!$B$6*(1+Inputs!$B$7/100))+(((Inputs!$B$12*(1+Inputs!$B$13/100))-(Inputs!$B$12*(1+Inputs!$B$13/100)))+0.25*(Inputs!$B$14-Inputs!$B$14))*(1+Inputs!$B$7/100))*(F1169/100)</f>
        <v/>
      </c>
      <c r="K1169">
        <f>J1169*(1+((Inputs!$B$12*(1+Inputs!$B$13/100))*0.01+Inputs!$B$14*0.0025)/100)*(1+Inputs!$B$15/100)*(1+Inputs!$B$16/100)*(5000/(6000+Inputs!$B$43*(1-Inputs!$B$19/100)))*(1+(Inputs!$B$24+((C1191=TRUE)*(F1191-Calc!F30)))/100)*(1+Skills!R8/100)*(1+(IF(Skills!A8="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1169)</f>
        <v/>
      </c>
      <c r="L1169">
        <f>K1169*(MIN(Inputs!$B$22+((C1185=TRUE)*(F1185-Calc!F24)),Inputs!$B$23)/100+Inputs!$B$23/100)/2</f>
        <v/>
      </c>
      <c r="M1169">
        <f>L1169*(1+(Inputs!$B$10+((C1187=TRUE)*(F1187-Calc!F26))+B1204)/100)</f>
        <v/>
      </c>
      <c r="N1169">
        <f>L1169*(1-MIN((Inputs!$B$9+((C1186=TRUE)*(F1186-Calc!F25))+B1201),100)/100)+M1169*(MIN((Inputs!$B$9+((C1186=TRUE)*(F1186-Calc!F25))+B1201),100)/100)</f>
        <v/>
      </c>
      <c r="O1169">
        <f>(1-Summary!$B$55)*T1169+Summary!$B$55*V1169</f>
        <v/>
      </c>
      <c r="P1169">
        <f>IF(B1205=0,0,O1169/B1205)</f>
        <v/>
      </c>
      <c r="Q1169">
        <f>IFERROR(1/IF(Inputs!$B$39="pvp",15,MAX(0.1,Skills!D8-IF(Skills!E8=TRUE,(Inputs!$B$32+1),0))),0)</f>
        <v/>
      </c>
      <c r="R1169">
        <f>IF(AND(Inputs!$B$39&lt;&gt;"pvp",Inputs!$B$44&gt;0),IF(MAX(0,Inputs!$B$44-B1206)&lt;=0,0,(INT(MAX(0,Inputs!$B$44-B1206)/IF(Inputs!$B$39="pvp",15,MAX(0.1,Skills!D8-IF(Skills!E8=TRUE,(Inputs!$B$32+1),0))))+1)),0)</f>
        <v/>
      </c>
      <c r="S1169">
        <f>IFERROR(O1169/N1169,0)</f>
        <v/>
      </c>
      <c r="T1169">
        <f>IF(C1169,(H1169*N1169*IF(AND(Inputs!$B$39&lt;&gt;"pvp",Inputs!$B$44&gt;0),((Skills!G8*((R1169-1)*IF(Skills!H8&gt;0,Skills!I8/Skills!H8,1)+IF(Skills!H8&gt;0,MIN(Skills!I8,MAX(0,MAX(0,Inputs!$B$44-B1206)-((R1169-1)*IF(Inputs!$B$39="pvp",15,MAX(0.1,Skills!D8-IF(Skills!E8=TRUE,(Inputs!$B$32+1),0))))))/Skills!H8,1)))/Inputs!$B$44),G1169*Q1169))*IF(Inputs!$B$39="pvp",1,1+(Inputs!$B$20+((C1188=TRUE)*(F1188-Calc!F27))+Skills!P8+B1202)/100),0)</f>
        <v/>
      </c>
      <c r="V1169">
        <f>IF(C1169,(H1169*N1169*IF(AND(Inputs!$B$39&lt;&gt;"pvp",Inputs!$B$44&gt;0),((Skills!G8*((R1169-1)*IF(Skills!H8&gt;0,Skills!I8/Skills!H8,1)+IF(Skills!H8&gt;0,MIN(Skills!I8,MAX(0,MAX(0,Inputs!$B$44-B1206)-((R1169-1)*IF(Inputs!$B$39="pvp",15,MAX(0.1,Skills!D8-IF(Skills!E8=TRUE,(Inputs!$B$32+1),0))))))/Skills!H8,1)))/Inputs!$B$44),G1169*Q1169))*IF(Inputs!$B$39="pvp",1,(1+(Inputs!$B$21+Skills!Q8+B1202)/100)*(MIN(Skills!W8,Inputs!$B$37))),0)</f>
        <v/>
      </c>
    </row>
    <row r="1170">
      <c r="A1170">
        <f>Skills!A9</f>
        <v/>
      </c>
      <c r="B1170">
        <f>Skills!B9</f>
        <v/>
      </c>
      <c r="C1170">
        <f>Inputs!$B$3&gt;=72</f>
        <v/>
      </c>
      <c r="D1170">
        <f>IF(Skills!C9=1,60+Inputs!$B$25+Inputs!$B$29,IF(Skills!C9=2,90+Inputs!$B$26+Inputs!$B$29,IF(Skills!C9=3,120+Inputs!$B$27+Inputs!$B$29,MAX(0,(Inputs!$B$3-100)*3)+Inputs!$B$28+Inputs!$B$29)))</f>
        <v/>
      </c>
      <c r="E1170">
        <f>INDEX(FactorTable!$B$2:$Y$301, MATCH(ROUND(MIN(300,MAX(1,D1170)),0), FactorTable!$A$2:$A$301,0), Skills!M9+1)</f>
        <v/>
      </c>
      <c r="F1170">
        <f>IF(Skills!N9=TRUE,(Skills!L9/10)*(E1170/1000),Skills!L9/10)+Skills!O9</f>
        <v/>
      </c>
      <c r="G1170">
        <f>Calc!G9</f>
        <v/>
      </c>
      <c r="H1170">
        <f>Calc!H9</f>
        <v/>
      </c>
      <c r="I1170">
        <f>IF(Skills!AA9&lt;&gt;"",1+(Skills!AA9/10)*(U1164/1000)/100,1)</f>
        <v/>
      </c>
      <c r="J1170">
        <f>((Inputs!$B$6*(1+Inputs!$B$7/100))+(((Inputs!$B$12*(1+Inputs!$B$13/100))-(Inputs!$B$12*(1+Inputs!$B$13/100)))+0.25*(Inputs!$B$14-Inputs!$B$14))*(1+Inputs!$B$7/100))*(F1170/100)</f>
        <v/>
      </c>
      <c r="K1170">
        <f>J1170*(1+((Inputs!$B$12*(1+Inputs!$B$13/100))*0.01+Inputs!$B$14*0.0025)/100)*(1+Inputs!$B$15/100)*(1+Inputs!$B$16/100)*(5000/(6000+Inputs!$B$43*(1-Inputs!$B$19/100)))*(1+(Inputs!$B$24+((C1191=TRUE)*(F1191-Calc!F30)))/100)*(1+Skills!R9/100)*(1+(IF(Skills!A9="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1170)</f>
        <v/>
      </c>
      <c r="L1170">
        <f>K1170*(MIN(Inputs!$B$22+((C1185=TRUE)*(F1185-Calc!F24)),Inputs!$B$23)/100+Inputs!$B$23/100)/2</f>
        <v/>
      </c>
      <c r="M1170">
        <f>L1170*(1+(Inputs!$B$10+((C1187=TRUE)*(F1187-Calc!F26))+B1204)/100)</f>
        <v/>
      </c>
      <c r="N1170">
        <f>L1170*(1-MIN((Inputs!$B$9+((C1186=TRUE)*(F1186-Calc!F25))+B1201),100)/100)+M1170*(MIN((Inputs!$B$9+((C1186=TRUE)*(F1186-Calc!F25))+B1201),100)/100)</f>
        <v/>
      </c>
      <c r="O1170">
        <f>(1-Summary!$B$55)*T1170+Summary!$B$55*V1170</f>
        <v/>
      </c>
      <c r="P1170">
        <f>IF(B1205=0,0,O1170/B1205)</f>
        <v/>
      </c>
      <c r="Q1170">
        <f>IFERROR(1/IF(Inputs!$B$39="pvp",15,MAX(0.1,Skills!D9-IF(Skills!E9=TRUE,(Inputs!$B$32+1),0))),0)</f>
        <v/>
      </c>
      <c r="R1170">
        <f>IF(AND(Inputs!$B$39&lt;&gt;"pvp",Inputs!$B$44&gt;0),IF(MAX(0,Inputs!$B$44-B1206)&lt;=0,0,(INT(MAX(0,Inputs!$B$44-B1206)/IF(Inputs!$B$39="pvp",15,MAX(0.1,Skills!D9-IF(Skills!E9=TRUE,(Inputs!$B$32+1),0))))+1)),0)</f>
        <v/>
      </c>
      <c r="S1170">
        <f>IFERROR(O1170/N1170,0)</f>
        <v/>
      </c>
      <c r="T1170">
        <f>IF(C1170,(H1170*N1170*IF(AND(Inputs!$B$39&lt;&gt;"pvp",Inputs!$B$44&gt;0),((Skills!G9*((R1170-1)*IF(Skills!H9&gt;0,Skills!I9/Skills!H9,1)+IF(Skills!H9&gt;0,MIN(Skills!I9,MAX(0,MAX(0,Inputs!$B$44-B1206)-((R1170-1)*IF(Inputs!$B$39="pvp",15,MAX(0.1,Skills!D9-IF(Skills!E9=TRUE,(Inputs!$B$32+1),0))))))/Skills!H9,1)))/Inputs!$B$44),G1170*Q1170))*IF(Inputs!$B$39="pvp",1,1+(Inputs!$B$20+((C1188=TRUE)*(F1188-Calc!F27))+Skills!P9+B1202)/100),0)</f>
        <v/>
      </c>
      <c r="V1170">
        <f>IF(C1170,(H1170*N1170*IF(AND(Inputs!$B$39&lt;&gt;"pvp",Inputs!$B$44&gt;0),((Skills!G9*((R1170-1)*IF(Skills!H9&gt;0,Skills!I9/Skills!H9,1)+IF(Skills!H9&gt;0,MIN(Skills!I9,MAX(0,MAX(0,Inputs!$B$44-B1206)-((R1170-1)*IF(Inputs!$B$39="pvp",15,MAX(0.1,Skills!D9-IF(Skills!E9=TRUE,(Inputs!$B$32+1),0))))))/Skills!H9,1)))/Inputs!$B$44),G1170*Q1170))*IF(Inputs!$B$39="pvp",1,(1+(Inputs!$B$21+Skills!Q9+B1202)/100)*(MIN(Skills!W9,Inputs!$B$37))),0)</f>
        <v/>
      </c>
    </row>
    <row r="1171">
      <c r="A1171">
        <f>Skills!A10</f>
        <v/>
      </c>
      <c r="B1171">
        <f>Skills!B10</f>
        <v/>
      </c>
      <c r="C1171">
        <f>Inputs!$B$3&gt;=117</f>
        <v/>
      </c>
      <c r="D1171">
        <f>IF(Skills!C10=1,60+Inputs!$B$25+Inputs!$B$29,IF(Skills!C10=2,90+Inputs!$B$26+Inputs!$B$29,IF(Skills!C10=3,120+Inputs!$B$27+Inputs!$B$29,MAX(0,(Inputs!$B$3-100)*3)+Inputs!$B$28+Inputs!$B$29)))</f>
        <v/>
      </c>
      <c r="E1171">
        <f>INDEX(FactorTable!$B$2:$Y$301, MATCH(ROUND(MIN(300,MAX(1,D1171)),0), FactorTable!$A$2:$A$301,0), Skills!M10+1)</f>
        <v/>
      </c>
      <c r="F1171">
        <f>IF(Skills!N10=TRUE,(Skills!L10/10)*(E1171/1000),Skills!L10/10)+Skills!O10</f>
        <v/>
      </c>
      <c r="G1171">
        <f>Calc!G10</f>
        <v/>
      </c>
      <c r="H1171">
        <f>Calc!H10</f>
        <v/>
      </c>
      <c r="I1171">
        <f>IF(Skills!AA10&lt;&gt;"",1+(Skills!AA10/10)*(U1164/1000)/100,1)</f>
        <v/>
      </c>
      <c r="J1171">
        <f>((Inputs!$B$6*(1+Inputs!$B$7/100))+(((Inputs!$B$12*(1+Inputs!$B$13/100))-(Inputs!$B$12*(1+Inputs!$B$13/100)))+0.25*(Inputs!$B$14-Inputs!$B$14))*(1+Inputs!$B$7/100))*(F1171/100)</f>
        <v/>
      </c>
      <c r="K1171">
        <f>J1171*(1+((Inputs!$B$12*(1+Inputs!$B$13/100))*0.01+Inputs!$B$14*0.0025)/100)*(1+Inputs!$B$15/100)*(1+Inputs!$B$16/100)*(5000/(6000+Inputs!$B$43*(1-Inputs!$B$19/100)))*(1+(Inputs!$B$24+((C1191=TRUE)*(F1191-Calc!F30)))/100)*(1+Skills!R10/100)*(1+(IF(Skills!A10="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1171)</f>
        <v/>
      </c>
      <c r="L1171">
        <f>K1171*(MIN(Inputs!$B$22+((C1185=TRUE)*(F1185-Calc!F24)),Inputs!$B$23)/100+Inputs!$B$23/100)/2</f>
        <v/>
      </c>
      <c r="M1171">
        <f>L1171*(1+(Inputs!$B$10+((C1187=TRUE)*(F1187-Calc!F26))+B1204)/100)</f>
        <v/>
      </c>
      <c r="N1171">
        <f>L1171*(1-MIN((Inputs!$B$9+((C1186=TRUE)*(F1186-Calc!F25))+B1201),100)/100)+M1171*(MIN((Inputs!$B$9+((C1186=TRUE)*(F1186-Calc!F25))+B1201),100)/100)</f>
        <v/>
      </c>
      <c r="O1171">
        <f>(1-Summary!$B$55)*T1171+Summary!$B$55*V1171</f>
        <v/>
      </c>
      <c r="P1171">
        <f>IF(B1205=0,0,O1171/B1205)</f>
        <v/>
      </c>
      <c r="Q1171" t="n">
        <v>0</v>
      </c>
      <c r="R1171" t="n">
        <v>0</v>
      </c>
      <c r="S1171" t="n">
        <v>0</v>
      </c>
      <c r="T1171">
        <f>IF(C1171,(0.2*SUMPRODUCT((Skills!Z2:Z31=TRUE)*(C1163:C1192=TRUE)*S1163:S1192)*N1171)*IF(Inputs!$B$39="pvp",1,1+(Inputs!$B$20+((C1188=TRUE)*(F1188-Calc!F27))+Skills!P10+B1202)/100),0)</f>
        <v/>
      </c>
      <c r="V1171">
        <f>IF(C1171,(0.2*SUMPRODUCT((Skills!Z2:Z31=TRUE)*(C1163:C1192=TRUE)*S1163:S1192)*N1171)*IF(Inputs!$B$39="pvp",1,(1+(Inputs!$B$21+Skills!Q10+B1202)/100)*(MIN(Skills!W10,Inputs!$B$37))),0)</f>
        <v/>
      </c>
    </row>
    <row r="1172">
      <c r="A1172">
        <f>Skills!A11</f>
        <v/>
      </c>
      <c r="B1172">
        <f>Skills!B11</f>
        <v/>
      </c>
      <c r="C1172">
        <f>Inputs!$B$3&gt;=60</f>
        <v/>
      </c>
      <c r="D1172">
        <f>IF(Skills!C11=1,60+Inputs!$B$25+Inputs!$B$29,IF(Skills!C11=2,90+Inputs!$B$26+Inputs!$B$29,IF(Skills!C11=3,120+Inputs!$B$27+Inputs!$B$29,MAX(0,(Inputs!$B$3-100)*3)+Inputs!$B$28+Inputs!$B$29)))</f>
        <v/>
      </c>
      <c r="E1172">
        <f>INDEX(FactorTable!$B$2:$Y$301, MATCH(ROUND(MIN(300,MAX(1,D1172)),0), FactorTable!$A$2:$A$301,0), Skills!M11+1)</f>
        <v/>
      </c>
      <c r="F1172">
        <f>IF(Skills!N11=TRUE,(Skills!L11/10)*(E1172/1000),Skills!L11/10)+Skills!O11</f>
        <v/>
      </c>
      <c r="G1172">
        <f>Calc!G11</f>
        <v/>
      </c>
      <c r="H1172">
        <f>Calc!H11</f>
        <v/>
      </c>
      <c r="I1172">
        <f>IF(Skills!AA11&lt;&gt;"",1+(Skills!AA11/10)*(U1164/1000)/100,1)</f>
        <v/>
      </c>
      <c r="J1172" t="inlineStr"/>
      <c r="K1172" t="inlineStr"/>
      <c r="L1172" t="inlineStr"/>
      <c r="M1172" t="inlineStr"/>
      <c r="N1172" t="inlineStr"/>
      <c r="O1172">
        <f>(1-Summary!$B$55)*T1172+Summary!$B$55*V1172</f>
        <v/>
      </c>
      <c r="P1172">
        <f>IF(B1205=0,0,O1172/B1205)</f>
        <v/>
      </c>
      <c r="Q1172" t="n">
        <v>0</v>
      </c>
      <c r="R1172" t="n">
        <v>0</v>
      </c>
      <c r="S1172">
        <f>IFERROR(O1172/N1172,0)</f>
        <v/>
      </c>
      <c r="T1172" t="n">
        <v>0</v>
      </c>
      <c r="V1172" t="n">
        <v>0</v>
      </c>
    </row>
    <row r="1173">
      <c r="A1173">
        <f>Skills!A12</f>
        <v/>
      </c>
      <c r="B1173">
        <f>Skills!B12</f>
        <v/>
      </c>
      <c r="C1173">
        <f>Inputs!$B$3&gt;=103</f>
        <v/>
      </c>
      <c r="D1173">
        <f>IF(Skills!C12=1,60+Inputs!$B$25+Inputs!$B$29,IF(Skills!C12=2,90+Inputs!$B$26+Inputs!$B$29,IF(Skills!C12=3,120+Inputs!$B$27+Inputs!$B$29,MAX(0,(Inputs!$B$3-100)*3)+Inputs!$B$28+Inputs!$B$29)))</f>
        <v/>
      </c>
      <c r="E1173">
        <f>INDEX(FactorTable!$B$2:$Y$301, MATCH(ROUND(MIN(300,MAX(1,D1173)),0), FactorTable!$A$2:$A$301,0), Skills!M12+1)</f>
        <v/>
      </c>
      <c r="F1173">
        <f>IF(Skills!N12=TRUE,(Skills!L12/10)*(E1173/1000),Skills!L12/10)+Skills!O12</f>
        <v/>
      </c>
      <c r="G1173">
        <f>Calc!G12</f>
        <v/>
      </c>
      <c r="H1173">
        <f>Calc!H12</f>
        <v/>
      </c>
      <c r="I1173">
        <f>IF(Skills!AA12&lt;&gt;"",1+(Skills!AA12/10)*(U1164/1000)/100,1)</f>
        <v/>
      </c>
      <c r="J1173">
        <f>((Inputs!$B$6*(1+Inputs!$B$7/100))+(((Inputs!$B$12*(1+Inputs!$B$13/100))-(Inputs!$B$12*(1+Inputs!$B$13/100)))+0.25*(Inputs!$B$14-Inputs!$B$14))*(1+Inputs!$B$7/100))*(F1173/100)</f>
        <v/>
      </c>
      <c r="K1173">
        <f>J1173*(1+((Inputs!$B$12*(1+Inputs!$B$13/100))*0.01+Inputs!$B$14*0.0025)/100)*(1+Inputs!$B$15/100)*(1+Inputs!$B$16/100)*(5000/(6000+Inputs!$B$43*(1-Inputs!$B$19/100)))*(1+(Inputs!$B$24+((C1191=TRUE)*(F1191-Calc!F30)))/100)*(1+Skills!R12/100)*(1+(IF(Skills!A12="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1173)</f>
        <v/>
      </c>
      <c r="L1173">
        <f>K1173*(MIN(Inputs!$B$22+((C1185=TRUE)*(F1185-Calc!F24)),Inputs!$B$23)/100+Inputs!$B$23/100)/2</f>
        <v/>
      </c>
      <c r="M1173">
        <f>L1173*(1+(Inputs!$B$10+((C1187=TRUE)*(F1187-Calc!F26))+B1204)/100)</f>
        <v/>
      </c>
      <c r="N1173">
        <f>L1173*(1-MIN((Inputs!$B$9+((C1186=TRUE)*(F1186-Calc!F25))+B1201),100)/100)+M1173*(MIN((Inputs!$B$9+((C1186=TRUE)*(F1186-Calc!F25))+B1201),100)/100)</f>
        <v/>
      </c>
      <c r="O1173">
        <f>(1-Summary!$B$55)*T1173+Summary!$B$55*V1173</f>
        <v/>
      </c>
      <c r="P1173">
        <f>IF(B1205=0,0,O1173/B1205)</f>
        <v/>
      </c>
      <c r="Q1173">
        <f>IFERROR(1/IF(Inputs!$B$39="pvp",15,MAX(0.1,Skills!D12-IF(Skills!E12=TRUE,(Inputs!$B$32+1),0))),0)</f>
        <v/>
      </c>
      <c r="R1173">
        <f>IF(AND(Inputs!$B$39&lt;&gt;"pvp",Inputs!$B$44&gt;0),IF(MAX(0,Inputs!$B$44-B1206)&lt;=0,0,(INT(MAX(0,Inputs!$B$44-B1206)/IF(Inputs!$B$39="pvp",15,MAX(0.1,Skills!D12-IF(Skills!E12=TRUE,(Inputs!$B$32+1),0))))+1)),0)</f>
        <v/>
      </c>
      <c r="S1173">
        <f>IFERROR(O1173/N1173,0)</f>
        <v/>
      </c>
      <c r="T1173">
        <f>IF(C1173,(H1173*N1173*IF(AND(Inputs!$B$39&lt;&gt;"pvp",Inputs!$B$44&gt;0),((Skills!G12*((R1173-1)*IF(Skills!H12&gt;0,Skills!I12/Skills!H12,1)+IF(Skills!H12&gt;0,MIN(Skills!I12,MAX(0,MAX(0,Inputs!$B$44-B1206)-((R1173-1)*IF(Inputs!$B$39="pvp",15,MAX(0.1,Skills!D12-IF(Skills!E12=TRUE,(Inputs!$B$32+1),0))))))/Skills!H12,1)))/Inputs!$B$44),G1173*Q1173))*IF(Inputs!$B$39="pvp",1,1+(Inputs!$B$20+((C1188=TRUE)*(F1188-Calc!F27))+Skills!P12+B1202)/100),0)</f>
        <v/>
      </c>
      <c r="V1173">
        <f>IF(C1173,(H1173*N1173*IF(AND(Inputs!$B$39&lt;&gt;"pvp",Inputs!$B$44&gt;0),((Skills!G12*((R1173-1)*IF(Skills!H12&gt;0,Skills!I12/Skills!H12,1)+IF(Skills!H12&gt;0,MIN(Skills!I12,MAX(0,MAX(0,Inputs!$B$44-B1206)-((R1173-1)*IF(Inputs!$B$39="pvp",15,MAX(0.1,Skills!D12-IF(Skills!E12=TRUE,(Inputs!$B$32+1),0))))))/Skills!H12,1)))/Inputs!$B$44),G1173*Q1173))*IF(Inputs!$B$39="pvp",1,(1+(Inputs!$B$21+Skills!Q12+B1202)/100)*(MIN(Skills!W12,Inputs!$B$37))),0)</f>
        <v/>
      </c>
    </row>
    <row r="1174">
      <c r="A1174">
        <f>Skills!A13</f>
        <v/>
      </c>
      <c r="B1174">
        <f>Skills!B13</f>
        <v/>
      </c>
      <c r="C1174">
        <f>Inputs!$B$3&gt;=105</f>
        <v/>
      </c>
      <c r="D1174">
        <f>IF(Skills!C13=1,60+Inputs!$B$25+Inputs!$B$29,IF(Skills!C13=2,90+Inputs!$B$26+Inputs!$B$29,IF(Skills!C13=3,120+Inputs!$B$27+Inputs!$B$29,MAX(0,(Inputs!$B$3-100)*3)+Inputs!$B$28+Inputs!$B$29)))</f>
        <v/>
      </c>
      <c r="E1174">
        <f>INDEX(FactorTable!$B$2:$Y$301, MATCH(ROUND(MIN(300,MAX(1,D1174)),0), FactorTable!$A$2:$A$301,0), Skills!M13+1)</f>
        <v/>
      </c>
      <c r="F1174">
        <f>IF(Skills!N13=TRUE,(Skills!L13/10)*(E1174/1000),Skills!L13/10)+Skills!O13</f>
        <v/>
      </c>
      <c r="G1174">
        <f>Calc!G13</f>
        <v/>
      </c>
      <c r="H1174">
        <f>Calc!H13</f>
        <v/>
      </c>
      <c r="I1174">
        <f>IF(Skills!AA13&lt;&gt;"",1+(Skills!AA13/10)*(U1164/1000)/100,1)</f>
        <v/>
      </c>
      <c r="J1174">
        <f>((Inputs!$B$6*(1+Inputs!$B$7/100))+(((Inputs!$B$12*(1+Inputs!$B$13/100))-(Inputs!$B$12*(1+Inputs!$B$13/100)))+0.25*(Inputs!$B$14-Inputs!$B$14))*(1+Inputs!$B$7/100))*(F1174/100)</f>
        <v/>
      </c>
      <c r="K1174">
        <f>J1174*(1+((Inputs!$B$12*(1+Inputs!$B$13/100))*0.01+Inputs!$B$14*0.0025)/100)*(1+Inputs!$B$15/100)*(1+Inputs!$B$16/100)*(5000/(6000+Inputs!$B$43*(1-Inputs!$B$19/100)))*(1+(Inputs!$B$24+((C1191=TRUE)*(F1191-Calc!F30)))/100)*(1+Skills!R13/100)*(1+(IF(Skills!A13="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1174)</f>
        <v/>
      </c>
      <c r="L1174">
        <f>K1174*(MIN(Inputs!$B$22+((C1185=TRUE)*(F1185-Calc!F24)),Inputs!$B$23)/100+Inputs!$B$23/100)/2</f>
        <v/>
      </c>
      <c r="M1174">
        <f>L1174*(1+(Inputs!$B$10+((C1187=TRUE)*(F1187-Calc!F26))+B1204)/100)</f>
        <v/>
      </c>
      <c r="N1174">
        <f>L1174*(1-MIN((Inputs!$B$9+((C1186=TRUE)*(F1186-Calc!F25))+B1201),100)/100)+M1174*(MIN((Inputs!$B$9+((C1186=TRUE)*(F1186-Calc!F25))+B1201),100)/100)</f>
        <v/>
      </c>
      <c r="O1174">
        <f>(1-Summary!$B$55)*T1174+Summary!$B$55*V1174</f>
        <v/>
      </c>
      <c r="P1174">
        <f>IF(B1205=0,0,O1174/B1205)</f>
        <v/>
      </c>
      <c r="Q1174">
        <f>IFERROR(1/IF(Inputs!$B$39="pvp",15,MAX(0.1,Skills!D13-IF(Skills!E13=TRUE,(Inputs!$B$32+1),0))),0)</f>
        <v/>
      </c>
      <c r="R1174">
        <f>IF(AND(Inputs!$B$39&lt;&gt;"pvp",Inputs!$B$44&gt;0),IF(MAX(0,Inputs!$B$44-B1206)&lt;=0,0,(INT(MAX(0,Inputs!$B$44-B1206)/IF(Inputs!$B$39="pvp",15,MAX(0.1,Skills!D13-IF(Skills!E13=TRUE,(Inputs!$B$32+1),0))))+1)),0)</f>
        <v/>
      </c>
      <c r="S1174">
        <f>IFERROR(O1174/N1174,0)</f>
        <v/>
      </c>
      <c r="T1174">
        <f>IF(C1174,(H1174*N1174*IF(AND(Inputs!$B$39&lt;&gt;"pvp",Inputs!$B$44&gt;0),((Skills!G13*((R1174-1)*IF(Skills!H13&gt;0,Skills!I13/Skills!H13,1)+IF(Skills!H13&gt;0,MIN(Skills!I13,MAX(0,MAX(0,Inputs!$B$44-B1206)-((R1174-1)*IF(Inputs!$B$39="pvp",15,MAX(0.1,Skills!D13-IF(Skills!E13=TRUE,(Inputs!$B$32+1),0))))))/Skills!H13,1)))/Inputs!$B$44),G1174*Q1174))*IF(Inputs!$B$39="pvp",1,1+(Inputs!$B$20+((C1188=TRUE)*(F1188-Calc!F27))+Skills!P13+B1202)/100),0)</f>
        <v/>
      </c>
      <c r="V1174">
        <f>IF(C1174,(H1174*N1174*IF(AND(Inputs!$B$39&lt;&gt;"pvp",Inputs!$B$44&gt;0),((Skills!G13*((R1174-1)*IF(Skills!H13&gt;0,Skills!I13/Skills!H13,1)+IF(Skills!H13&gt;0,MIN(Skills!I13,MAX(0,MAX(0,Inputs!$B$44-B1206)-((R1174-1)*IF(Inputs!$B$39="pvp",15,MAX(0.1,Skills!D13-IF(Skills!E13=TRUE,(Inputs!$B$32+1),0))))))/Skills!H13,1)))/Inputs!$B$44),G1174*Q1174))*IF(Inputs!$B$39="pvp",1,(1+(Inputs!$B$21+Skills!Q13+B1202)/100)*(MIN(Skills!W13,Inputs!$B$37))),0)</f>
        <v/>
      </c>
    </row>
    <row r="1175">
      <c r="A1175">
        <f>Skills!A14</f>
        <v/>
      </c>
      <c r="B1175">
        <f>Skills!B14</f>
        <v/>
      </c>
      <c r="C1175">
        <f>Inputs!$B$3&gt;=105</f>
        <v/>
      </c>
      <c r="D1175">
        <f>IF(Skills!C14=1,60+Inputs!$B$25+Inputs!$B$29,IF(Skills!C14=2,90+Inputs!$B$26+Inputs!$B$29,IF(Skills!C14=3,120+Inputs!$B$27+Inputs!$B$29,MAX(0,(Inputs!$B$3-100)*3)+Inputs!$B$28+Inputs!$B$29)))</f>
        <v/>
      </c>
      <c r="E1175">
        <f>INDEX(FactorTable!$B$2:$Y$301, MATCH(ROUND(MIN(300,MAX(1,D1175)),0), FactorTable!$A$2:$A$301,0), Skills!M14+1)</f>
        <v/>
      </c>
      <c r="F1175">
        <f>IF(Skills!N14=TRUE,(Skills!L14/10)*(E1175/1000),Skills!L14/10)+Skills!O14</f>
        <v/>
      </c>
      <c r="G1175">
        <f>Calc!G14</f>
        <v/>
      </c>
      <c r="H1175">
        <f>Calc!H14</f>
        <v/>
      </c>
      <c r="I1175">
        <f>IF(Skills!AA14&lt;&gt;"",1+(Skills!AA14/10)*(U1164/1000)/100,1)</f>
        <v/>
      </c>
      <c r="J1175">
        <f>((Inputs!$B$6*(1+Inputs!$B$7/100))+(((Inputs!$B$12*(1+Inputs!$B$13/100))-(Inputs!$B$12*(1+Inputs!$B$13/100)))+0.25*(Inputs!$B$14-Inputs!$B$14))*(1+Inputs!$B$7/100))*(F1175/100)</f>
        <v/>
      </c>
      <c r="K1175">
        <f>J1175*(1+((Inputs!$B$12*(1+Inputs!$B$13/100))*0.01+Inputs!$B$14*0.0025)/100)*(1+Inputs!$B$15/100)*(1+Inputs!$B$16/100)*(5000/(6000+Inputs!$B$43*(1-Inputs!$B$19/100)))*(1+(Inputs!$B$24+((C1191=TRUE)*(F1191-Calc!F30)))/100)*(1+Skills!R14/100)*(1+(IF(Skills!A14="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1175)</f>
        <v/>
      </c>
      <c r="L1175">
        <f>K1175*(MIN(Inputs!$B$22+((C1185=TRUE)*(F1185-Calc!F24)),Inputs!$B$23)/100+Inputs!$B$23/100)/2</f>
        <v/>
      </c>
      <c r="M1175">
        <f>L1175*(1+(Inputs!$B$10+((C1187=TRUE)*(F1187-Calc!F26))+B1204)/100)</f>
        <v/>
      </c>
      <c r="N1175">
        <f>L1175*(1-MIN((Inputs!$B$9+((C1186=TRUE)*(F1186-Calc!F25))+B1201),100)/100)+M1175*(MIN((Inputs!$B$9+((C1186=TRUE)*(F1186-Calc!F25))+B1201),100)/100)</f>
        <v/>
      </c>
      <c r="O1175">
        <f>(1-Summary!$B$55)*T1175+Summary!$B$55*V1175</f>
        <v/>
      </c>
      <c r="P1175">
        <f>IF(B1205=0,0,O1175/B1205)</f>
        <v/>
      </c>
      <c r="Q1175">
        <f>IFERROR(1/IF(Inputs!$B$39="pvp",15,MAX(0.1,Skills!D14-IF(Skills!E14=TRUE,(Inputs!$B$32+1),0))),0)</f>
        <v/>
      </c>
      <c r="R1175">
        <f>IF(AND(Inputs!$B$39&lt;&gt;"pvp",Inputs!$B$44&gt;0),IF(MAX(0,Inputs!$B$44-B1206)&lt;=0,0,(INT(MAX(0,Inputs!$B$44-B1206)/IF(Inputs!$B$39="pvp",15,MAX(0.1,Skills!D14-IF(Skills!E14=TRUE,(Inputs!$B$32+1),0))))+1)),0)</f>
        <v/>
      </c>
      <c r="S1175">
        <f>IFERROR(O1175/N1175,0)</f>
        <v/>
      </c>
      <c r="T1175">
        <f>IF(C1175,(H1175*N1175*IF(AND(Inputs!$B$39&lt;&gt;"pvp",Inputs!$B$44&gt;0),((Skills!G14*((R1175-1)*IF(Skills!H14&gt;0,Skills!I14/Skills!H14,1)+IF(Skills!H14&gt;0,MIN(Skills!I14,MAX(0,MAX(0,Inputs!$B$44-B1206)-((R1175-1)*IF(Inputs!$B$39="pvp",15,MAX(0.1,Skills!D14-IF(Skills!E14=TRUE,(Inputs!$B$32+1),0))))))/Skills!H14,1)))/Inputs!$B$44),G1175*Q1175))*IF(Inputs!$B$39="pvp",1,1+(Inputs!$B$20+((C1188=TRUE)*(F1188-Calc!F27))+Skills!P14+B1202)/100),0)</f>
        <v/>
      </c>
      <c r="V1175">
        <f>IF(C1175,(H1175*N1175*IF(AND(Inputs!$B$39&lt;&gt;"pvp",Inputs!$B$44&gt;0),((Skills!G14*((R1175-1)*IF(Skills!H14&gt;0,Skills!I14/Skills!H14,1)+IF(Skills!H14&gt;0,MIN(Skills!I14,MAX(0,MAX(0,Inputs!$B$44-B1206)-((R1175-1)*IF(Inputs!$B$39="pvp",15,MAX(0.1,Skills!D14-IF(Skills!E14=TRUE,(Inputs!$B$32+1),0))))))/Skills!H14,1)))/Inputs!$B$44),G1175*Q1175))*IF(Inputs!$B$39="pvp",1,(1+(Inputs!$B$21+Skills!Q14+B1202)/100)*(MIN(Skills!W14,Inputs!$B$37))),0)</f>
        <v/>
      </c>
    </row>
    <row r="1176">
      <c r="A1176">
        <f>Skills!A15</f>
        <v/>
      </c>
      <c r="B1176">
        <f>Skills!B15</f>
        <v/>
      </c>
      <c r="C1176">
        <f>Inputs!$B$3&gt;=110</f>
        <v/>
      </c>
      <c r="D1176">
        <f>IF(Skills!C15=1,60+Inputs!$B$25+Inputs!$B$29,IF(Skills!C15=2,90+Inputs!$B$26+Inputs!$B$29,IF(Skills!C15=3,120+Inputs!$B$27+Inputs!$B$29,MAX(0,(Inputs!$B$3-100)*3)+Inputs!$B$28+Inputs!$B$29)))</f>
        <v/>
      </c>
      <c r="E1176">
        <f>INDEX(FactorTable!$B$2:$Y$301, MATCH(ROUND(MIN(300,MAX(1,D1176)),0), FactorTable!$A$2:$A$301,0), Skills!M15+1)</f>
        <v/>
      </c>
      <c r="F1176">
        <f>IF(Skills!N15=TRUE,(Skills!L15/10)*(E1176/1000),Skills!L15/10)+Skills!O15</f>
        <v/>
      </c>
      <c r="G1176">
        <f>Calc!G15</f>
        <v/>
      </c>
      <c r="H1176">
        <f>Calc!H15</f>
        <v/>
      </c>
      <c r="I1176">
        <f>IF(Skills!AA15&lt;&gt;"",1+(Skills!AA15/10)*(U1164/1000)/100,1)</f>
        <v/>
      </c>
      <c r="J1176" t="inlineStr"/>
      <c r="K1176" t="inlineStr"/>
      <c r="L1176" t="inlineStr"/>
      <c r="M1176" t="inlineStr"/>
      <c r="N1176" t="inlineStr"/>
      <c r="O1176">
        <f>(1-Summary!$B$55)*T1176+Summary!$B$55*V1176</f>
        <v/>
      </c>
      <c r="P1176">
        <f>IF(B1205=0,0,O1176/B1205)</f>
        <v/>
      </c>
      <c r="Q1176">
        <f>IFERROR(1/IF(Inputs!$B$39="pvp",15,MAX(0.1,Skills!D15-IF(Skills!E15=TRUE,(Inputs!$B$32+1),0))),0)</f>
        <v/>
      </c>
      <c r="R1176">
        <f>IF(AND(Inputs!$B$39&lt;&gt;"pvp",Inputs!$B$44&gt;0),IF(Inputs!$B$44&lt;=0,0,(INT(Inputs!$B$44/IF(Inputs!$B$39="pvp",15,MAX(0.1,Skills!D15-IF(Skills!E15=TRUE,(Inputs!$B$32+1),0))))+1)),0)</f>
        <v/>
      </c>
      <c r="S1176">
        <f>IFERROR(O1176/N1176,0)</f>
        <v/>
      </c>
      <c r="T1176" t="n">
        <v>0</v>
      </c>
      <c r="V1176" t="n">
        <v>0</v>
      </c>
    </row>
    <row r="1177">
      <c r="A1177">
        <f>Skills!A16</f>
        <v/>
      </c>
      <c r="B1177">
        <f>Skills!B16</f>
        <v/>
      </c>
      <c r="C1177">
        <f>Inputs!$B$3&gt;=110</f>
        <v/>
      </c>
      <c r="D1177">
        <f>IF(Skills!C16=1,60+Inputs!$B$25+Inputs!$B$29,IF(Skills!C16=2,90+Inputs!$B$26+Inputs!$B$29,IF(Skills!C16=3,120+Inputs!$B$27+Inputs!$B$29,MAX(0,(Inputs!$B$3-100)*3)+Inputs!$B$28+Inputs!$B$29)))</f>
        <v/>
      </c>
      <c r="E1177">
        <f>INDEX(FactorTable!$B$2:$Y$301, MATCH(ROUND(MIN(300,MAX(1,D1177)),0), FactorTable!$A$2:$A$301,0), Skills!M16+1)</f>
        <v/>
      </c>
      <c r="F1177">
        <f>IF(Skills!N16=TRUE,(Skills!L16/10)*(E1177/1000),Skills!L16/10)+Skills!O16</f>
        <v/>
      </c>
      <c r="G1177">
        <f>Calc!G16</f>
        <v/>
      </c>
      <c r="H1177">
        <f>Calc!H16</f>
        <v/>
      </c>
      <c r="I1177">
        <f>IF(Skills!AA16&lt;&gt;"",1+(Skills!AA16/10)*(U1164/1000)/100,1)</f>
        <v/>
      </c>
      <c r="J1177" t="inlineStr"/>
      <c r="K1177" t="inlineStr"/>
      <c r="L1177" t="inlineStr"/>
      <c r="M1177" t="inlineStr"/>
      <c r="N1177" t="inlineStr"/>
      <c r="O1177">
        <f>(1-Summary!$B$55)*T1177+Summary!$B$55*V1177</f>
        <v/>
      </c>
      <c r="P1177">
        <f>IF(B1205=0,0,O1177/B1205)</f>
        <v/>
      </c>
      <c r="Q1177">
        <f>IFERROR(1/IF(Inputs!$B$39="pvp",15,MAX(0.1,Skills!D16-IF(Skills!E16=TRUE,(Inputs!$B$32+1),0))),0)</f>
        <v/>
      </c>
      <c r="R1177">
        <f>IF(AND(Inputs!$B$39&lt;&gt;"pvp",Inputs!$B$44&gt;0),IF(Inputs!$B$44&lt;=0,0,(INT(Inputs!$B$44/IF(Inputs!$B$39="pvp",15,MAX(0.1,Skills!D16-IF(Skills!E16=TRUE,(Inputs!$B$32+1),0))))+1)),0)</f>
        <v/>
      </c>
      <c r="S1177">
        <f>IFERROR(O1177/N1177,0)</f>
        <v/>
      </c>
      <c r="T1177" t="n">
        <v>0</v>
      </c>
      <c r="V1177" t="n">
        <v>0</v>
      </c>
    </row>
    <row r="1178">
      <c r="A1178">
        <f>Skills!A17</f>
        <v/>
      </c>
      <c r="B1178">
        <f>Skills!B17</f>
        <v/>
      </c>
      <c r="C1178">
        <f>Inputs!$B$3&gt;=115</f>
        <v/>
      </c>
      <c r="D1178">
        <f>IF(Skills!C17=1,60+Inputs!$B$25+Inputs!$B$29,IF(Skills!C17=2,90+Inputs!$B$26+Inputs!$B$29,IF(Skills!C17=3,120+Inputs!$B$27+Inputs!$B$29,MAX(0,(Inputs!$B$3-100)*3)+Inputs!$B$28+Inputs!$B$29)))</f>
        <v/>
      </c>
      <c r="E1178">
        <f>INDEX(FactorTable!$B$2:$Y$301, MATCH(ROUND(MIN(300,MAX(1,D1178)),0), FactorTable!$A$2:$A$301,0), Skills!M17+1)</f>
        <v/>
      </c>
      <c r="F1178">
        <f>IF(Skills!N17=TRUE,(Skills!L17/10)*(E1178/1000),Skills!L17/10)+Skills!O17</f>
        <v/>
      </c>
      <c r="G1178">
        <f>Calc!G17</f>
        <v/>
      </c>
      <c r="H1178">
        <f>Calc!H17</f>
        <v/>
      </c>
      <c r="I1178">
        <f>IF(Skills!AA17&lt;&gt;"",1+(Skills!AA17/10)*(U1164/1000)/100,1)</f>
        <v/>
      </c>
      <c r="J1178">
        <f>((Inputs!$B$6*(1+Inputs!$B$7/100))+(((Inputs!$B$12*(1+Inputs!$B$13/100))-(Inputs!$B$12*(1+Inputs!$B$13/100)))+0.25*(Inputs!$B$14-Inputs!$B$14))*(1+Inputs!$B$7/100))*(F1178/100)</f>
        <v/>
      </c>
      <c r="K1178">
        <f>J1178*(1+((Inputs!$B$12*(1+Inputs!$B$13/100))*0.01+Inputs!$B$14*0.0025)/100)*(1+Inputs!$B$15/100)*(1+Inputs!$B$16/100)*(5000/(6000+Inputs!$B$43*(1-Inputs!$B$19/100)))*(1+(Inputs!$B$24+((C1191=TRUE)*(F1191-Calc!F30)))/100)*(1+Skills!R17/100)*(1+(IF(Skills!A17="SHOWDOWN",Inputs!$B$17+((C1184=TRUE)*(F1184-Calc!F23)),Inputs!$B$18+((C1190=TRUE)*(F1190-Calc!F29))))/100)*(((1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B1203*I1178)</f>
        <v/>
      </c>
      <c r="L1178">
        <f>K1178*(MIN(Inputs!$B$22+((C1185=TRUE)*(F1185-Calc!F24)),Inputs!$B$23)/100+Inputs!$B$23/100)/2</f>
        <v/>
      </c>
      <c r="M1178">
        <f>L1178*(1+(Inputs!$B$10+((C1187=TRUE)*(F1187-Calc!F26))+B1204)/100)</f>
        <v/>
      </c>
      <c r="N1178">
        <f>L1178*(1-MIN((Inputs!$B$9+((C1186=TRUE)*(F1186-Calc!F25))+B1201),100)/100)+M1178*(MIN((Inputs!$B$9+((C1186=TRUE)*(F1186-Calc!F25))+B1201),100)/100)</f>
        <v/>
      </c>
      <c r="O1178">
        <f>(1-Summary!$B$55)*T1178+Summary!$B$55*V1178</f>
        <v/>
      </c>
      <c r="P1178">
        <f>IF(B1205=0,0,O1178/B1205)</f>
        <v/>
      </c>
      <c r="Q1178" t="n">
        <v>0</v>
      </c>
      <c r="R1178" t="n">
        <v>0</v>
      </c>
      <c r="S1178">
        <f>IFERROR(O1178/N1178,0)</f>
        <v/>
      </c>
      <c r="T1178">
        <f>IF(C1178,(Inputs!$B$38*0.2*N1178)*IF(Inputs!$B$39="pvp",1,1+(Inputs!$B$20+((C1188=TRUE)*(F1188-Calc!F27))+Skills!P17+B1202)/100),0)</f>
        <v/>
      </c>
      <c r="V1178">
        <f>IF(C1178,(Inputs!$B$38*0.2*N1178)*IF(Inputs!$B$39="pvp",1,(1+(Inputs!$B$21+Skills!Q17+B1202)/100)*(MIN(Skills!W17,Inputs!$B$37))),0)</f>
        <v/>
      </c>
    </row>
    <row r="1179">
      <c r="A1179">
        <f>Skills!A18</f>
        <v/>
      </c>
      <c r="B1179">
        <f>Skills!B18</f>
        <v/>
      </c>
      <c r="C1179">
        <f>Inputs!$B$3&gt;=115</f>
        <v/>
      </c>
      <c r="D1179">
        <f>IF(Skills!C18=1,60+Inputs!$B$25+Inputs!$B$29,IF(Skills!C18=2,90+Inputs!$B$26+Inputs!$B$29,IF(Skills!C18=3,120+Inputs!$B$27+Inputs!$B$29,MAX(0,(Inputs!$B$3-100)*3)+Inputs!$B$28+Inputs!$B$29)))</f>
        <v/>
      </c>
      <c r="E1179">
        <f>INDEX(FactorTable!$B$2:$Y$301, MATCH(ROUND(MIN(300,MAX(1,D1179)),0), FactorTable!$A$2:$A$301,0), Skills!M18+1)</f>
        <v/>
      </c>
      <c r="F1179">
        <f>IF(Skills!N18=TRUE,(Skills!L18/10)*(E1179/1000),Skills!L18/10)+Skills!O18</f>
        <v/>
      </c>
      <c r="G1179">
        <f>Calc!G18</f>
        <v/>
      </c>
      <c r="H1179">
        <f>Calc!H18</f>
        <v/>
      </c>
      <c r="I1179">
        <f>IF(Skills!AA18&lt;&gt;"",1+(Skills!AA18/10)*(U1164/1000)/100,1)</f>
        <v/>
      </c>
      <c r="J1179" t="inlineStr"/>
      <c r="K1179" t="inlineStr"/>
      <c r="L1179" t="inlineStr"/>
      <c r="M1179" t="inlineStr"/>
      <c r="N1179" t="inlineStr"/>
      <c r="O1179">
        <f>(1-Summary!$B$55)*T1179+Summary!$B$55*V1179</f>
        <v/>
      </c>
      <c r="P1179">
        <f>IF(B1205=0,0,O1179/B1205)</f>
        <v/>
      </c>
      <c r="Q1179" t="n">
        <v>0</v>
      </c>
      <c r="R1179" t="n">
        <v>0</v>
      </c>
      <c r="S1179">
        <f>IFERROR(O1179/N1179,0)</f>
        <v/>
      </c>
      <c r="T1179" t="n">
        <v>0</v>
      </c>
      <c r="V1179" t="n">
        <v>0</v>
      </c>
    </row>
    <row r="1180">
      <c r="A1180">
        <f>Skills!A19</f>
        <v/>
      </c>
      <c r="B1180">
        <f>Skills!B19</f>
        <v/>
      </c>
      <c r="C1180">
        <f>TRUE</f>
        <v/>
      </c>
      <c r="D1180">
        <f>IF(Skills!C19=1,60+Inputs!$B$25+Inputs!$B$29,IF(Skills!C19=2,90+Inputs!$B$26+Inputs!$B$29,IF(Skills!C19=3,120+Inputs!$B$27+Inputs!$B$29,MAX(0,(Inputs!$B$3-100)*3)+Inputs!$B$28+Inputs!$B$29)))</f>
        <v/>
      </c>
      <c r="E1180">
        <f>INDEX(FactorTable!$B$2:$Y$301, MATCH(ROUND(MIN(300,MAX(1,D1180)),0), FactorTable!$A$2:$A$301,0), Skills!M19+1)</f>
        <v/>
      </c>
      <c r="F1180">
        <f>IF(Skills!N19=TRUE,(Skills!L19/10)*(E1180/1000),Skills!L19/10)+Skills!O19</f>
        <v/>
      </c>
      <c r="G1180">
        <f>Calc!G19</f>
        <v/>
      </c>
      <c r="H1180">
        <f>Calc!H19</f>
        <v/>
      </c>
      <c r="I1180">
        <f>IF(Skills!AA19&lt;&gt;"",1+(Skills!AA19/10)*(U1164/1000)/100,1)</f>
        <v/>
      </c>
      <c r="J1180" t="inlineStr"/>
      <c r="K1180" t="inlineStr"/>
      <c r="L1180" t="inlineStr"/>
      <c r="M1180" t="inlineStr"/>
      <c r="N1180" t="inlineStr"/>
      <c r="O1180">
        <f>(1-Summary!$B$55)*T1180+Summary!$B$55*V1180</f>
        <v/>
      </c>
      <c r="P1180">
        <f>IF(B1205=0,0,O1180/B1205)</f>
        <v/>
      </c>
      <c r="Q1180">
        <f>IFERROR(1/IF(Inputs!$B$39="pvp",15,MAX(0.1,Skills!D19-IF(Skills!E19=TRUE,(Inputs!$B$32+1),0))),0)</f>
        <v/>
      </c>
      <c r="R1180">
        <f>IF(AND(Inputs!$B$39&lt;&gt;"pvp",Inputs!$B$44&gt;0),IF(Inputs!$B$44&lt;=0,0,(INT(Inputs!$B$44/IF(Inputs!$B$39="pvp",15,MAX(0.1,Skills!D19-IF(Skills!E19=TRUE,(Inputs!$B$32+1),0))))+1)),0)</f>
        <v/>
      </c>
      <c r="S1180">
        <f>IFERROR(O1180/N1180,0)</f>
        <v/>
      </c>
      <c r="T1180" t="n">
        <v>0</v>
      </c>
      <c r="V1180" t="n">
        <v>0</v>
      </c>
    </row>
    <row r="1181">
      <c r="A1181">
        <f>Skills!A20</f>
        <v/>
      </c>
      <c r="B1181">
        <f>Skills!B20</f>
        <v/>
      </c>
      <c r="C1181">
        <f>Inputs!$B$3&gt;=15</f>
        <v/>
      </c>
      <c r="D1181">
        <f>IF(Skills!C20=1,60+Inputs!$B$25+Inputs!$B$29,IF(Skills!C20=2,90+Inputs!$B$26+Inputs!$B$29,IF(Skills!C20=3,120+Inputs!$B$27+Inputs!$B$29,MAX(0,(Inputs!$B$3-100)*3)+Inputs!$B$28+Inputs!$B$29)))</f>
        <v/>
      </c>
      <c r="E1181">
        <f>INDEX(FactorTable!$B$2:$Y$301, MATCH(ROUND(MIN(300,MAX(1,D1181)),0), FactorTable!$A$2:$A$301,0), Skills!M20+1)</f>
        <v/>
      </c>
      <c r="F1181">
        <f>IF(Skills!N20=TRUE,(Skills!L20/10)*(E1181/1000),Skills!L20/10)+Skills!O20</f>
        <v/>
      </c>
      <c r="G1181">
        <f>Calc!G20</f>
        <v/>
      </c>
      <c r="H1181">
        <f>Calc!H20</f>
        <v/>
      </c>
      <c r="I1181">
        <f>IF(Skills!AA20&lt;&gt;"",1+(Skills!AA20/10)*(U1164/1000)/100,1)</f>
        <v/>
      </c>
      <c r="J1181" t="inlineStr"/>
      <c r="K1181" t="inlineStr"/>
      <c r="L1181" t="inlineStr"/>
      <c r="M1181" t="inlineStr"/>
      <c r="N1181" t="inlineStr"/>
      <c r="O1181">
        <f>(1-Summary!$B$55)*T1181+Summary!$B$55*V1181</f>
        <v/>
      </c>
      <c r="P1181">
        <f>IF(B1205=0,0,O1181/B1205)</f>
        <v/>
      </c>
      <c r="Q1181">
        <f>IFERROR(1/IF(Inputs!$B$39="pvp",15,MAX(0.1,Skills!D20-IF(Skills!E20=TRUE,(Inputs!$B$32+1),0))),0)</f>
        <v/>
      </c>
      <c r="R1181">
        <f>IF(AND(Inputs!$B$39&lt;&gt;"pvp",Inputs!$B$44&gt;0),IF(Inputs!$B$44&lt;=0,0,(INT(Inputs!$B$44/IF(Inputs!$B$39="pvp",15,MAX(0.1,Skills!D20-IF(Skills!E20=TRUE,(Inputs!$B$32+1),0))))+1)),0)</f>
        <v/>
      </c>
      <c r="S1181">
        <f>IFERROR(O1181/N1181,0)</f>
        <v/>
      </c>
      <c r="T1181" t="n">
        <v>0</v>
      </c>
      <c r="V1181" t="n">
        <v>0</v>
      </c>
    </row>
    <row r="1182">
      <c r="A1182">
        <f>Skills!A21</f>
        <v/>
      </c>
      <c r="B1182">
        <f>Skills!B21</f>
        <v/>
      </c>
      <c r="C1182">
        <f>Inputs!$B$3&gt;=15</f>
        <v/>
      </c>
      <c r="D1182">
        <f>IF(Skills!C21=1,60+Inputs!$B$25+Inputs!$B$29,IF(Skills!C21=2,90+Inputs!$B$26+Inputs!$B$29,IF(Skills!C21=3,120+Inputs!$B$27+Inputs!$B$29,MAX(0,(Inputs!$B$3-100)*3)+Inputs!$B$28+Inputs!$B$29)))</f>
        <v/>
      </c>
      <c r="E1182">
        <f>INDEX(FactorTable!$B$2:$Y$301, MATCH(ROUND(MIN(300,MAX(1,D1182)),0), FactorTable!$A$2:$A$301,0), Skills!M21+1)</f>
        <v/>
      </c>
      <c r="F1182">
        <f>IF(Skills!N21=TRUE,(Skills!L21/10)*(E1182/1000),Skills!L21/10)+Skills!O21</f>
        <v/>
      </c>
      <c r="G1182">
        <f>Calc!G21</f>
        <v/>
      </c>
      <c r="H1182">
        <f>Calc!H21</f>
        <v/>
      </c>
      <c r="I1182">
        <f>IF(Skills!AA21&lt;&gt;"",1+(Skills!AA21/10)*(U1164/1000)/100,1)</f>
        <v/>
      </c>
      <c r="J1182" t="inlineStr"/>
      <c r="K1182" t="inlineStr"/>
      <c r="L1182" t="inlineStr"/>
      <c r="M1182" t="inlineStr"/>
      <c r="N1182" t="inlineStr"/>
      <c r="O1182">
        <f>(1-Summary!$B$55)*T1182+Summary!$B$55*V1182</f>
        <v/>
      </c>
      <c r="P1182">
        <f>IF(B1205=0,0,O1182/B1205)</f>
        <v/>
      </c>
      <c r="Q1182">
        <f>IFERROR(1/IF(Inputs!$B$39="pvp",15,MAX(0.1,Skills!D21-IF(Skills!E21=TRUE,(Inputs!$B$32+1),0))),0)</f>
        <v/>
      </c>
      <c r="R1182">
        <f>IF(AND(Inputs!$B$39&lt;&gt;"pvp",Inputs!$B$44&gt;0),IF(Inputs!$B$44&lt;=0,0,(INT(Inputs!$B$44/IF(Inputs!$B$39="pvp",15,MAX(0.1,Skills!D21-IF(Skills!E21=TRUE,(Inputs!$B$32+1),0))))+1)),0)</f>
        <v/>
      </c>
      <c r="S1182">
        <f>IFERROR(O1182/N1182,0)</f>
        <v/>
      </c>
      <c r="T1182" t="n">
        <v>0</v>
      </c>
      <c r="V1182" t="n">
        <v>0</v>
      </c>
    </row>
    <row r="1183">
      <c r="A1183">
        <f>Skills!A22</f>
        <v/>
      </c>
      <c r="B1183">
        <f>Skills!B22</f>
        <v/>
      </c>
      <c r="C1183">
        <f>Inputs!$B$3&gt;=33</f>
        <v/>
      </c>
      <c r="D1183">
        <f>IF(Skills!C22=1,60+Inputs!$B$25+Inputs!$B$29,IF(Skills!C22=2,90+Inputs!$B$26+Inputs!$B$29,IF(Skills!C22=3,120+Inputs!$B$27+Inputs!$B$29,MAX(0,(Inputs!$B$3-100)*3)+Inputs!$B$28+Inputs!$B$29)))</f>
        <v/>
      </c>
      <c r="E1183">
        <f>INDEX(FactorTable!$B$2:$Y$301, MATCH(ROUND(MIN(300,MAX(1,D1183)),0), FactorTable!$A$2:$A$301,0), Skills!M22+1)</f>
        <v/>
      </c>
      <c r="F1183">
        <f>IF(Skills!N22=TRUE,(Skills!L22/10)*(E1183/1000),Skills!L22/10)+Skills!O22</f>
        <v/>
      </c>
      <c r="G1183">
        <f>Calc!G22</f>
        <v/>
      </c>
      <c r="H1183">
        <f>Calc!H22</f>
        <v/>
      </c>
      <c r="I1183">
        <f>IF(Skills!AA22&lt;&gt;"",1+(Skills!AA22/10)*(U1164/1000)/100,1)</f>
        <v/>
      </c>
      <c r="J1183" t="inlineStr"/>
      <c r="K1183" t="inlineStr"/>
      <c r="L1183" t="inlineStr"/>
      <c r="M1183" t="inlineStr"/>
      <c r="N1183" t="inlineStr"/>
      <c r="O1183">
        <f>(1-Summary!$B$55)*T1183+Summary!$B$55*V1183</f>
        <v/>
      </c>
      <c r="P1183">
        <f>IF(B1205=0,0,O1183/B1205)</f>
        <v/>
      </c>
      <c r="Q1183" t="n">
        <v>0</v>
      </c>
      <c r="R1183" t="n">
        <v>0</v>
      </c>
      <c r="S1183">
        <f>IFERROR(O1183/N1183,0)</f>
        <v/>
      </c>
      <c r="T1183" t="n">
        <v>0</v>
      </c>
      <c r="V1183" t="n">
        <v>0</v>
      </c>
    </row>
    <row r="1184">
      <c r="A1184">
        <f>Skills!A23</f>
        <v/>
      </c>
      <c r="B1184">
        <f>Skills!B23</f>
        <v/>
      </c>
      <c r="C1184">
        <f>Inputs!$B$3&gt;=38</f>
        <v/>
      </c>
      <c r="D1184">
        <f>IF(Skills!C23=1,60+Inputs!$B$25+Inputs!$B$29,IF(Skills!C23=2,90+Inputs!$B$26+Inputs!$B$29,IF(Skills!C23=3,120+Inputs!$B$27+Inputs!$B$29,MAX(0,(Inputs!$B$3-100)*3)+Inputs!$B$28+Inputs!$B$29)))</f>
        <v/>
      </c>
      <c r="E1184">
        <f>INDEX(FactorTable!$B$2:$Y$301, MATCH(ROUND(MIN(300,MAX(1,D1184)),0), FactorTable!$A$2:$A$301,0), Skills!M23+1)</f>
        <v/>
      </c>
      <c r="F1184">
        <f>IF(Skills!N23=TRUE,(Skills!L23/10)*(E1184/1000),Skills!L23/10)+Skills!O23</f>
        <v/>
      </c>
      <c r="G1184">
        <f>Calc!G23</f>
        <v/>
      </c>
      <c r="H1184">
        <f>Calc!H23</f>
        <v/>
      </c>
      <c r="I1184">
        <f>IF(Skills!AA23&lt;&gt;"",1+(Skills!AA23/10)*(U1164/1000)/100,1)</f>
        <v/>
      </c>
      <c r="J1184" t="inlineStr"/>
      <c r="K1184" t="inlineStr"/>
      <c r="L1184" t="inlineStr"/>
      <c r="M1184" t="inlineStr"/>
      <c r="N1184" t="inlineStr"/>
      <c r="O1184">
        <f>(1-Summary!$B$55)*T1184+Summary!$B$55*V1184</f>
        <v/>
      </c>
      <c r="P1184">
        <f>IF(B1205=0,0,O1184/B1205)</f>
        <v/>
      </c>
      <c r="Q1184" t="n">
        <v>0</v>
      </c>
      <c r="R1184" t="n">
        <v>0</v>
      </c>
      <c r="S1184">
        <f>IFERROR(O1184/N1184,0)</f>
        <v/>
      </c>
      <c r="T1184" t="n">
        <v>0</v>
      </c>
      <c r="V1184" t="n">
        <v>0</v>
      </c>
    </row>
    <row r="1185">
      <c r="A1185">
        <f>Skills!A24</f>
        <v/>
      </c>
      <c r="B1185">
        <f>Skills!B24</f>
        <v/>
      </c>
      <c r="C1185">
        <f>Inputs!$B$3&gt;=40</f>
        <v/>
      </c>
      <c r="D1185">
        <f>IF(Skills!C24=1,60+Inputs!$B$25+Inputs!$B$29,IF(Skills!C24=2,90+Inputs!$B$26+Inputs!$B$29,IF(Skills!C24=3,120+Inputs!$B$27+Inputs!$B$29,MAX(0,(Inputs!$B$3-100)*3)+Inputs!$B$28+Inputs!$B$29)))</f>
        <v/>
      </c>
      <c r="E1185">
        <f>INDEX(FactorTable!$B$2:$Y$301, MATCH(ROUND(MIN(300,MAX(1,D1185)),0), FactorTable!$A$2:$A$301,0), Skills!M24+1)</f>
        <v/>
      </c>
      <c r="F1185">
        <f>IF(Skills!N24=TRUE,(Skills!L24/10)*(E1185/1000),Skills!L24/10)+Skills!O24</f>
        <v/>
      </c>
      <c r="G1185">
        <f>Calc!G24</f>
        <v/>
      </c>
      <c r="H1185">
        <f>Calc!H24</f>
        <v/>
      </c>
      <c r="I1185">
        <f>IF(Skills!AA24&lt;&gt;"",1+(Skills!AA24/10)*(U1164/1000)/100,1)</f>
        <v/>
      </c>
      <c r="J1185" t="inlineStr"/>
      <c r="K1185" t="inlineStr"/>
      <c r="L1185" t="inlineStr"/>
      <c r="M1185" t="inlineStr"/>
      <c r="N1185" t="inlineStr"/>
      <c r="O1185">
        <f>(1-Summary!$B$55)*T1185+Summary!$B$55*V1185</f>
        <v/>
      </c>
      <c r="P1185">
        <f>IF(B1205=0,0,O1185/B1205)</f>
        <v/>
      </c>
      <c r="Q1185" t="n">
        <v>0</v>
      </c>
      <c r="R1185" t="n">
        <v>0</v>
      </c>
      <c r="S1185">
        <f>IFERROR(O1185/N1185,0)</f>
        <v/>
      </c>
      <c r="T1185" t="n">
        <v>0</v>
      </c>
      <c r="V1185" t="n">
        <v>0</v>
      </c>
    </row>
    <row r="1186">
      <c r="A1186">
        <f>Skills!A25</f>
        <v/>
      </c>
      <c r="B1186">
        <f>Skills!B25</f>
        <v/>
      </c>
      <c r="C1186">
        <f>Inputs!$B$3&gt;=45</f>
        <v/>
      </c>
      <c r="D1186">
        <f>IF(Skills!C25=1,60+Inputs!$B$25+Inputs!$B$29,IF(Skills!C25=2,90+Inputs!$B$26+Inputs!$B$29,IF(Skills!C25=3,120+Inputs!$B$27+Inputs!$B$29,MAX(0,(Inputs!$B$3-100)*3)+Inputs!$B$28+Inputs!$B$29)))</f>
        <v/>
      </c>
      <c r="E1186">
        <f>INDEX(FactorTable!$B$2:$Y$301, MATCH(ROUND(MIN(300,MAX(1,D1186)),0), FactorTable!$A$2:$A$301,0), Skills!M25+1)</f>
        <v/>
      </c>
      <c r="F1186">
        <f>IF(Skills!N25=TRUE,(Skills!L25/10)*(E1186/1000),Skills!L25/10)+Skills!O25</f>
        <v/>
      </c>
      <c r="G1186">
        <f>Calc!G25</f>
        <v/>
      </c>
      <c r="H1186">
        <f>Calc!H25</f>
        <v/>
      </c>
      <c r="I1186">
        <f>IF(Skills!AA25&lt;&gt;"",1+(Skills!AA25/10)*(U1164/1000)/100,1)</f>
        <v/>
      </c>
      <c r="J1186" t="inlineStr"/>
      <c r="K1186" t="inlineStr"/>
      <c r="L1186" t="inlineStr"/>
      <c r="M1186" t="inlineStr"/>
      <c r="N1186" t="inlineStr"/>
      <c r="O1186">
        <f>(1-Summary!$B$55)*T1186+Summary!$B$55*V1186</f>
        <v/>
      </c>
      <c r="P1186">
        <f>IF(B1205=0,0,O1186/B1205)</f>
        <v/>
      </c>
      <c r="Q1186" t="n">
        <v>0</v>
      </c>
      <c r="R1186" t="n">
        <v>0</v>
      </c>
      <c r="S1186">
        <f>IFERROR(O1186/N1186,0)</f>
        <v/>
      </c>
      <c r="T1186" t="n">
        <v>0</v>
      </c>
      <c r="V1186" t="n">
        <v>0</v>
      </c>
    </row>
    <row r="1187">
      <c r="A1187">
        <f>Skills!A26</f>
        <v/>
      </c>
      <c r="B1187">
        <f>Skills!B26</f>
        <v/>
      </c>
      <c r="C1187">
        <f>Inputs!$B$3&gt;=45</f>
        <v/>
      </c>
      <c r="D1187">
        <f>IF(Skills!C26=1,60+Inputs!$B$25+Inputs!$B$29,IF(Skills!C26=2,90+Inputs!$B$26+Inputs!$B$29,IF(Skills!C26=3,120+Inputs!$B$27+Inputs!$B$29,MAX(0,(Inputs!$B$3-100)*3)+Inputs!$B$28+Inputs!$B$29)))</f>
        <v/>
      </c>
      <c r="E1187">
        <f>INDEX(FactorTable!$B$2:$Y$301, MATCH(ROUND(MIN(300,MAX(1,D1187)),0), FactorTable!$A$2:$A$301,0), Skills!M26+1)</f>
        <v/>
      </c>
      <c r="F1187">
        <f>IF(Skills!N26=TRUE,(Skills!L26/10)*(E1187/1000),Skills!L26/10)+Skills!O26</f>
        <v/>
      </c>
      <c r="G1187">
        <f>Calc!G26</f>
        <v/>
      </c>
      <c r="H1187">
        <f>Calc!H26</f>
        <v/>
      </c>
      <c r="I1187">
        <f>IF(Skills!AA26&lt;&gt;"",1+(Skills!AA26/10)*(U1164/1000)/100,1)</f>
        <v/>
      </c>
      <c r="J1187" t="inlineStr"/>
      <c r="K1187" t="inlineStr"/>
      <c r="L1187" t="inlineStr"/>
      <c r="M1187" t="inlineStr"/>
      <c r="N1187" t="inlineStr"/>
      <c r="O1187">
        <f>(1-Summary!$B$55)*T1187+Summary!$B$55*V1187</f>
        <v/>
      </c>
      <c r="P1187">
        <f>IF(B1205=0,0,O1187/B1205)</f>
        <v/>
      </c>
      <c r="Q1187" t="n">
        <v>0</v>
      </c>
      <c r="R1187" t="n">
        <v>0</v>
      </c>
      <c r="S1187">
        <f>IFERROR(O1187/N1187,0)</f>
        <v/>
      </c>
      <c r="T1187" t="n">
        <v>0</v>
      </c>
      <c r="V1187" t="n">
        <v>0</v>
      </c>
    </row>
    <row r="1188">
      <c r="A1188">
        <f>Skills!A27</f>
        <v/>
      </c>
      <c r="B1188">
        <f>Skills!B27</f>
        <v/>
      </c>
      <c r="C1188">
        <f>Inputs!$B$3&gt;=72</f>
        <v/>
      </c>
      <c r="D1188">
        <f>IF(Skills!C27=1,60+Inputs!$B$25+Inputs!$B$29,IF(Skills!C27=2,90+Inputs!$B$26+Inputs!$B$29,IF(Skills!C27=3,120+Inputs!$B$27+Inputs!$B$29,MAX(0,(Inputs!$B$3-100)*3)+Inputs!$B$28+Inputs!$B$29)))</f>
        <v/>
      </c>
      <c r="E1188">
        <f>INDEX(FactorTable!$B$2:$Y$301, MATCH(ROUND(MIN(300,MAX(1,D1188)),0), FactorTable!$A$2:$A$301,0), Skills!M27+1)</f>
        <v/>
      </c>
      <c r="F1188">
        <f>IF(Skills!N27=TRUE,(Skills!L27/10)*(E1188/1000),Skills!L27/10)+Skills!O27</f>
        <v/>
      </c>
      <c r="G1188">
        <f>Calc!G27</f>
        <v/>
      </c>
      <c r="H1188">
        <f>Calc!H27</f>
        <v/>
      </c>
      <c r="I1188">
        <f>IF(Skills!AA27&lt;&gt;"",1+(Skills!AA27/10)*(U1164/1000)/100,1)</f>
        <v/>
      </c>
      <c r="J1188" t="inlineStr"/>
      <c r="K1188" t="inlineStr"/>
      <c r="L1188" t="inlineStr"/>
      <c r="M1188" t="inlineStr"/>
      <c r="N1188" t="inlineStr"/>
      <c r="O1188">
        <f>(1-Summary!$B$55)*T1188+Summary!$B$55*V1188</f>
        <v/>
      </c>
      <c r="P1188">
        <f>IF(B1205=0,0,O1188/B1205)</f>
        <v/>
      </c>
      <c r="Q1188" t="n">
        <v>0</v>
      </c>
      <c r="R1188" t="n">
        <v>0</v>
      </c>
      <c r="S1188">
        <f>IFERROR(O1188/N1188,0)</f>
        <v/>
      </c>
      <c r="T1188" t="n">
        <v>0</v>
      </c>
      <c r="V1188" t="n">
        <v>0</v>
      </c>
    </row>
    <row r="1189">
      <c r="A1189">
        <f>Skills!A28</f>
        <v/>
      </c>
      <c r="B1189">
        <f>Skills!B28</f>
        <v/>
      </c>
      <c r="C1189">
        <f>Inputs!$B$3&gt;=75</f>
        <v/>
      </c>
      <c r="D1189">
        <f>IF(Skills!C28=1,60+Inputs!$B$25+Inputs!$B$29,IF(Skills!C28=2,90+Inputs!$B$26+Inputs!$B$29,IF(Skills!C28=3,120+Inputs!$B$27+Inputs!$B$29,MAX(0,(Inputs!$B$3-100)*3)+Inputs!$B$28+Inputs!$B$29)))</f>
        <v/>
      </c>
      <c r="E1189">
        <f>INDEX(FactorTable!$B$2:$Y$301, MATCH(ROUND(MIN(300,MAX(1,D1189)),0), FactorTable!$A$2:$A$301,0), Skills!M28+1)</f>
        <v/>
      </c>
      <c r="F1189">
        <f>IF(Skills!N28=TRUE,(Skills!L28/10)*(E1189/1000),Skills!L28/10)+Skills!O28</f>
        <v/>
      </c>
      <c r="G1189">
        <f>Calc!G28</f>
        <v/>
      </c>
      <c r="H1189">
        <f>Calc!H28</f>
        <v/>
      </c>
      <c r="I1189">
        <f>IF(Skills!AA28&lt;&gt;"",1+(Skills!AA28/10)*(U1164/1000)/100,1)</f>
        <v/>
      </c>
      <c r="J1189" t="inlineStr"/>
      <c r="K1189" t="inlineStr"/>
      <c r="L1189" t="inlineStr"/>
      <c r="M1189" t="inlineStr"/>
      <c r="N1189" t="inlineStr"/>
      <c r="O1189">
        <f>(1-Summary!$B$55)*T1189+Summary!$B$55*V1189</f>
        <v/>
      </c>
      <c r="P1189">
        <f>IF(B1205=0,0,O1189/B1205)</f>
        <v/>
      </c>
      <c r="Q1189" t="n">
        <v>0</v>
      </c>
      <c r="R1189" t="n">
        <v>0</v>
      </c>
      <c r="S1189">
        <f>IFERROR(O1189/N1189,0)</f>
        <v/>
      </c>
      <c r="T1189" t="n">
        <v>0</v>
      </c>
      <c r="V1189" t="n">
        <v>0</v>
      </c>
    </row>
    <row r="1190">
      <c r="A1190">
        <f>Skills!A29</f>
        <v/>
      </c>
      <c r="B1190">
        <f>Skills!B29</f>
        <v/>
      </c>
      <c r="C1190">
        <f>Inputs!$B$3&gt;=120</f>
        <v/>
      </c>
      <c r="D1190">
        <f>IF(Skills!C29=1,60+Inputs!$B$25+Inputs!$B$29,IF(Skills!C29=2,90+Inputs!$B$26+Inputs!$B$29,IF(Skills!C29=3,120+Inputs!$B$27+Inputs!$B$29,MAX(0,(Inputs!$B$3-100)*3)+Inputs!$B$28+Inputs!$B$29)))</f>
        <v/>
      </c>
      <c r="E1190">
        <f>INDEX(FactorTable!$B$2:$Y$301, MATCH(ROUND(MIN(300,MAX(1,D1190)),0), FactorTable!$A$2:$A$301,0), Skills!M29+1)</f>
        <v/>
      </c>
      <c r="F1190">
        <f>IF(Skills!N29=TRUE,(Skills!L29/10)*(E1190/1000),Skills!L29/10)+Skills!O29</f>
        <v/>
      </c>
      <c r="G1190">
        <f>Calc!G29</f>
        <v/>
      </c>
      <c r="H1190">
        <f>Calc!H29</f>
        <v/>
      </c>
      <c r="I1190">
        <f>IF(Skills!AA29&lt;&gt;"",1+(Skills!AA29/10)*(U1164/1000)/100,1)</f>
        <v/>
      </c>
      <c r="J1190" t="inlineStr"/>
      <c r="K1190" t="inlineStr"/>
      <c r="L1190" t="inlineStr"/>
      <c r="M1190" t="inlineStr"/>
      <c r="N1190" t="inlineStr"/>
      <c r="O1190">
        <f>(1-Summary!$B$55)*T1190+Summary!$B$55*V1190</f>
        <v/>
      </c>
      <c r="P1190">
        <f>IF(B1205=0,0,O1190/B1205)</f>
        <v/>
      </c>
      <c r="Q1190" t="n">
        <v>0</v>
      </c>
      <c r="R1190" t="n">
        <v>0</v>
      </c>
      <c r="S1190">
        <f>IFERROR(O1190/N1190,0)</f>
        <v/>
      </c>
      <c r="T1190" t="n">
        <v>0</v>
      </c>
      <c r="V1190" t="n">
        <v>0</v>
      </c>
    </row>
    <row r="1191">
      <c r="A1191">
        <f>Skills!A30</f>
        <v/>
      </c>
      <c r="B1191">
        <f>Skills!B30</f>
        <v/>
      </c>
      <c r="C1191">
        <f>Inputs!$B$3&gt;=125</f>
        <v/>
      </c>
      <c r="D1191">
        <f>IF(Skills!C30=1,60+Inputs!$B$25+Inputs!$B$29,IF(Skills!C30=2,90+Inputs!$B$26+Inputs!$B$29,IF(Skills!C30=3,120+Inputs!$B$27+Inputs!$B$29,MAX(0,(Inputs!$B$3-100)*3)+Inputs!$B$28+Inputs!$B$29)))</f>
        <v/>
      </c>
      <c r="E1191">
        <f>INDEX(FactorTable!$B$2:$Y$301, MATCH(ROUND(MIN(300,MAX(1,D1191)),0), FactorTable!$A$2:$A$301,0), Skills!M30+1)</f>
        <v/>
      </c>
      <c r="F1191">
        <f>IF(Skills!N30=TRUE,(Skills!L30/10)*(E1191/1000),Skills!L30/10)+Skills!O30</f>
        <v/>
      </c>
      <c r="G1191">
        <f>Calc!G30</f>
        <v/>
      </c>
      <c r="H1191">
        <f>Calc!H30</f>
        <v/>
      </c>
      <c r="I1191">
        <f>IF(Skills!AA30&lt;&gt;"",1+(Skills!AA30/10)*(U1164/1000)/100,1)</f>
        <v/>
      </c>
      <c r="J1191" t="inlineStr"/>
      <c r="K1191" t="inlineStr"/>
      <c r="L1191" t="inlineStr"/>
      <c r="M1191" t="inlineStr"/>
      <c r="N1191" t="inlineStr"/>
      <c r="O1191">
        <f>(1-Summary!$B$55)*T1191+Summary!$B$55*V1191</f>
        <v/>
      </c>
      <c r="P1191">
        <f>IF(B1205=0,0,O1191/B1205)</f>
        <v/>
      </c>
      <c r="Q1191" t="n">
        <v>0</v>
      </c>
      <c r="R1191" t="n">
        <v>0</v>
      </c>
      <c r="S1191">
        <f>IFERROR(O1191/N1191,0)</f>
        <v/>
      </c>
      <c r="T1191" t="n">
        <v>0</v>
      </c>
      <c r="V1191" t="n">
        <v>0</v>
      </c>
    </row>
    <row r="1192">
      <c r="A1192">
        <f>Skills!A31</f>
        <v/>
      </c>
      <c r="B1192">
        <f>Skills!B31</f>
        <v/>
      </c>
      <c r="C1192">
        <f>Inputs!$B$3&gt;=107</f>
        <v/>
      </c>
      <c r="D1192">
        <f>IF(Skills!C31=1,60+Inputs!$B$25+Inputs!$B$29,IF(Skills!C31=2,90+Inputs!$B$26+Inputs!$B$29,IF(Skills!C31=3,120+Inputs!$B$27+Inputs!$B$29,MAX(0,(Inputs!$B$3-100)*3)+Inputs!$B$28+Inputs!$B$29)))</f>
        <v/>
      </c>
      <c r="E1192">
        <f>INDEX(FactorTable!$B$2:$Y$301, MATCH(ROUND(MIN(300,MAX(1,D1192)),0), FactorTable!$A$2:$A$301,0), Skills!M31+1)</f>
        <v/>
      </c>
      <c r="F1192">
        <f>IF(Skills!N31=TRUE,(Skills!L31/10)*(E1192/1000),Skills!L31/10)+Skills!O31</f>
        <v/>
      </c>
      <c r="G1192">
        <f>Calc!G31</f>
        <v/>
      </c>
      <c r="H1192">
        <f>Calc!H31</f>
        <v/>
      </c>
      <c r="I1192">
        <f>IF(Skills!AA31&lt;&gt;"",1+(Skills!AA31/10)*(U1164/1000)/100,1)</f>
        <v/>
      </c>
      <c r="J1192" t="inlineStr"/>
      <c r="K1192" t="inlineStr"/>
      <c r="L1192" t="inlineStr"/>
      <c r="M1192" t="inlineStr"/>
      <c r="N1192" t="inlineStr"/>
      <c r="O1192">
        <f>(1-Summary!$B$55)*T1192+Summary!$B$55*V1192</f>
        <v/>
      </c>
      <c r="P1192">
        <f>IF(B1205=0,0,O1192/B1205)</f>
        <v/>
      </c>
      <c r="Q1192" t="n">
        <v>0</v>
      </c>
      <c r="R1192" t="n">
        <v>0</v>
      </c>
      <c r="S1192">
        <f>IFERROR(O1192/N1192,0)</f>
        <v/>
      </c>
      <c r="T1192" t="n">
        <v>0</v>
      </c>
      <c r="V1192" t="n">
        <v>0</v>
      </c>
    </row>
    <row r="1194">
      <c r="A1194" t="inlineStr">
        <is>
          <t>Actions Per Second (pre-Adrenalin)</t>
        </is>
      </c>
      <c r="B1194">
        <f>1+MIN(150,150*(1-(1-(Inputs!$B$11+((C1183=TRUE)*(F1183-Calc!F22)))/150)*(1-((C1180=TRUE)*F1180*IF(AND(Inputs!$B$39&lt;&gt;"pvp",Inputs!$B$44&gt;0),(((R1180-1)*(Skills!Y19*(1+Inputs!$B$34/100))+MIN((Skills!Y19*(1+Inputs!$B$34/100)),MAX(0,Inputs!$B$44-((R1180-1)*Skills!D19))))/Inputs!$B$44),IF(Inputs!$B$39="pvp",MIN((Skills!Y19*(1+Inputs!$B$34/100)),15)/15,(Skills!Y19*(1+Inputs!$B$34/100))/Skills!D19)))/150)))/100</f>
        <v/>
      </c>
    </row>
    <row r="1195">
      <c r="A1195" t="inlineStr">
        <is>
          <t>Alchemic Adrenaline Uptime</t>
        </is>
      </c>
      <c r="B1195">
        <f>(Skills!Y6*(1+Inputs!$B$34/100))/((Skills!Y6*(1+Inputs!$B$34/100))+(5/B1194))</f>
        <v/>
      </c>
    </row>
    <row r="1196">
      <c r="A1196" t="inlineStr">
        <is>
          <t>Attack Speed Buff Bonus %</t>
        </is>
      </c>
      <c r="B1196">
        <f>((C1180=TRUE)*F1180*IF(AND(Inputs!$B$39&lt;&gt;"pvp",Inputs!$B$44&gt;0),(((R1180-1)*(Skills!Y19*(1+Inputs!$B$34/100))+MIN((Skills!Y19*(1+Inputs!$B$34/100)),MAX(0,Inputs!$B$44-((R1180-1)*Skills!D19))))/Inputs!$B$44),IF(Inputs!$B$39="pvp",MIN((Skills!Y19*(1+Inputs!$B$34/100)),15)/15,(Skills!Y19*(1+Inputs!$B$34/100))/Skills!D19)))+((C1168=TRUE)*F1168*B1195)</f>
        <v/>
      </c>
    </row>
    <row r="1197">
      <c r="A1197" t="inlineStr">
        <is>
          <t>Actions Per Second (final)</t>
        </is>
      </c>
      <c r="B1197">
        <f>1+MIN(150,150*(1-(1-(Inputs!$B$11+((C1183=TRUE)*(F1183-Calc!F22)))/150)*(1-B1196/150)))/100</f>
        <v/>
      </c>
    </row>
    <row r="1198">
      <c r="A1198" t="inlineStr">
        <is>
          <t>Skill + Buff Cast Rate</t>
        </is>
      </c>
      <c r="B1198">
        <f>IF(AND(Inputs!$B$39&lt;&gt;"pvp",Inputs!$B$44&gt;0),SUMPRODUCT((Skills!E2:E31=TRUE)*(C1163:C1192=TRUE)*R1163:R1192*Skills!F2:F31)/Inputs!$B$44,SUMPRODUCT((Skills!E2:E31=TRUE)*(C1163:C1192=TRUE)*Q1163:Q1192*Skills!F2:F31))</f>
        <v/>
      </c>
    </row>
    <row r="1199">
      <c r="A1199" t="inlineStr">
        <is>
          <t>Showdown Casts Per Second</t>
        </is>
      </c>
      <c r="B1199">
        <f>MAX(0,B1197-B1198)</f>
        <v/>
      </c>
    </row>
    <row r="1200">
      <c r="A1200" t="inlineStr">
        <is>
          <t>Average Buff Multiplier</t>
        </is>
      </c>
      <c r="B1200">
        <f>(1+(((C1182=TRUE)*F1182*IF(AND(Inputs!$B$39&lt;&gt;"pvp",Inputs!$B$44&gt;0),(((R1182-1)*(Skills!Y21*(1+Inputs!$B$34/100))+MIN((Skills!Y21*(1+Inputs!$B$34/100)),MAX(0,Inputs!$B$44-((R1182-1)*Skills!D21))))/Inputs!$B$44),IF(Inputs!$B$39="pvp",MIN((Skills!Y21*(1+Inputs!$B$34/100)),15)/15,(Skills!Y21*(1+Inputs!$B$34/100))/Skills!D21)))+((C1189=TRUE)*(F1189-Calc!F28))+((C1179=TRUE)*(F1179-Calc!F18)))/100)*(1+((C1176=TRUE)*F1176*IF(AND(Inputs!$B$39&lt;&gt;"pvp",Inputs!$B$44&gt;0),(((R1176-1)*(Skills!Y15*(1+Inputs!$B$34/100))+MIN((Skills!Y15*(1+Inputs!$B$34/100)),MAX(0,Inputs!$B$44-((R1176-1)*Skills!D15))))/Inputs!$B$44),IF(Inputs!$B$39="pvp",MIN((Skills!Y15*(1+Inputs!$B$34/100)),15)/15,(Skills!Y15*(1+Inputs!$B$34/100))/Skills!D15)))/100)*(1+((C1167=TRUE)*F1167*B1195)/100)</f>
        <v/>
      </c>
    </row>
    <row r="1201">
      <c r="A1201" t="inlineStr">
        <is>
          <t>Global Crit Rate Bonus %</t>
        </is>
      </c>
      <c r="B1201">
        <f>IF(Inputs!$B$3&gt;=47,8,0)+((C1181=TRUE)*F1181*IF(AND(Inputs!$B$39&lt;&gt;"pvp",Inputs!$B$44&gt;0),(((R1181-1)*(Skills!Y20*(1+Inputs!$B$34/100))+MIN((Skills!Y20*(1+Inputs!$B$34/100)),MAX(0,Inputs!$B$44-((R1181-1)*Skills!D20))))/Inputs!$B$44),IF(Inputs!$B$39="pvp",MIN((Skills!Y20*(1+Inputs!$B$34/100)),15)/15,(Skills!Y20*(1+Inputs!$B$34/100))/Skills!D20)))</f>
        <v/>
      </c>
    </row>
    <row r="1202">
      <c r="A1202" t="inlineStr">
        <is>
          <t>Global Monster Damage-Taken Bonus %</t>
        </is>
      </c>
      <c r="B1202">
        <f>IF(Inputs!$B$3&gt;=82,15,0)+((C1177=TRUE)*F1177*IF(AND(Inputs!$B$39&lt;&gt;"pvp",Inputs!$B$44&gt;0),(((R1177-1)*(Skills!Y16*(1+Inputs!$B$34/100))+MIN((Skills!Y16*(1+Inputs!$B$34/100)),MAX(0,Inputs!$B$44-((R1177-1)*Skills!D16))))/Inputs!$B$44),IF(Inputs!$B$39="pvp",MIN((Skills!Y16*(1+Inputs!$B$34/100)),15)/15,(Skills!Y16*(1+Inputs!$B$34/100))/Skills!D16)))</f>
        <v/>
      </c>
    </row>
    <row r="1203">
      <c r="A1203" t="inlineStr">
        <is>
          <t>Shadow Partner Average Multiplier</t>
        </is>
      </c>
      <c r="B1203">
        <f>1+((C1172=TRUE)*F1172*I1172*Skills!J11/100)/100</f>
        <v/>
      </c>
    </row>
    <row r="1204">
      <c r="A1204" t="inlineStr">
        <is>
          <t>Global Critical Damage Bonus % (Frailty Curse Mastery Lv.111)</t>
        </is>
      </c>
      <c r="B1204">
        <f>IF(Inputs!$B$3&gt;=111,30,0)*IF(AND(Inputs!$B$39&lt;&gt;"pvp",Inputs!$B$44&gt;0),(((R1177-1)*(Skills!Y16*(1+Inputs!$B$34/100))+MIN((Skills!Y16*(1+Inputs!$B$34/100)),MAX(0,Inputs!$B$44-((R1177-1)*Skills!D16))))/Inputs!$B$44),IF(Inputs!$B$39="pvp",MIN((Skills!Y16*(1+Inputs!$B$34/100)),15)/15,(Skills!Y16*(1+Inputs!$B$34/100))/Skills!D16))</f>
        <v/>
      </c>
    </row>
    <row r="1205">
      <c r="A1205" s="5" t="inlineStr">
        <is>
          <t>TOTAL DPS</t>
        </is>
      </c>
      <c r="B1205" s="5">
        <f>SUM(O1163:O1192)</f>
        <v/>
      </c>
    </row>
    <row r="1206">
      <c r="A1206" t="inlineStr">
        <is>
          <t>Buff-Casting Startup Delay (s, fixed-duration only)</t>
        </is>
      </c>
      <c r="B1206">
        <f>IF(AND(Inputs!$B$39&lt;&gt;"pvp",Inputs!$B$44&gt;0),SUMPRODUCT((Skills!Y2:Y31&gt;0)*(Skills!E2:E31=TRUE)*(C1163:C1192=TRUE))/B1197,0)</f>
        <v/>
      </c>
    </row>
    <row r="1207">
      <c r="A1207" t="inlineStr">
        <is>
          <t>Boss-Only Total DPS (this block's swept value)</t>
        </is>
      </c>
      <c r="B1207">
        <f>SUM(T1163:T1192)</f>
        <v/>
      </c>
    </row>
    <row r="1208">
      <c r="A1208" t="inlineStr">
        <is>
          <t>Normal-Only Total DPS (this block's swept value)</t>
        </is>
      </c>
      <c r="B1208">
        <f>SUM(V1163:V1192)</f>
        <v/>
      </c>
    </row>
    <row r="1210">
      <c r="A1210" s="5" t="inlineStr">
        <is>
          <t>Stat: Basic Attack Target Increase (flat)</t>
        </is>
      </c>
    </row>
    <row r="1211">
      <c r="A1211" s="9" t="inlineStr">
        <is>
          <t>Key</t>
        </is>
      </c>
      <c r="B1211" s="9" t="inlineStr">
        <is>
          <t>Name</t>
        </is>
      </c>
      <c r="C1211" s="9" t="inlineStr">
        <is>
          <t>Unlocked</t>
        </is>
      </c>
      <c r="D1211" s="9" t="inlineStr">
        <is>
          <t>InputLevel</t>
        </is>
      </c>
      <c r="E1211" s="9" t="inlineStr">
        <is>
          <t>Factor</t>
        </is>
      </c>
      <c r="F1211" s="9" t="inlineStr">
        <is>
          <t>CoefficientPercent</t>
        </is>
      </c>
      <c r="G1211" s="9" t="inlineStr">
        <is>
          <t>EffectiveHits</t>
        </is>
      </c>
      <c r="H1211" s="9" t="inlineStr">
        <is>
          <t>ProcProbability</t>
        </is>
      </c>
      <c r="I1211" s="9" t="inlineStr">
        <is>
          <t>MapleHeroMultiplier</t>
        </is>
      </c>
      <c r="J1211" s="9" t="inlineStr">
        <is>
          <t>BaseDamage</t>
        </is>
      </c>
      <c r="K1211" s="9" t="inlineStr">
        <is>
          <t>BaseHitDamage</t>
        </is>
      </c>
      <c r="L1211" s="9" t="inlineStr">
        <is>
          <t>NonCritAvg</t>
        </is>
      </c>
      <c r="M1211" s="9" t="inlineStr">
        <is>
          <t>CritAvg</t>
        </is>
      </c>
      <c r="N1211" s="9" t="inlineStr">
        <is>
          <t>ExpectedDamage(perHit)</t>
        </is>
      </c>
      <c r="O1211" s="9" t="inlineStr">
        <is>
          <t>DPS</t>
        </is>
      </c>
      <c r="P1211" s="9" t="inlineStr">
        <is>
          <t>% of Total</t>
        </is>
      </c>
      <c r="Q1211" s="9" t="inlineStr">
        <is>
          <t>InvCooldown</t>
        </is>
      </c>
      <c r="R1211" s="9" t="inlineStr">
        <is>
          <t>CastsInFight</t>
        </is>
      </c>
      <c r="S1211" s="9" t="inlineStr">
        <is>
          <t>HitRate(perSec)</t>
        </is>
      </c>
      <c r="U1211" t="inlineStr">
        <is>
          <t>helpers</t>
        </is>
      </c>
    </row>
    <row r="1212">
      <c r="A1212">
        <f>Skills!A2</f>
        <v/>
      </c>
      <c r="B1212">
        <f>Skills!B2</f>
        <v/>
      </c>
      <c r="C1212">
        <f>Inputs!$B$3&gt;=100</f>
        <v/>
      </c>
      <c r="D1212" t="inlineStr"/>
      <c r="E1212" t="inlineStr"/>
      <c r="F1212">
        <f>U1216+Skills!O2</f>
        <v/>
      </c>
      <c r="G1212">
        <f>Calc!G2</f>
        <v/>
      </c>
      <c r="H1212">
        <f>Calc!H2</f>
        <v/>
      </c>
      <c r="I1212">
        <f>IF(Skills!AA2&lt;&gt;"",1+(Skills!AA2/10)*(U1213/1000)/100,1)</f>
        <v/>
      </c>
      <c r="J1212">
        <f>((Inputs!$B$6*(1+Inputs!$B$7/100))+(((Inputs!$B$12*(1+Inputs!$B$13/100))-(Inputs!$B$12*(1+Inputs!$B$13/100)))+0.25*(Inputs!$B$14-Inputs!$B$14))*(1+Inputs!$B$7/100))*(F1212/100)</f>
        <v/>
      </c>
      <c r="K1212">
        <f>J1212*(1+((Inputs!$B$12*(1+Inputs!$B$13/100))*0.01+Inputs!$B$14*0.0025)/100)*(1+Inputs!$B$15/100)*(1+Inputs!$B$16/100)*(5000/(6000+Inputs!$B$43*(1-Inputs!$B$19/100)))*(1+(Inputs!$B$24+((C1240=TRUE)*(F1240-Calc!F30)))/100)*(1+Skills!R2/100)*(1+(IF(Skills!A2="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1212)</f>
        <v/>
      </c>
      <c r="L1212">
        <f>K1212*(MIN(Inputs!$B$22+((C1234=TRUE)*(F1234-Calc!F24)),Inputs!$B$23)/100+Inputs!$B$23/100)/2</f>
        <v/>
      </c>
      <c r="M1212">
        <f>L1212*(1+(Inputs!$B$10+((C1236=TRUE)*(F1236-Calc!F26))+B1253)/100)</f>
        <v/>
      </c>
      <c r="N1212">
        <f>L1212*(1-MIN((Inputs!$B$9+((C1235=TRUE)*(F1235-Calc!F25))+B1250),100)/100)+M1212*(MIN((Inputs!$B$9+((C1235=TRUE)*(F1235-Calc!F25))+B1250),100)/100)</f>
        <v/>
      </c>
      <c r="O1212">
        <f>(1-Summary!$B$55)*T1212+Summary!$B$55*V1212</f>
        <v/>
      </c>
      <c r="P1212">
        <f>IF(B1254=0,0,O1212/B1254)</f>
        <v/>
      </c>
      <c r="Q1212" t="n">
        <v>0</v>
      </c>
      <c r="R1212" t="n">
        <v>0</v>
      </c>
      <c r="S1212">
        <f>IFERROR(O1212/N1212,0)</f>
        <v/>
      </c>
      <c r="T1212">
        <f>IF(C1212,(Skills!G2*N1212*B1248)*IF(Inputs!$B$39="pvp",1,1+(Inputs!$B$20+((C1237=TRUE)*(F1237-Calc!F27))+Skills!P2+B1251)/100),0)</f>
        <v/>
      </c>
      <c r="U1212">
        <f>MAX(0,(Inputs!$B$3-100)*3)+Inputs!$B$28+Inputs!$B$29</f>
        <v/>
      </c>
      <c r="V1212">
        <f>IF(C1212,(Skills!G2*N1212*B1248)*IF(Inputs!$B$39="pvp",1,(1+(Inputs!$B$21+Skills!Q2+B1251)/100)*(MIN((6+(Inputs!$B$33+1)),Inputs!$B$37))),0)</f>
        <v/>
      </c>
    </row>
    <row r="1213">
      <c r="A1213">
        <f>Skills!A3</f>
        <v/>
      </c>
      <c r="B1213">
        <f>Skills!B3</f>
        <v/>
      </c>
      <c r="C1213">
        <f>Inputs!$B$3&gt;=35</f>
        <v/>
      </c>
      <c r="D1213">
        <f>IF(Skills!C3=1,60+Inputs!$B$25+Inputs!$B$29,IF(Skills!C3=2,90+Inputs!$B$26+Inputs!$B$29,IF(Skills!C3=3,120+Inputs!$B$27+Inputs!$B$29,MAX(0,(Inputs!$B$3-100)*3)+Inputs!$B$28+Inputs!$B$29)))</f>
        <v/>
      </c>
      <c r="E1213">
        <f>INDEX(FactorTable!$B$2:$Y$301, MATCH(ROUND(MIN(300,MAX(1,D1213)),0), FactorTable!$A$2:$A$301,0), Skills!M3+1)</f>
        <v/>
      </c>
      <c r="F1213">
        <f>IF(Skills!N3=TRUE,(Skills!L3/10)*(E1213/1000),Skills!L3/10)+Skills!O3</f>
        <v/>
      </c>
      <c r="G1213">
        <f>Calc!G3</f>
        <v/>
      </c>
      <c r="H1213">
        <f>Calc!H3</f>
        <v/>
      </c>
      <c r="I1213">
        <f>IF(Skills!AA3&lt;&gt;"",1+(Skills!AA3/10)*(U1213/1000)/100,1)</f>
        <v/>
      </c>
      <c r="J1213">
        <f>((Inputs!$B$6*(1+Inputs!$B$7/100))+(((Inputs!$B$12*(1+Inputs!$B$13/100))-(Inputs!$B$12*(1+Inputs!$B$13/100)))+0.25*(Inputs!$B$14-Inputs!$B$14))*(1+Inputs!$B$7/100))*(F1213/100)</f>
        <v/>
      </c>
      <c r="K1213">
        <f>J1213*(1+((Inputs!$B$12*(1+Inputs!$B$13/100))*0.01+Inputs!$B$14*0.0025)/100)*(1+Inputs!$B$15/100)*(1+Inputs!$B$16/100)*(5000/(6000+Inputs!$B$43*(1-Inputs!$B$19/100)))*(1+(Inputs!$B$24+((C1240=TRUE)*(F1240-Calc!F30)))/100)*(1+Skills!R3/100)*(1+(IF(Skills!A3="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1213)</f>
        <v/>
      </c>
      <c r="L1213">
        <f>K1213*(MIN(Inputs!$B$22+((C1234=TRUE)*(F1234-Calc!F24)),Inputs!$B$23)/100+Inputs!$B$23/100)/2</f>
        <v/>
      </c>
      <c r="M1213">
        <f>L1213*(1+(Inputs!$B$10+((C1236=TRUE)*(F1236-Calc!F26))+B1253)/100)</f>
        <v/>
      </c>
      <c r="N1213">
        <f>L1213*(1-MIN((Inputs!$B$9+((C1235=TRUE)*(F1235-Calc!F25))+B1250),100)/100)+M1213*(MIN((Inputs!$B$9+((C1235=TRUE)*(F1235-Calc!F25))+B1250),100)/100)</f>
        <v/>
      </c>
      <c r="O1213">
        <f>(1-Summary!$B$55)*T1213+Summary!$B$55*V1213</f>
        <v/>
      </c>
      <c r="P1213">
        <f>IF(B1254=0,0,O1213/B1254)</f>
        <v/>
      </c>
      <c r="Q1213">
        <f>IFERROR(1/IF(Inputs!$B$39="pvp",15,MAX(0.1,Skills!D3-IF(Skills!E3=TRUE,Inputs!$B$32,0))),0)</f>
        <v/>
      </c>
      <c r="R1213">
        <f>IF(AND(Inputs!$B$39&lt;&gt;"pvp",Inputs!$B$44&gt;0),IF(MAX(0,Inputs!$B$44-B1255)&lt;=0,0,(INT(MAX(0,Inputs!$B$44-B1255)/IF(Inputs!$B$39="pvp",15,MAX(0.1,Skills!D3-IF(Skills!E3=TRUE,Inputs!$B$32,0))))+1)),0)</f>
        <v/>
      </c>
      <c r="S1213">
        <f>IFERROR(O1213/N1213,0)</f>
        <v/>
      </c>
      <c r="T1213">
        <f>IF(C1213,(H1213*N1213*IF(AND(Inputs!$B$39&lt;&gt;"pvp",Inputs!$B$44&gt;0),((Skills!G3*((R1213-1)*IF(Skills!H3&gt;0,Skills!I3/Skills!H3,1)+IF(Skills!H3&gt;0,MIN(Skills!I3,MAX(0,MAX(0,Inputs!$B$44-B1255)-((R1213-1)*IF(Inputs!$B$39="pvp",15,MAX(0.1,Skills!D3-IF(Skills!E3=TRUE,Inputs!$B$32,0))))))/Skills!H3,1)))/Inputs!$B$44),G1213*Q1213))*IF(Inputs!$B$39="pvp",1,1+(Inputs!$B$20+((C1237=TRUE)*(F1237-Calc!F27))+Skills!P3+B1251)/100),0)</f>
        <v/>
      </c>
      <c r="U1213">
        <f>INDEX(FactorTable!$B$2:$Y$301, MATCH(ROUND(MIN(300,MAX(1,U1212)),0), FactorTable!$A$2:$A$301,0), 24)</f>
        <v/>
      </c>
      <c r="V1213">
        <f>IF(C1213,(H1213*N1213*IF(AND(Inputs!$B$39&lt;&gt;"pvp",Inputs!$B$44&gt;0),((Skills!G3*((R1213-1)*IF(Skills!H3&gt;0,Skills!I3/Skills!H3,1)+IF(Skills!H3&gt;0,MIN(Skills!I3,MAX(0,MAX(0,Inputs!$B$44-B1255)-((R1213-1)*IF(Inputs!$B$39="pvp",15,MAX(0.1,Skills!D3-IF(Skills!E3=TRUE,Inputs!$B$32,0))))))/Skills!H3,1)))/Inputs!$B$44),G1213*Q1213))*IF(Inputs!$B$39="pvp",1,(1+(Inputs!$B$21+Skills!Q3+B1251)/100)*(MIN(Skills!W3,Inputs!$B$37))),0)</f>
        <v/>
      </c>
    </row>
    <row r="1214">
      <c r="A1214">
        <f>Skills!A4</f>
        <v/>
      </c>
      <c r="B1214">
        <f>Skills!B4</f>
        <v/>
      </c>
      <c r="C1214">
        <f>Inputs!$B$3&gt;=40</f>
        <v/>
      </c>
      <c r="D1214">
        <f>IF(Skills!C4=1,60+Inputs!$B$25+Inputs!$B$29,IF(Skills!C4=2,90+Inputs!$B$26+Inputs!$B$29,IF(Skills!C4=3,120+Inputs!$B$27+Inputs!$B$29,MAX(0,(Inputs!$B$3-100)*3)+Inputs!$B$28+Inputs!$B$29)))</f>
        <v/>
      </c>
      <c r="E1214">
        <f>INDEX(FactorTable!$B$2:$Y$301, MATCH(ROUND(MIN(300,MAX(1,D1214)),0), FactorTable!$A$2:$A$301,0), Skills!M4+1)</f>
        <v/>
      </c>
      <c r="F1214">
        <f>IF(Skills!N4=TRUE,(Skills!L4/10)*(E1214/1000),Skills!L4/10)+Skills!O4</f>
        <v/>
      </c>
      <c r="G1214">
        <f>Calc!G4</f>
        <v/>
      </c>
      <c r="H1214">
        <f>Calc!H4</f>
        <v/>
      </c>
      <c r="I1214">
        <f>IF(Skills!AA4&lt;&gt;"",1+(Skills!AA4/10)*(U1213/1000)/100,1)</f>
        <v/>
      </c>
      <c r="J1214">
        <f>((Inputs!$B$6*(1+Inputs!$B$7/100))+(((Inputs!$B$12*(1+Inputs!$B$13/100))-(Inputs!$B$12*(1+Inputs!$B$13/100)))+0.25*(Inputs!$B$14-Inputs!$B$14))*(1+Inputs!$B$7/100))*(F1214/100)</f>
        <v/>
      </c>
      <c r="K1214">
        <f>J1214*(1+((Inputs!$B$12*(1+Inputs!$B$13/100))*0.01+Inputs!$B$14*0.0025)/100)*(1+Inputs!$B$15/100)*(1+Inputs!$B$16/100)*(5000/(6000+Inputs!$B$43*(1-Inputs!$B$19/100)))*(1+(Inputs!$B$24+((C1240=TRUE)*(F1240-Calc!F30)))/100)*(1+Skills!R4/100)*(1+(IF(Skills!A4="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1214)</f>
        <v/>
      </c>
      <c r="L1214">
        <f>K1214*(MIN(Inputs!$B$22+((C1234=TRUE)*(F1234-Calc!F24)),Inputs!$B$23)/100+Inputs!$B$23/100)/2</f>
        <v/>
      </c>
      <c r="M1214">
        <f>L1214*(1+(Inputs!$B$10+((C1236=TRUE)*(F1236-Calc!F26))+B1253)/100)</f>
        <v/>
      </c>
      <c r="N1214">
        <f>L1214*(1-MIN((Inputs!$B$9+((C1235=TRUE)*(F1235-Calc!F25))+B1250),100)/100)+M1214*(MIN((Inputs!$B$9+((C1235=TRUE)*(F1235-Calc!F25))+B1250),100)/100)</f>
        <v/>
      </c>
      <c r="O1214">
        <f>(1-Summary!$B$55)*T1214+Summary!$B$55*V1214</f>
        <v/>
      </c>
      <c r="P1214">
        <f>IF(B1254=0,0,O1214/B1254)</f>
        <v/>
      </c>
      <c r="Q1214">
        <f>IFERROR(1/IF(Inputs!$B$39="pvp",15,MAX(0.1,Skills!D4-IF(Skills!E4=TRUE,Inputs!$B$32,0))),0)</f>
        <v/>
      </c>
      <c r="R1214">
        <f>IF(AND(Inputs!$B$39&lt;&gt;"pvp",Inputs!$B$44&gt;0),IF(MAX(0,Inputs!$B$44-B1255)&lt;=0,0,(INT(MAX(0,Inputs!$B$44-B1255)/IF(Inputs!$B$39="pvp",15,MAX(0.1,Skills!D4-IF(Skills!E4=TRUE,Inputs!$B$32,0))))+1)),0)</f>
        <v/>
      </c>
      <c r="S1214">
        <f>IFERROR(O1214/N1214,0)</f>
        <v/>
      </c>
      <c r="T1214">
        <f>IF(C1214,(H1214*N1214*IF(AND(Inputs!$B$39&lt;&gt;"pvp",Inputs!$B$44&gt;0),((Skills!G4*((R1214-1)*IF(Skills!H4&gt;0,Skills!I4/Skills!H4,1)+IF(Skills!H4&gt;0,MIN(Skills!I4,MAX(0,MAX(0,Inputs!$B$44-B1255)-((R1214-1)*IF(Inputs!$B$39="pvp",15,MAX(0.1,Skills!D4-IF(Skills!E4=TRUE,Inputs!$B$32,0))))))/Skills!H4,1)))/Inputs!$B$44),G1214*Q1214))*IF(Inputs!$B$39="pvp",1,1+(Inputs!$B$20+((C1237=TRUE)*(F1237-Calc!F27))+Skills!P4+B1251)/100),0)</f>
        <v/>
      </c>
      <c r="U1214">
        <f>MAX(0,(Inputs!$B$3-100)*3)+Inputs!$B$28+Inputs!$B$29</f>
        <v/>
      </c>
      <c r="V1214">
        <f>IF(C1214,(H1214*N1214*IF(AND(Inputs!$B$39&lt;&gt;"pvp",Inputs!$B$44&gt;0),((Skills!G4*((R1214-1)*IF(Skills!H4&gt;0,Skills!I4/Skills!H4,1)+IF(Skills!H4&gt;0,MIN(Skills!I4,MAX(0,MAX(0,Inputs!$B$44-B1255)-((R1214-1)*IF(Inputs!$B$39="pvp",15,MAX(0.1,Skills!D4-IF(Skills!E4=TRUE,Inputs!$B$32,0))))))/Skills!H4,1)))/Inputs!$B$44),G1214*Q1214))*IF(Inputs!$B$39="pvp",1,(1+(Inputs!$B$21+Skills!Q4+B1251)/100)*(MIN(Skills!W4,Inputs!$B$37))),0)</f>
        <v/>
      </c>
    </row>
    <row r="1215">
      <c r="A1215">
        <f>Skills!A5</f>
        <v/>
      </c>
      <c r="B1215">
        <f>Skills!B5</f>
        <v/>
      </c>
      <c r="C1215">
        <f>Inputs!$B$3&gt;=63</f>
        <v/>
      </c>
      <c r="D1215">
        <f>IF(Skills!C5=1,60+Inputs!$B$25+Inputs!$B$29,IF(Skills!C5=2,90+Inputs!$B$26+Inputs!$B$29,IF(Skills!C5=3,120+Inputs!$B$27+Inputs!$B$29,MAX(0,(Inputs!$B$3-100)*3)+Inputs!$B$28+Inputs!$B$29)))</f>
        <v/>
      </c>
      <c r="E1215">
        <f>INDEX(FactorTable!$B$2:$Y$301, MATCH(ROUND(MIN(300,MAX(1,D1215)),0), FactorTable!$A$2:$A$301,0), Skills!M5+1)</f>
        <v/>
      </c>
      <c r="F1215">
        <f>IF(Skills!N5=TRUE,(Skills!L5/10)*(E1215/1000),Skills!L5/10)+Skills!O5</f>
        <v/>
      </c>
      <c r="G1215">
        <f>Calc!G5</f>
        <v/>
      </c>
      <c r="H1215">
        <f>Calc!H5</f>
        <v/>
      </c>
      <c r="I1215">
        <f>IF(Skills!AA5&lt;&gt;"",1+(Skills!AA5/10)*(U1213/1000)/100,1)</f>
        <v/>
      </c>
      <c r="J1215">
        <f>((Inputs!$B$6*(1+Inputs!$B$7/100))+(((Inputs!$B$12*(1+Inputs!$B$13/100))-(Inputs!$B$12*(1+Inputs!$B$13/100)))+0.25*(Inputs!$B$14-Inputs!$B$14))*(1+Inputs!$B$7/100))*(F1215/100)</f>
        <v/>
      </c>
      <c r="K1215">
        <f>J1215*(1+((Inputs!$B$12*(1+Inputs!$B$13/100))*0.01+Inputs!$B$14*0.0025)/100)*(1+Inputs!$B$15/100)*(1+Inputs!$B$16/100)*(5000/(6000+Inputs!$B$43*(1-Inputs!$B$19/100)))*(1+(Inputs!$B$24+((C1240=TRUE)*(F1240-Calc!F30)))/100)*(1+Skills!R5/100)*(1+(IF(Skills!A5="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1215)</f>
        <v/>
      </c>
      <c r="L1215">
        <f>K1215*(MIN(Inputs!$B$22+((C1234=TRUE)*(F1234-Calc!F24)),Inputs!$B$23)/100+Inputs!$B$23/100)/2</f>
        <v/>
      </c>
      <c r="M1215">
        <f>L1215*(1+(Inputs!$B$10+((C1236=TRUE)*(F1236-Calc!F26))+B1253)/100)</f>
        <v/>
      </c>
      <c r="N1215">
        <f>L1215*(1-MIN((Inputs!$B$9+((C1235=TRUE)*(F1235-Calc!F25))+B1250),100)/100)+M1215*(MIN((Inputs!$B$9+((C1235=TRUE)*(F1235-Calc!F25))+B1250),100)/100)</f>
        <v/>
      </c>
      <c r="O1215">
        <f>(1-Summary!$B$55)*T1215+Summary!$B$55*V1215</f>
        <v/>
      </c>
      <c r="P1215">
        <f>IF(B1254=0,0,O1215/B1254)</f>
        <v/>
      </c>
      <c r="Q1215">
        <f>IFERROR(1/IF(Inputs!$B$39="pvp",15,MAX(0.1,Skills!D5-IF(Skills!E5=TRUE,Inputs!$B$32,0))),0)</f>
        <v/>
      </c>
      <c r="R1215">
        <f>IF(AND(Inputs!$B$39&lt;&gt;"pvp",Inputs!$B$44&gt;0),IF(MAX(0,Inputs!$B$44-B1255)&lt;=0,0,(INT(MAX(0,Inputs!$B$44-B1255)/IF(Inputs!$B$39="pvp",15,MAX(0.1,Skills!D5-IF(Skills!E5=TRUE,Inputs!$B$32,0))))+1)),0)</f>
        <v/>
      </c>
      <c r="S1215">
        <f>IFERROR(O1215/N1215,0)</f>
        <v/>
      </c>
      <c r="T1215">
        <f>IF(C1215,(H1215*N1215*IF(AND(Inputs!$B$39&lt;&gt;"pvp",Inputs!$B$44&gt;0),((Skills!G5*((R1215-1)*IF(Skills!H5&gt;0,Skills!I5/Skills!H5,1)+IF(Skills!H5&gt;0,MIN(Skills!I5,MAX(0,MAX(0,Inputs!$B$44-B1255)-((R1215-1)*IF(Inputs!$B$39="pvp",15,MAX(0.1,Skills!D5-IF(Skills!E5=TRUE,Inputs!$B$32,0))))))/Skills!H5,1)))/Inputs!$B$44),G1215*Q1215))*IF(Inputs!$B$39="pvp",1,1+(Inputs!$B$20+((C1237=TRUE)*(F1237-Calc!F27))+Skills!P5+B1251)/100),0)</f>
        <v/>
      </c>
      <c r="U1215">
        <f>INDEX(FactorTable!$B$2:$Y$301, MATCH(ROUND(MIN(300,MAX(1,U1214)),0), FactorTable!$A$2:$A$301,0), 22)</f>
        <v/>
      </c>
      <c r="V1215">
        <f>IF(C1215,(H1215*N1215*IF(AND(Inputs!$B$39&lt;&gt;"pvp",Inputs!$B$44&gt;0),((Skills!G5*((R1215-1)*IF(Skills!H5&gt;0,Skills!I5/Skills!H5,1)+IF(Skills!H5&gt;0,MIN(Skills!I5,MAX(0,MAX(0,Inputs!$B$44-B1255)-((R1215-1)*IF(Inputs!$B$39="pvp",15,MAX(0.1,Skills!D5-IF(Skills!E5=TRUE,Inputs!$B$32,0))))))/Skills!H5,1)))/Inputs!$B$44),G1215*Q1215))*IF(Inputs!$B$39="pvp",1,(1+(Inputs!$B$21+Skills!Q5+B1251)/100)*(MIN(Skills!W5,Inputs!$B$37))),0)</f>
        <v/>
      </c>
    </row>
    <row r="1216">
      <c r="A1216">
        <f>Skills!A6</f>
        <v/>
      </c>
      <c r="B1216">
        <f>Skills!B6</f>
        <v/>
      </c>
      <c r="C1216">
        <f>Inputs!$B$3&gt;=66</f>
        <v/>
      </c>
      <c r="D1216">
        <f>IF(Skills!C6=1,60+Inputs!$B$25+Inputs!$B$29,IF(Skills!C6=2,90+Inputs!$B$26+Inputs!$B$29,IF(Skills!C6=3,120+Inputs!$B$27+Inputs!$B$29,MAX(0,(Inputs!$B$3-100)*3)+Inputs!$B$28+Inputs!$B$29)))</f>
        <v/>
      </c>
      <c r="E1216">
        <f>INDEX(FactorTable!$B$2:$Y$301, MATCH(ROUND(MIN(300,MAX(1,D1216)),0), FactorTable!$A$2:$A$301,0), Skills!M6+1)</f>
        <v/>
      </c>
      <c r="F1216">
        <f>IF(Skills!N6=TRUE,(Skills!L6/10)*(E1216/1000),Skills!L6/10)+Skills!O6</f>
        <v/>
      </c>
      <c r="G1216">
        <f>Calc!G6</f>
        <v/>
      </c>
      <c r="H1216">
        <f>Calc!H6</f>
        <v/>
      </c>
      <c r="I1216">
        <f>IF(Skills!AA6&lt;&gt;"",1+(Skills!AA6/10)*(U1213/1000)/100,1)</f>
        <v/>
      </c>
      <c r="J1216" t="inlineStr"/>
      <c r="K1216" t="inlineStr"/>
      <c r="L1216" t="inlineStr"/>
      <c r="M1216" t="inlineStr"/>
      <c r="N1216" t="inlineStr"/>
      <c r="O1216">
        <f>(1-Summary!$B$55)*T1216+Summary!$B$55*V1216</f>
        <v/>
      </c>
      <c r="P1216">
        <f>IF(B1254=0,0,O1216/B1254)</f>
        <v/>
      </c>
      <c r="Q1216" t="n">
        <v>0</v>
      </c>
      <c r="R1216" t="n">
        <v>0</v>
      </c>
      <c r="S1216">
        <f>IFERROR(O1216/N1216,0)</f>
        <v/>
      </c>
      <c r="T1216" t="n">
        <v>0</v>
      </c>
      <c r="U1216">
        <f>290*U1215/1000</f>
        <v/>
      </c>
      <c r="V1216" t="n">
        <v>0</v>
      </c>
    </row>
    <row r="1217">
      <c r="A1217">
        <f>Skills!A7</f>
        <v/>
      </c>
      <c r="B1217">
        <f>Skills!B7</f>
        <v/>
      </c>
      <c r="C1217">
        <f>Inputs!$B$3&gt;=66</f>
        <v/>
      </c>
      <c r="D1217">
        <f>IF(Skills!C7=1,60+Inputs!$B$25+Inputs!$B$29,IF(Skills!C7=2,90+Inputs!$B$26+Inputs!$B$29,IF(Skills!C7=3,120+Inputs!$B$27+Inputs!$B$29,MAX(0,(Inputs!$B$3-100)*3)+Inputs!$B$28+Inputs!$B$29)))</f>
        <v/>
      </c>
      <c r="E1217">
        <f>INDEX(FactorTable!$B$2:$Y$301, MATCH(ROUND(MIN(300,MAX(1,D1217)),0), FactorTable!$A$2:$A$301,0), Skills!M7+1)</f>
        <v/>
      </c>
      <c r="F1217">
        <f>IF(Skills!N7=TRUE,(Skills!L7/10)*(E1217/1000),Skills!L7/10)+Skills!O7</f>
        <v/>
      </c>
      <c r="G1217">
        <f>Calc!G7</f>
        <v/>
      </c>
      <c r="H1217">
        <f>Calc!H7</f>
        <v/>
      </c>
      <c r="I1217">
        <f>IF(Skills!AA7&lt;&gt;"",1+(Skills!AA7/10)*(U1213/1000)/100,1)</f>
        <v/>
      </c>
      <c r="J1217" t="inlineStr"/>
      <c r="K1217" t="inlineStr"/>
      <c r="L1217" t="inlineStr"/>
      <c r="M1217" t="inlineStr"/>
      <c r="N1217" t="inlineStr"/>
      <c r="O1217">
        <f>(1-Summary!$B$55)*T1217+Summary!$B$55*V1217</f>
        <v/>
      </c>
      <c r="P1217">
        <f>IF(B1254=0,0,O1217/B1254)</f>
        <v/>
      </c>
      <c r="Q1217" t="n">
        <v>0</v>
      </c>
      <c r="R1217" t="n">
        <v>0</v>
      </c>
      <c r="S1217">
        <f>IFERROR(O1217/N1217,0)</f>
        <v/>
      </c>
      <c r="T1217" t="n">
        <v>0</v>
      </c>
      <c r="V1217" t="n">
        <v>0</v>
      </c>
    </row>
    <row r="1218">
      <c r="A1218">
        <f>Skills!A8</f>
        <v/>
      </c>
      <c r="B1218">
        <f>Skills!B8</f>
        <v/>
      </c>
      <c r="C1218">
        <f>Inputs!$B$3&gt;=69</f>
        <v/>
      </c>
      <c r="D1218">
        <f>IF(Skills!C8=1,60+Inputs!$B$25+Inputs!$B$29,IF(Skills!C8=2,90+Inputs!$B$26+Inputs!$B$29,IF(Skills!C8=3,120+Inputs!$B$27+Inputs!$B$29,MAX(0,(Inputs!$B$3-100)*3)+Inputs!$B$28+Inputs!$B$29)))</f>
        <v/>
      </c>
      <c r="E1218">
        <f>INDEX(FactorTable!$B$2:$Y$301, MATCH(ROUND(MIN(300,MAX(1,D1218)),0), FactorTable!$A$2:$A$301,0), Skills!M8+1)</f>
        <v/>
      </c>
      <c r="F1218">
        <f>IF(Skills!N8=TRUE,(Skills!L8/10)*(E1218/1000),Skills!L8/10)+Skills!O8</f>
        <v/>
      </c>
      <c r="G1218">
        <f>Calc!G8</f>
        <v/>
      </c>
      <c r="H1218">
        <f>Calc!H8</f>
        <v/>
      </c>
      <c r="I1218">
        <f>IF(Skills!AA8&lt;&gt;"",1+(Skills!AA8/10)*(U1213/1000)/100,1)</f>
        <v/>
      </c>
      <c r="J1218">
        <f>((Inputs!$B$6*(1+Inputs!$B$7/100))+(((Inputs!$B$12*(1+Inputs!$B$13/100))-(Inputs!$B$12*(1+Inputs!$B$13/100)))+0.25*(Inputs!$B$14-Inputs!$B$14))*(1+Inputs!$B$7/100))*(F1218/100)</f>
        <v/>
      </c>
      <c r="K1218">
        <f>J1218*(1+((Inputs!$B$12*(1+Inputs!$B$13/100))*0.01+Inputs!$B$14*0.0025)/100)*(1+Inputs!$B$15/100)*(1+Inputs!$B$16/100)*(5000/(6000+Inputs!$B$43*(1-Inputs!$B$19/100)))*(1+(Inputs!$B$24+((C1240=TRUE)*(F1240-Calc!F30)))/100)*(1+Skills!R8/100)*(1+(IF(Skills!A8="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1218)</f>
        <v/>
      </c>
      <c r="L1218">
        <f>K1218*(MIN(Inputs!$B$22+((C1234=TRUE)*(F1234-Calc!F24)),Inputs!$B$23)/100+Inputs!$B$23/100)/2</f>
        <v/>
      </c>
      <c r="M1218">
        <f>L1218*(1+(Inputs!$B$10+((C1236=TRUE)*(F1236-Calc!F26))+B1253)/100)</f>
        <v/>
      </c>
      <c r="N1218">
        <f>L1218*(1-MIN((Inputs!$B$9+((C1235=TRUE)*(F1235-Calc!F25))+B1250),100)/100)+M1218*(MIN((Inputs!$B$9+((C1235=TRUE)*(F1235-Calc!F25))+B1250),100)/100)</f>
        <v/>
      </c>
      <c r="O1218">
        <f>(1-Summary!$B$55)*T1218+Summary!$B$55*V1218</f>
        <v/>
      </c>
      <c r="P1218">
        <f>IF(B1254=0,0,O1218/B1254)</f>
        <v/>
      </c>
      <c r="Q1218">
        <f>IFERROR(1/IF(Inputs!$B$39="pvp",15,MAX(0.1,Skills!D8-IF(Skills!E8=TRUE,Inputs!$B$32,0))),0)</f>
        <v/>
      </c>
      <c r="R1218">
        <f>IF(AND(Inputs!$B$39&lt;&gt;"pvp",Inputs!$B$44&gt;0),IF(MAX(0,Inputs!$B$44-B1255)&lt;=0,0,(INT(MAX(0,Inputs!$B$44-B1255)/IF(Inputs!$B$39="pvp",15,MAX(0.1,Skills!D8-IF(Skills!E8=TRUE,Inputs!$B$32,0))))+1)),0)</f>
        <v/>
      </c>
      <c r="S1218">
        <f>IFERROR(O1218/N1218,0)</f>
        <v/>
      </c>
      <c r="T1218">
        <f>IF(C1218,(H1218*N1218*IF(AND(Inputs!$B$39&lt;&gt;"pvp",Inputs!$B$44&gt;0),((Skills!G8*((R1218-1)*IF(Skills!H8&gt;0,Skills!I8/Skills!H8,1)+IF(Skills!H8&gt;0,MIN(Skills!I8,MAX(0,MAX(0,Inputs!$B$44-B1255)-((R1218-1)*IF(Inputs!$B$39="pvp",15,MAX(0.1,Skills!D8-IF(Skills!E8=TRUE,Inputs!$B$32,0))))))/Skills!H8,1)))/Inputs!$B$44),G1218*Q1218))*IF(Inputs!$B$39="pvp",1,1+(Inputs!$B$20+((C1237=TRUE)*(F1237-Calc!F27))+Skills!P8+B1251)/100),0)</f>
        <v/>
      </c>
      <c r="V1218">
        <f>IF(C1218,(H1218*N1218*IF(AND(Inputs!$B$39&lt;&gt;"pvp",Inputs!$B$44&gt;0),((Skills!G8*((R1218-1)*IF(Skills!H8&gt;0,Skills!I8/Skills!H8,1)+IF(Skills!H8&gt;0,MIN(Skills!I8,MAX(0,MAX(0,Inputs!$B$44-B1255)-((R1218-1)*IF(Inputs!$B$39="pvp",15,MAX(0.1,Skills!D8-IF(Skills!E8=TRUE,Inputs!$B$32,0))))))/Skills!H8,1)))/Inputs!$B$44),G1218*Q1218))*IF(Inputs!$B$39="pvp",1,(1+(Inputs!$B$21+Skills!Q8+B1251)/100)*(MIN(Skills!W8,Inputs!$B$37))),0)</f>
        <v/>
      </c>
    </row>
    <row r="1219">
      <c r="A1219">
        <f>Skills!A9</f>
        <v/>
      </c>
      <c r="B1219">
        <f>Skills!B9</f>
        <v/>
      </c>
      <c r="C1219">
        <f>Inputs!$B$3&gt;=72</f>
        <v/>
      </c>
      <c r="D1219">
        <f>IF(Skills!C9=1,60+Inputs!$B$25+Inputs!$B$29,IF(Skills!C9=2,90+Inputs!$B$26+Inputs!$B$29,IF(Skills!C9=3,120+Inputs!$B$27+Inputs!$B$29,MAX(0,(Inputs!$B$3-100)*3)+Inputs!$B$28+Inputs!$B$29)))</f>
        <v/>
      </c>
      <c r="E1219">
        <f>INDEX(FactorTable!$B$2:$Y$301, MATCH(ROUND(MIN(300,MAX(1,D1219)),0), FactorTable!$A$2:$A$301,0), Skills!M9+1)</f>
        <v/>
      </c>
      <c r="F1219">
        <f>IF(Skills!N9=TRUE,(Skills!L9/10)*(E1219/1000),Skills!L9/10)+Skills!O9</f>
        <v/>
      </c>
      <c r="G1219">
        <f>Calc!G9</f>
        <v/>
      </c>
      <c r="H1219">
        <f>Calc!H9</f>
        <v/>
      </c>
      <c r="I1219">
        <f>IF(Skills!AA9&lt;&gt;"",1+(Skills!AA9/10)*(U1213/1000)/100,1)</f>
        <v/>
      </c>
      <c r="J1219">
        <f>((Inputs!$B$6*(1+Inputs!$B$7/100))+(((Inputs!$B$12*(1+Inputs!$B$13/100))-(Inputs!$B$12*(1+Inputs!$B$13/100)))+0.25*(Inputs!$B$14-Inputs!$B$14))*(1+Inputs!$B$7/100))*(F1219/100)</f>
        <v/>
      </c>
      <c r="K1219">
        <f>J1219*(1+((Inputs!$B$12*(1+Inputs!$B$13/100))*0.01+Inputs!$B$14*0.0025)/100)*(1+Inputs!$B$15/100)*(1+Inputs!$B$16/100)*(5000/(6000+Inputs!$B$43*(1-Inputs!$B$19/100)))*(1+(Inputs!$B$24+((C1240=TRUE)*(F1240-Calc!F30)))/100)*(1+Skills!R9/100)*(1+(IF(Skills!A9="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1219)</f>
        <v/>
      </c>
      <c r="L1219">
        <f>K1219*(MIN(Inputs!$B$22+((C1234=TRUE)*(F1234-Calc!F24)),Inputs!$B$23)/100+Inputs!$B$23/100)/2</f>
        <v/>
      </c>
      <c r="M1219">
        <f>L1219*(1+(Inputs!$B$10+((C1236=TRUE)*(F1236-Calc!F26))+B1253)/100)</f>
        <v/>
      </c>
      <c r="N1219">
        <f>L1219*(1-MIN((Inputs!$B$9+((C1235=TRUE)*(F1235-Calc!F25))+B1250),100)/100)+M1219*(MIN((Inputs!$B$9+((C1235=TRUE)*(F1235-Calc!F25))+B1250),100)/100)</f>
        <v/>
      </c>
      <c r="O1219">
        <f>(1-Summary!$B$55)*T1219+Summary!$B$55*V1219</f>
        <v/>
      </c>
      <c r="P1219">
        <f>IF(B1254=0,0,O1219/B1254)</f>
        <v/>
      </c>
      <c r="Q1219">
        <f>IFERROR(1/IF(Inputs!$B$39="pvp",15,MAX(0.1,Skills!D9-IF(Skills!E9=TRUE,Inputs!$B$32,0))),0)</f>
        <v/>
      </c>
      <c r="R1219">
        <f>IF(AND(Inputs!$B$39&lt;&gt;"pvp",Inputs!$B$44&gt;0),IF(MAX(0,Inputs!$B$44-B1255)&lt;=0,0,(INT(MAX(0,Inputs!$B$44-B1255)/IF(Inputs!$B$39="pvp",15,MAX(0.1,Skills!D9-IF(Skills!E9=TRUE,Inputs!$B$32,0))))+1)),0)</f>
        <v/>
      </c>
      <c r="S1219">
        <f>IFERROR(O1219/N1219,0)</f>
        <v/>
      </c>
      <c r="T1219">
        <f>IF(C1219,(H1219*N1219*IF(AND(Inputs!$B$39&lt;&gt;"pvp",Inputs!$B$44&gt;0),((Skills!G9*((R1219-1)*IF(Skills!H9&gt;0,Skills!I9/Skills!H9,1)+IF(Skills!H9&gt;0,MIN(Skills!I9,MAX(0,MAX(0,Inputs!$B$44-B1255)-((R1219-1)*IF(Inputs!$B$39="pvp",15,MAX(0.1,Skills!D9-IF(Skills!E9=TRUE,Inputs!$B$32,0))))))/Skills!H9,1)))/Inputs!$B$44),G1219*Q1219))*IF(Inputs!$B$39="pvp",1,1+(Inputs!$B$20+((C1237=TRUE)*(F1237-Calc!F27))+Skills!P9+B1251)/100),0)</f>
        <v/>
      </c>
      <c r="V1219">
        <f>IF(C1219,(H1219*N1219*IF(AND(Inputs!$B$39&lt;&gt;"pvp",Inputs!$B$44&gt;0),((Skills!G9*((R1219-1)*IF(Skills!H9&gt;0,Skills!I9/Skills!H9,1)+IF(Skills!H9&gt;0,MIN(Skills!I9,MAX(0,MAX(0,Inputs!$B$44-B1255)-((R1219-1)*IF(Inputs!$B$39="pvp",15,MAX(0.1,Skills!D9-IF(Skills!E9=TRUE,Inputs!$B$32,0))))))/Skills!H9,1)))/Inputs!$B$44),G1219*Q1219))*IF(Inputs!$B$39="pvp",1,(1+(Inputs!$B$21+Skills!Q9+B1251)/100)*(MIN(Skills!W9,Inputs!$B$37))),0)</f>
        <v/>
      </c>
    </row>
    <row r="1220">
      <c r="A1220">
        <f>Skills!A10</f>
        <v/>
      </c>
      <c r="B1220">
        <f>Skills!B10</f>
        <v/>
      </c>
      <c r="C1220">
        <f>Inputs!$B$3&gt;=117</f>
        <v/>
      </c>
      <c r="D1220">
        <f>IF(Skills!C10=1,60+Inputs!$B$25+Inputs!$B$29,IF(Skills!C10=2,90+Inputs!$B$26+Inputs!$B$29,IF(Skills!C10=3,120+Inputs!$B$27+Inputs!$B$29,MAX(0,(Inputs!$B$3-100)*3)+Inputs!$B$28+Inputs!$B$29)))</f>
        <v/>
      </c>
      <c r="E1220">
        <f>INDEX(FactorTable!$B$2:$Y$301, MATCH(ROUND(MIN(300,MAX(1,D1220)),0), FactorTable!$A$2:$A$301,0), Skills!M10+1)</f>
        <v/>
      </c>
      <c r="F1220">
        <f>IF(Skills!N10=TRUE,(Skills!L10/10)*(E1220/1000),Skills!L10/10)+Skills!O10</f>
        <v/>
      </c>
      <c r="G1220">
        <f>Calc!G10</f>
        <v/>
      </c>
      <c r="H1220">
        <f>Calc!H10</f>
        <v/>
      </c>
      <c r="I1220">
        <f>IF(Skills!AA10&lt;&gt;"",1+(Skills!AA10/10)*(U1213/1000)/100,1)</f>
        <v/>
      </c>
      <c r="J1220">
        <f>((Inputs!$B$6*(1+Inputs!$B$7/100))+(((Inputs!$B$12*(1+Inputs!$B$13/100))-(Inputs!$B$12*(1+Inputs!$B$13/100)))+0.25*(Inputs!$B$14-Inputs!$B$14))*(1+Inputs!$B$7/100))*(F1220/100)</f>
        <v/>
      </c>
      <c r="K1220">
        <f>J1220*(1+((Inputs!$B$12*(1+Inputs!$B$13/100))*0.01+Inputs!$B$14*0.0025)/100)*(1+Inputs!$B$15/100)*(1+Inputs!$B$16/100)*(5000/(6000+Inputs!$B$43*(1-Inputs!$B$19/100)))*(1+(Inputs!$B$24+((C1240=TRUE)*(F1240-Calc!F30)))/100)*(1+Skills!R10/100)*(1+(IF(Skills!A10="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1220)</f>
        <v/>
      </c>
      <c r="L1220">
        <f>K1220*(MIN(Inputs!$B$22+((C1234=TRUE)*(F1234-Calc!F24)),Inputs!$B$23)/100+Inputs!$B$23/100)/2</f>
        <v/>
      </c>
      <c r="M1220">
        <f>L1220*(1+(Inputs!$B$10+((C1236=TRUE)*(F1236-Calc!F26))+B1253)/100)</f>
        <v/>
      </c>
      <c r="N1220">
        <f>L1220*(1-MIN((Inputs!$B$9+((C1235=TRUE)*(F1235-Calc!F25))+B1250),100)/100)+M1220*(MIN((Inputs!$B$9+((C1235=TRUE)*(F1235-Calc!F25))+B1250),100)/100)</f>
        <v/>
      </c>
      <c r="O1220">
        <f>(1-Summary!$B$55)*T1220+Summary!$B$55*V1220</f>
        <v/>
      </c>
      <c r="P1220">
        <f>IF(B1254=0,0,O1220/B1254)</f>
        <v/>
      </c>
      <c r="Q1220" t="n">
        <v>0</v>
      </c>
      <c r="R1220" t="n">
        <v>0</v>
      </c>
      <c r="S1220" t="n">
        <v>0</v>
      </c>
      <c r="T1220">
        <f>IF(C1220,(0.2*SUMPRODUCT((Skills!Z2:Z31=TRUE)*(C1212:C1241=TRUE)*S1212:S1241)*N1220)*IF(Inputs!$B$39="pvp",1,1+(Inputs!$B$20+((C1237=TRUE)*(F1237-Calc!F27))+Skills!P10+B1251)/100),0)</f>
        <v/>
      </c>
      <c r="V1220">
        <f>IF(C1220,(0.2*SUMPRODUCT((Skills!Z2:Z31=TRUE)*(C1212:C1241=TRUE)*S1212:S1241)*N1220)*IF(Inputs!$B$39="pvp",1,(1+(Inputs!$B$21+Skills!Q10+B1251)/100)*(MIN(Skills!W10,Inputs!$B$37))),0)</f>
        <v/>
      </c>
    </row>
    <row r="1221">
      <c r="A1221">
        <f>Skills!A11</f>
        <v/>
      </c>
      <c r="B1221">
        <f>Skills!B11</f>
        <v/>
      </c>
      <c r="C1221">
        <f>Inputs!$B$3&gt;=60</f>
        <v/>
      </c>
      <c r="D1221">
        <f>IF(Skills!C11=1,60+Inputs!$B$25+Inputs!$B$29,IF(Skills!C11=2,90+Inputs!$B$26+Inputs!$B$29,IF(Skills!C11=3,120+Inputs!$B$27+Inputs!$B$29,MAX(0,(Inputs!$B$3-100)*3)+Inputs!$B$28+Inputs!$B$29)))</f>
        <v/>
      </c>
      <c r="E1221">
        <f>INDEX(FactorTable!$B$2:$Y$301, MATCH(ROUND(MIN(300,MAX(1,D1221)),0), FactorTable!$A$2:$A$301,0), Skills!M11+1)</f>
        <v/>
      </c>
      <c r="F1221">
        <f>IF(Skills!N11=TRUE,(Skills!L11/10)*(E1221/1000),Skills!L11/10)+Skills!O11</f>
        <v/>
      </c>
      <c r="G1221">
        <f>Calc!G11</f>
        <v/>
      </c>
      <c r="H1221">
        <f>Calc!H11</f>
        <v/>
      </c>
      <c r="I1221">
        <f>IF(Skills!AA11&lt;&gt;"",1+(Skills!AA11/10)*(U1213/1000)/100,1)</f>
        <v/>
      </c>
      <c r="J1221" t="inlineStr"/>
      <c r="K1221" t="inlineStr"/>
      <c r="L1221" t="inlineStr"/>
      <c r="M1221" t="inlineStr"/>
      <c r="N1221" t="inlineStr"/>
      <c r="O1221">
        <f>(1-Summary!$B$55)*T1221+Summary!$B$55*V1221</f>
        <v/>
      </c>
      <c r="P1221">
        <f>IF(B1254=0,0,O1221/B1254)</f>
        <v/>
      </c>
      <c r="Q1221" t="n">
        <v>0</v>
      </c>
      <c r="R1221" t="n">
        <v>0</v>
      </c>
      <c r="S1221">
        <f>IFERROR(O1221/N1221,0)</f>
        <v/>
      </c>
      <c r="T1221" t="n">
        <v>0</v>
      </c>
      <c r="V1221" t="n">
        <v>0</v>
      </c>
    </row>
    <row r="1222">
      <c r="A1222">
        <f>Skills!A12</f>
        <v/>
      </c>
      <c r="B1222">
        <f>Skills!B12</f>
        <v/>
      </c>
      <c r="C1222">
        <f>Inputs!$B$3&gt;=103</f>
        <v/>
      </c>
      <c r="D1222">
        <f>IF(Skills!C12=1,60+Inputs!$B$25+Inputs!$B$29,IF(Skills!C12=2,90+Inputs!$B$26+Inputs!$B$29,IF(Skills!C12=3,120+Inputs!$B$27+Inputs!$B$29,MAX(0,(Inputs!$B$3-100)*3)+Inputs!$B$28+Inputs!$B$29)))</f>
        <v/>
      </c>
      <c r="E1222">
        <f>INDEX(FactorTable!$B$2:$Y$301, MATCH(ROUND(MIN(300,MAX(1,D1222)),0), FactorTable!$A$2:$A$301,0), Skills!M12+1)</f>
        <v/>
      </c>
      <c r="F1222">
        <f>IF(Skills!N12=TRUE,(Skills!L12/10)*(E1222/1000),Skills!L12/10)+Skills!O12</f>
        <v/>
      </c>
      <c r="G1222">
        <f>Calc!G12</f>
        <v/>
      </c>
      <c r="H1222">
        <f>Calc!H12</f>
        <v/>
      </c>
      <c r="I1222">
        <f>IF(Skills!AA12&lt;&gt;"",1+(Skills!AA12/10)*(U1213/1000)/100,1)</f>
        <v/>
      </c>
      <c r="J1222">
        <f>((Inputs!$B$6*(1+Inputs!$B$7/100))+(((Inputs!$B$12*(1+Inputs!$B$13/100))-(Inputs!$B$12*(1+Inputs!$B$13/100)))+0.25*(Inputs!$B$14-Inputs!$B$14))*(1+Inputs!$B$7/100))*(F1222/100)</f>
        <v/>
      </c>
      <c r="K1222">
        <f>J1222*(1+((Inputs!$B$12*(1+Inputs!$B$13/100))*0.01+Inputs!$B$14*0.0025)/100)*(1+Inputs!$B$15/100)*(1+Inputs!$B$16/100)*(5000/(6000+Inputs!$B$43*(1-Inputs!$B$19/100)))*(1+(Inputs!$B$24+((C1240=TRUE)*(F1240-Calc!F30)))/100)*(1+Skills!R12/100)*(1+(IF(Skills!A12="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1222)</f>
        <v/>
      </c>
      <c r="L1222">
        <f>K1222*(MIN(Inputs!$B$22+((C1234=TRUE)*(F1234-Calc!F24)),Inputs!$B$23)/100+Inputs!$B$23/100)/2</f>
        <v/>
      </c>
      <c r="M1222">
        <f>L1222*(1+(Inputs!$B$10+((C1236=TRUE)*(F1236-Calc!F26))+B1253)/100)</f>
        <v/>
      </c>
      <c r="N1222">
        <f>L1222*(1-MIN((Inputs!$B$9+((C1235=TRUE)*(F1235-Calc!F25))+B1250),100)/100)+M1222*(MIN((Inputs!$B$9+((C1235=TRUE)*(F1235-Calc!F25))+B1250),100)/100)</f>
        <v/>
      </c>
      <c r="O1222">
        <f>(1-Summary!$B$55)*T1222+Summary!$B$55*V1222</f>
        <v/>
      </c>
      <c r="P1222">
        <f>IF(B1254=0,0,O1222/B1254)</f>
        <v/>
      </c>
      <c r="Q1222">
        <f>IFERROR(1/IF(Inputs!$B$39="pvp",15,MAX(0.1,Skills!D12-IF(Skills!E12=TRUE,Inputs!$B$32,0))),0)</f>
        <v/>
      </c>
      <c r="R1222">
        <f>IF(AND(Inputs!$B$39&lt;&gt;"pvp",Inputs!$B$44&gt;0),IF(MAX(0,Inputs!$B$44-B1255)&lt;=0,0,(INT(MAX(0,Inputs!$B$44-B1255)/IF(Inputs!$B$39="pvp",15,MAX(0.1,Skills!D12-IF(Skills!E12=TRUE,Inputs!$B$32,0))))+1)),0)</f>
        <v/>
      </c>
      <c r="S1222">
        <f>IFERROR(O1222/N1222,0)</f>
        <v/>
      </c>
      <c r="T1222">
        <f>IF(C1222,(H1222*N1222*IF(AND(Inputs!$B$39&lt;&gt;"pvp",Inputs!$B$44&gt;0),((Skills!G12*((R1222-1)*IF(Skills!H12&gt;0,Skills!I12/Skills!H12,1)+IF(Skills!H12&gt;0,MIN(Skills!I12,MAX(0,MAX(0,Inputs!$B$44-B1255)-((R1222-1)*IF(Inputs!$B$39="pvp",15,MAX(0.1,Skills!D12-IF(Skills!E12=TRUE,Inputs!$B$32,0))))))/Skills!H12,1)))/Inputs!$B$44),G1222*Q1222))*IF(Inputs!$B$39="pvp",1,1+(Inputs!$B$20+((C1237=TRUE)*(F1237-Calc!F27))+Skills!P12+B1251)/100),0)</f>
        <v/>
      </c>
      <c r="V1222">
        <f>IF(C1222,(H1222*N1222*IF(AND(Inputs!$B$39&lt;&gt;"pvp",Inputs!$B$44&gt;0),((Skills!G12*((R1222-1)*IF(Skills!H12&gt;0,Skills!I12/Skills!H12,1)+IF(Skills!H12&gt;0,MIN(Skills!I12,MAX(0,MAX(0,Inputs!$B$44-B1255)-((R1222-1)*IF(Inputs!$B$39="pvp",15,MAX(0.1,Skills!D12-IF(Skills!E12=TRUE,Inputs!$B$32,0))))))/Skills!H12,1)))/Inputs!$B$44),G1222*Q1222))*IF(Inputs!$B$39="pvp",1,(1+(Inputs!$B$21+Skills!Q12+B1251)/100)*(MIN(Skills!W12,Inputs!$B$37))),0)</f>
        <v/>
      </c>
    </row>
    <row r="1223">
      <c r="A1223">
        <f>Skills!A13</f>
        <v/>
      </c>
      <c r="B1223">
        <f>Skills!B13</f>
        <v/>
      </c>
      <c r="C1223">
        <f>Inputs!$B$3&gt;=105</f>
        <v/>
      </c>
      <c r="D1223">
        <f>IF(Skills!C13=1,60+Inputs!$B$25+Inputs!$B$29,IF(Skills!C13=2,90+Inputs!$B$26+Inputs!$B$29,IF(Skills!C13=3,120+Inputs!$B$27+Inputs!$B$29,MAX(0,(Inputs!$B$3-100)*3)+Inputs!$B$28+Inputs!$B$29)))</f>
        <v/>
      </c>
      <c r="E1223">
        <f>INDEX(FactorTable!$B$2:$Y$301, MATCH(ROUND(MIN(300,MAX(1,D1223)),0), FactorTable!$A$2:$A$301,0), Skills!M13+1)</f>
        <v/>
      </c>
      <c r="F1223">
        <f>IF(Skills!N13=TRUE,(Skills!L13/10)*(E1223/1000),Skills!L13/10)+Skills!O13</f>
        <v/>
      </c>
      <c r="G1223">
        <f>Calc!G13</f>
        <v/>
      </c>
      <c r="H1223">
        <f>Calc!H13</f>
        <v/>
      </c>
      <c r="I1223">
        <f>IF(Skills!AA13&lt;&gt;"",1+(Skills!AA13/10)*(U1213/1000)/100,1)</f>
        <v/>
      </c>
      <c r="J1223">
        <f>((Inputs!$B$6*(1+Inputs!$B$7/100))+(((Inputs!$B$12*(1+Inputs!$B$13/100))-(Inputs!$B$12*(1+Inputs!$B$13/100)))+0.25*(Inputs!$B$14-Inputs!$B$14))*(1+Inputs!$B$7/100))*(F1223/100)</f>
        <v/>
      </c>
      <c r="K1223">
        <f>J1223*(1+((Inputs!$B$12*(1+Inputs!$B$13/100))*0.01+Inputs!$B$14*0.0025)/100)*(1+Inputs!$B$15/100)*(1+Inputs!$B$16/100)*(5000/(6000+Inputs!$B$43*(1-Inputs!$B$19/100)))*(1+(Inputs!$B$24+((C1240=TRUE)*(F1240-Calc!F30)))/100)*(1+Skills!R13/100)*(1+(IF(Skills!A13="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1223)</f>
        <v/>
      </c>
      <c r="L1223">
        <f>K1223*(MIN(Inputs!$B$22+((C1234=TRUE)*(F1234-Calc!F24)),Inputs!$B$23)/100+Inputs!$B$23/100)/2</f>
        <v/>
      </c>
      <c r="M1223">
        <f>L1223*(1+(Inputs!$B$10+((C1236=TRUE)*(F1236-Calc!F26))+B1253)/100)</f>
        <v/>
      </c>
      <c r="N1223">
        <f>L1223*(1-MIN((Inputs!$B$9+((C1235=TRUE)*(F1235-Calc!F25))+B1250),100)/100)+M1223*(MIN((Inputs!$B$9+((C1235=TRUE)*(F1235-Calc!F25))+B1250),100)/100)</f>
        <v/>
      </c>
      <c r="O1223">
        <f>(1-Summary!$B$55)*T1223+Summary!$B$55*V1223</f>
        <v/>
      </c>
      <c r="P1223">
        <f>IF(B1254=0,0,O1223/B1254)</f>
        <v/>
      </c>
      <c r="Q1223">
        <f>IFERROR(1/IF(Inputs!$B$39="pvp",15,MAX(0.1,Skills!D13-IF(Skills!E13=TRUE,Inputs!$B$32,0))),0)</f>
        <v/>
      </c>
      <c r="R1223">
        <f>IF(AND(Inputs!$B$39&lt;&gt;"pvp",Inputs!$B$44&gt;0),IF(MAX(0,Inputs!$B$44-B1255)&lt;=0,0,(INT(MAX(0,Inputs!$B$44-B1255)/IF(Inputs!$B$39="pvp",15,MAX(0.1,Skills!D13-IF(Skills!E13=TRUE,Inputs!$B$32,0))))+1)),0)</f>
        <v/>
      </c>
      <c r="S1223">
        <f>IFERROR(O1223/N1223,0)</f>
        <v/>
      </c>
      <c r="T1223">
        <f>IF(C1223,(H1223*N1223*IF(AND(Inputs!$B$39&lt;&gt;"pvp",Inputs!$B$44&gt;0),((Skills!G13*((R1223-1)*IF(Skills!H13&gt;0,Skills!I13/Skills!H13,1)+IF(Skills!H13&gt;0,MIN(Skills!I13,MAX(0,MAX(0,Inputs!$B$44-B1255)-((R1223-1)*IF(Inputs!$B$39="pvp",15,MAX(0.1,Skills!D13-IF(Skills!E13=TRUE,Inputs!$B$32,0))))))/Skills!H13,1)))/Inputs!$B$44),G1223*Q1223))*IF(Inputs!$B$39="pvp",1,1+(Inputs!$B$20+((C1237=TRUE)*(F1237-Calc!F27))+Skills!P13+B1251)/100),0)</f>
        <v/>
      </c>
      <c r="V1223">
        <f>IF(C1223,(H1223*N1223*IF(AND(Inputs!$B$39&lt;&gt;"pvp",Inputs!$B$44&gt;0),((Skills!G13*((R1223-1)*IF(Skills!H13&gt;0,Skills!I13/Skills!H13,1)+IF(Skills!H13&gt;0,MIN(Skills!I13,MAX(0,MAX(0,Inputs!$B$44-B1255)-((R1223-1)*IF(Inputs!$B$39="pvp",15,MAX(0.1,Skills!D13-IF(Skills!E13=TRUE,Inputs!$B$32,0))))))/Skills!H13,1)))/Inputs!$B$44),G1223*Q1223))*IF(Inputs!$B$39="pvp",1,(1+(Inputs!$B$21+Skills!Q13+B1251)/100)*(MIN(Skills!W13,Inputs!$B$37))),0)</f>
        <v/>
      </c>
    </row>
    <row r="1224">
      <c r="A1224">
        <f>Skills!A14</f>
        <v/>
      </c>
      <c r="B1224">
        <f>Skills!B14</f>
        <v/>
      </c>
      <c r="C1224">
        <f>Inputs!$B$3&gt;=105</f>
        <v/>
      </c>
      <c r="D1224">
        <f>IF(Skills!C14=1,60+Inputs!$B$25+Inputs!$B$29,IF(Skills!C14=2,90+Inputs!$B$26+Inputs!$B$29,IF(Skills!C14=3,120+Inputs!$B$27+Inputs!$B$29,MAX(0,(Inputs!$B$3-100)*3)+Inputs!$B$28+Inputs!$B$29)))</f>
        <v/>
      </c>
      <c r="E1224">
        <f>INDEX(FactorTable!$B$2:$Y$301, MATCH(ROUND(MIN(300,MAX(1,D1224)),0), FactorTable!$A$2:$A$301,0), Skills!M14+1)</f>
        <v/>
      </c>
      <c r="F1224">
        <f>IF(Skills!N14=TRUE,(Skills!L14/10)*(E1224/1000),Skills!L14/10)+Skills!O14</f>
        <v/>
      </c>
      <c r="G1224">
        <f>Calc!G14</f>
        <v/>
      </c>
      <c r="H1224">
        <f>Calc!H14</f>
        <v/>
      </c>
      <c r="I1224">
        <f>IF(Skills!AA14&lt;&gt;"",1+(Skills!AA14/10)*(U1213/1000)/100,1)</f>
        <v/>
      </c>
      <c r="J1224">
        <f>((Inputs!$B$6*(1+Inputs!$B$7/100))+(((Inputs!$B$12*(1+Inputs!$B$13/100))-(Inputs!$B$12*(1+Inputs!$B$13/100)))+0.25*(Inputs!$B$14-Inputs!$B$14))*(1+Inputs!$B$7/100))*(F1224/100)</f>
        <v/>
      </c>
      <c r="K1224">
        <f>J1224*(1+((Inputs!$B$12*(1+Inputs!$B$13/100))*0.01+Inputs!$B$14*0.0025)/100)*(1+Inputs!$B$15/100)*(1+Inputs!$B$16/100)*(5000/(6000+Inputs!$B$43*(1-Inputs!$B$19/100)))*(1+(Inputs!$B$24+((C1240=TRUE)*(F1240-Calc!F30)))/100)*(1+Skills!R14/100)*(1+(IF(Skills!A14="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1224)</f>
        <v/>
      </c>
      <c r="L1224">
        <f>K1224*(MIN(Inputs!$B$22+((C1234=TRUE)*(F1234-Calc!F24)),Inputs!$B$23)/100+Inputs!$B$23/100)/2</f>
        <v/>
      </c>
      <c r="M1224">
        <f>L1224*(1+(Inputs!$B$10+((C1236=TRUE)*(F1236-Calc!F26))+B1253)/100)</f>
        <v/>
      </c>
      <c r="N1224">
        <f>L1224*(1-MIN((Inputs!$B$9+((C1235=TRUE)*(F1235-Calc!F25))+B1250),100)/100)+M1224*(MIN((Inputs!$B$9+((C1235=TRUE)*(F1235-Calc!F25))+B1250),100)/100)</f>
        <v/>
      </c>
      <c r="O1224">
        <f>(1-Summary!$B$55)*T1224+Summary!$B$55*V1224</f>
        <v/>
      </c>
      <c r="P1224">
        <f>IF(B1254=0,0,O1224/B1254)</f>
        <v/>
      </c>
      <c r="Q1224">
        <f>IFERROR(1/IF(Inputs!$B$39="pvp",15,MAX(0.1,Skills!D14-IF(Skills!E14=TRUE,Inputs!$B$32,0))),0)</f>
        <v/>
      </c>
      <c r="R1224">
        <f>IF(AND(Inputs!$B$39&lt;&gt;"pvp",Inputs!$B$44&gt;0),IF(MAX(0,Inputs!$B$44-B1255)&lt;=0,0,(INT(MAX(0,Inputs!$B$44-B1255)/IF(Inputs!$B$39="pvp",15,MAX(0.1,Skills!D14-IF(Skills!E14=TRUE,Inputs!$B$32,0))))+1)),0)</f>
        <v/>
      </c>
      <c r="S1224">
        <f>IFERROR(O1224/N1224,0)</f>
        <v/>
      </c>
      <c r="T1224">
        <f>IF(C1224,(H1224*N1224*IF(AND(Inputs!$B$39&lt;&gt;"pvp",Inputs!$B$44&gt;0),((Skills!G14*((R1224-1)*IF(Skills!H14&gt;0,Skills!I14/Skills!H14,1)+IF(Skills!H14&gt;0,MIN(Skills!I14,MAX(0,MAX(0,Inputs!$B$44-B1255)-((R1224-1)*IF(Inputs!$B$39="pvp",15,MAX(0.1,Skills!D14-IF(Skills!E14=TRUE,Inputs!$B$32,0))))))/Skills!H14,1)))/Inputs!$B$44),G1224*Q1224))*IF(Inputs!$B$39="pvp",1,1+(Inputs!$B$20+((C1237=TRUE)*(F1237-Calc!F27))+Skills!P14+B1251)/100),0)</f>
        <v/>
      </c>
      <c r="V1224">
        <f>IF(C1224,(H1224*N1224*IF(AND(Inputs!$B$39&lt;&gt;"pvp",Inputs!$B$44&gt;0),((Skills!G14*((R1224-1)*IF(Skills!H14&gt;0,Skills!I14/Skills!H14,1)+IF(Skills!H14&gt;0,MIN(Skills!I14,MAX(0,MAX(0,Inputs!$B$44-B1255)-((R1224-1)*IF(Inputs!$B$39="pvp",15,MAX(0.1,Skills!D14-IF(Skills!E14=TRUE,Inputs!$B$32,0))))))/Skills!H14,1)))/Inputs!$B$44),G1224*Q1224))*IF(Inputs!$B$39="pvp",1,(1+(Inputs!$B$21+Skills!Q14+B1251)/100)*(MIN(Skills!W14,Inputs!$B$37))),0)</f>
        <v/>
      </c>
    </row>
    <row r="1225">
      <c r="A1225">
        <f>Skills!A15</f>
        <v/>
      </c>
      <c r="B1225">
        <f>Skills!B15</f>
        <v/>
      </c>
      <c r="C1225">
        <f>Inputs!$B$3&gt;=110</f>
        <v/>
      </c>
      <c r="D1225">
        <f>IF(Skills!C15=1,60+Inputs!$B$25+Inputs!$B$29,IF(Skills!C15=2,90+Inputs!$B$26+Inputs!$B$29,IF(Skills!C15=3,120+Inputs!$B$27+Inputs!$B$29,MAX(0,(Inputs!$B$3-100)*3)+Inputs!$B$28+Inputs!$B$29)))</f>
        <v/>
      </c>
      <c r="E1225">
        <f>INDEX(FactorTable!$B$2:$Y$301, MATCH(ROUND(MIN(300,MAX(1,D1225)),0), FactorTable!$A$2:$A$301,0), Skills!M15+1)</f>
        <v/>
      </c>
      <c r="F1225">
        <f>IF(Skills!N15=TRUE,(Skills!L15/10)*(E1225/1000),Skills!L15/10)+Skills!O15</f>
        <v/>
      </c>
      <c r="G1225">
        <f>Calc!G15</f>
        <v/>
      </c>
      <c r="H1225">
        <f>Calc!H15</f>
        <v/>
      </c>
      <c r="I1225">
        <f>IF(Skills!AA15&lt;&gt;"",1+(Skills!AA15/10)*(U1213/1000)/100,1)</f>
        <v/>
      </c>
      <c r="J1225" t="inlineStr"/>
      <c r="K1225" t="inlineStr"/>
      <c r="L1225" t="inlineStr"/>
      <c r="M1225" t="inlineStr"/>
      <c r="N1225" t="inlineStr"/>
      <c r="O1225">
        <f>(1-Summary!$B$55)*T1225+Summary!$B$55*V1225</f>
        <v/>
      </c>
      <c r="P1225">
        <f>IF(B1254=0,0,O1225/B1254)</f>
        <v/>
      </c>
      <c r="Q1225">
        <f>IFERROR(1/IF(Inputs!$B$39="pvp",15,MAX(0.1,Skills!D15-IF(Skills!E15=TRUE,Inputs!$B$32,0))),0)</f>
        <v/>
      </c>
      <c r="R1225">
        <f>IF(AND(Inputs!$B$39&lt;&gt;"pvp",Inputs!$B$44&gt;0),IF(Inputs!$B$44&lt;=0,0,(INT(Inputs!$B$44/IF(Inputs!$B$39="pvp",15,MAX(0.1,Skills!D15-IF(Skills!E15=TRUE,Inputs!$B$32,0))))+1)),0)</f>
        <v/>
      </c>
      <c r="S1225">
        <f>IFERROR(O1225/N1225,0)</f>
        <v/>
      </c>
      <c r="T1225" t="n">
        <v>0</v>
      </c>
      <c r="V1225" t="n">
        <v>0</v>
      </c>
    </row>
    <row r="1226">
      <c r="A1226">
        <f>Skills!A16</f>
        <v/>
      </c>
      <c r="B1226">
        <f>Skills!B16</f>
        <v/>
      </c>
      <c r="C1226">
        <f>Inputs!$B$3&gt;=110</f>
        <v/>
      </c>
      <c r="D1226">
        <f>IF(Skills!C16=1,60+Inputs!$B$25+Inputs!$B$29,IF(Skills!C16=2,90+Inputs!$B$26+Inputs!$B$29,IF(Skills!C16=3,120+Inputs!$B$27+Inputs!$B$29,MAX(0,(Inputs!$B$3-100)*3)+Inputs!$B$28+Inputs!$B$29)))</f>
        <v/>
      </c>
      <c r="E1226">
        <f>INDEX(FactorTable!$B$2:$Y$301, MATCH(ROUND(MIN(300,MAX(1,D1226)),0), FactorTable!$A$2:$A$301,0), Skills!M16+1)</f>
        <v/>
      </c>
      <c r="F1226">
        <f>IF(Skills!N16=TRUE,(Skills!L16/10)*(E1226/1000),Skills!L16/10)+Skills!O16</f>
        <v/>
      </c>
      <c r="G1226">
        <f>Calc!G16</f>
        <v/>
      </c>
      <c r="H1226">
        <f>Calc!H16</f>
        <v/>
      </c>
      <c r="I1226">
        <f>IF(Skills!AA16&lt;&gt;"",1+(Skills!AA16/10)*(U1213/1000)/100,1)</f>
        <v/>
      </c>
      <c r="J1226" t="inlineStr"/>
      <c r="K1226" t="inlineStr"/>
      <c r="L1226" t="inlineStr"/>
      <c r="M1226" t="inlineStr"/>
      <c r="N1226" t="inlineStr"/>
      <c r="O1226">
        <f>(1-Summary!$B$55)*T1226+Summary!$B$55*V1226</f>
        <v/>
      </c>
      <c r="P1226">
        <f>IF(B1254=0,0,O1226/B1254)</f>
        <v/>
      </c>
      <c r="Q1226">
        <f>IFERROR(1/IF(Inputs!$B$39="pvp",15,MAX(0.1,Skills!D16-IF(Skills!E16=TRUE,Inputs!$B$32,0))),0)</f>
        <v/>
      </c>
      <c r="R1226">
        <f>IF(AND(Inputs!$B$39&lt;&gt;"pvp",Inputs!$B$44&gt;0),IF(Inputs!$B$44&lt;=0,0,(INT(Inputs!$B$44/IF(Inputs!$B$39="pvp",15,MAX(0.1,Skills!D16-IF(Skills!E16=TRUE,Inputs!$B$32,0))))+1)),0)</f>
        <v/>
      </c>
      <c r="S1226">
        <f>IFERROR(O1226/N1226,0)</f>
        <v/>
      </c>
      <c r="T1226" t="n">
        <v>0</v>
      </c>
      <c r="V1226" t="n">
        <v>0</v>
      </c>
    </row>
    <row r="1227">
      <c r="A1227">
        <f>Skills!A17</f>
        <v/>
      </c>
      <c r="B1227">
        <f>Skills!B17</f>
        <v/>
      </c>
      <c r="C1227">
        <f>Inputs!$B$3&gt;=115</f>
        <v/>
      </c>
      <c r="D1227">
        <f>IF(Skills!C17=1,60+Inputs!$B$25+Inputs!$B$29,IF(Skills!C17=2,90+Inputs!$B$26+Inputs!$B$29,IF(Skills!C17=3,120+Inputs!$B$27+Inputs!$B$29,MAX(0,(Inputs!$B$3-100)*3)+Inputs!$B$28+Inputs!$B$29)))</f>
        <v/>
      </c>
      <c r="E1227">
        <f>INDEX(FactorTable!$B$2:$Y$301, MATCH(ROUND(MIN(300,MAX(1,D1227)),0), FactorTable!$A$2:$A$301,0), Skills!M17+1)</f>
        <v/>
      </c>
      <c r="F1227">
        <f>IF(Skills!N17=TRUE,(Skills!L17/10)*(E1227/1000),Skills!L17/10)+Skills!O17</f>
        <v/>
      </c>
      <c r="G1227">
        <f>Calc!G17</f>
        <v/>
      </c>
      <c r="H1227">
        <f>Calc!H17</f>
        <v/>
      </c>
      <c r="I1227">
        <f>IF(Skills!AA17&lt;&gt;"",1+(Skills!AA17/10)*(U1213/1000)/100,1)</f>
        <v/>
      </c>
      <c r="J1227">
        <f>((Inputs!$B$6*(1+Inputs!$B$7/100))+(((Inputs!$B$12*(1+Inputs!$B$13/100))-(Inputs!$B$12*(1+Inputs!$B$13/100)))+0.25*(Inputs!$B$14-Inputs!$B$14))*(1+Inputs!$B$7/100))*(F1227/100)</f>
        <v/>
      </c>
      <c r="K1227">
        <f>J1227*(1+((Inputs!$B$12*(1+Inputs!$B$13/100))*0.01+Inputs!$B$14*0.0025)/100)*(1+Inputs!$B$15/100)*(1+Inputs!$B$16/100)*(5000/(6000+Inputs!$B$43*(1-Inputs!$B$19/100)))*(1+(Inputs!$B$24+((C1240=TRUE)*(F1240-Calc!F30)))/100)*(1+Skills!R17/100)*(1+(IF(Skills!A17="SHOWDOWN",Inputs!$B$17+((C1233=TRUE)*(F1233-Calc!F23)),Inputs!$B$18+((C1239=TRUE)*(F1239-Calc!F29))))/100)*(((1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B1252*I1227)</f>
        <v/>
      </c>
      <c r="L1227">
        <f>K1227*(MIN(Inputs!$B$22+((C1234=TRUE)*(F1234-Calc!F24)),Inputs!$B$23)/100+Inputs!$B$23/100)/2</f>
        <v/>
      </c>
      <c r="M1227">
        <f>L1227*(1+(Inputs!$B$10+((C1236=TRUE)*(F1236-Calc!F26))+B1253)/100)</f>
        <v/>
      </c>
      <c r="N1227">
        <f>L1227*(1-MIN((Inputs!$B$9+((C1235=TRUE)*(F1235-Calc!F25))+B1250),100)/100)+M1227*(MIN((Inputs!$B$9+((C1235=TRUE)*(F1235-Calc!F25))+B1250),100)/100)</f>
        <v/>
      </c>
      <c r="O1227">
        <f>(1-Summary!$B$55)*T1227+Summary!$B$55*V1227</f>
        <v/>
      </c>
      <c r="P1227">
        <f>IF(B1254=0,0,O1227/B1254)</f>
        <v/>
      </c>
      <c r="Q1227" t="n">
        <v>0</v>
      </c>
      <c r="R1227" t="n">
        <v>0</v>
      </c>
      <c r="S1227">
        <f>IFERROR(O1227/N1227,0)</f>
        <v/>
      </c>
      <c r="T1227">
        <f>IF(C1227,(Inputs!$B$38*0.2*N1227)*IF(Inputs!$B$39="pvp",1,1+(Inputs!$B$20+((C1237=TRUE)*(F1237-Calc!F27))+Skills!P17+B1251)/100),0)</f>
        <v/>
      </c>
      <c r="V1227">
        <f>IF(C1227,(Inputs!$B$38*0.2*N1227)*IF(Inputs!$B$39="pvp",1,(1+(Inputs!$B$21+Skills!Q17+B1251)/100)*(MIN(Skills!W17,Inputs!$B$37))),0)</f>
        <v/>
      </c>
    </row>
    <row r="1228">
      <c r="A1228">
        <f>Skills!A18</f>
        <v/>
      </c>
      <c r="B1228">
        <f>Skills!B18</f>
        <v/>
      </c>
      <c r="C1228">
        <f>Inputs!$B$3&gt;=115</f>
        <v/>
      </c>
      <c r="D1228">
        <f>IF(Skills!C18=1,60+Inputs!$B$25+Inputs!$B$29,IF(Skills!C18=2,90+Inputs!$B$26+Inputs!$B$29,IF(Skills!C18=3,120+Inputs!$B$27+Inputs!$B$29,MAX(0,(Inputs!$B$3-100)*3)+Inputs!$B$28+Inputs!$B$29)))</f>
        <v/>
      </c>
      <c r="E1228">
        <f>INDEX(FactorTable!$B$2:$Y$301, MATCH(ROUND(MIN(300,MAX(1,D1228)),0), FactorTable!$A$2:$A$301,0), Skills!M18+1)</f>
        <v/>
      </c>
      <c r="F1228">
        <f>IF(Skills!N18=TRUE,(Skills!L18/10)*(E1228/1000),Skills!L18/10)+Skills!O18</f>
        <v/>
      </c>
      <c r="G1228">
        <f>Calc!G18</f>
        <v/>
      </c>
      <c r="H1228">
        <f>Calc!H18</f>
        <v/>
      </c>
      <c r="I1228">
        <f>IF(Skills!AA18&lt;&gt;"",1+(Skills!AA18/10)*(U1213/1000)/100,1)</f>
        <v/>
      </c>
      <c r="J1228" t="inlineStr"/>
      <c r="K1228" t="inlineStr"/>
      <c r="L1228" t="inlineStr"/>
      <c r="M1228" t="inlineStr"/>
      <c r="N1228" t="inlineStr"/>
      <c r="O1228">
        <f>(1-Summary!$B$55)*T1228+Summary!$B$55*V1228</f>
        <v/>
      </c>
      <c r="P1228">
        <f>IF(B1254=0,0,O1228/B1254)</f>
        <v/>
      </c>
      <c r="Q1228" t="n">
        <v>0</v>
      </c>
      <c r="R1228" t="n">
        <v>0</v>
      </c>
      <c r="S1228">
        <f>IFERROR(O1228/N1228,0)</f>
        <v/>
      </c>
      <c r="T1228" t="n">
        <v>0</v>
      </c>
      <c r="V1228" t="n">
        <v>0</v>
      </c>
    </row>
    <row r="1229">
      <c r="A1229">
        <f>Skills!A19</f>
        <v/>
      </c>
      <c r="B1229">
        <f>Skills!B19</f>
        <v/>
      </c>
      <c r="C1229">
        <f>TRUE</f>
        <v/>
      </c>
      <c r="D1229">
        <f>IF(Skills!C19=1,60+Inputs!$B$25+Inputs!$B$29,IF(Skills!C19=2,90+Inputs!$B$26+Inputs!$B$29,IF(Skills!C19=3,120+Inputs!$B$27+Inputs!$B$29,MAX(0,(Inputs!$B$3-100)*3)+Inputs!$B$28+Inputs!$B$29)))</f>
        <v/>
      </c>
      <c r="E1229">
        <f>INDEX(FactorTable!$B$2:$Y$301, MATCH(ROUND(MIN(300,MAX(1,D1229)),0), FactorTable!$A$2:$A$301,0), Skills!M19+1)</f>
        <v/>
      </c>
      <c r="F1229">
        <f>IF(Skills!N19=TRUE,(Skills!L19/10)*(E1229/1000),Skills!L19/10)+Skills!O19</f>
        <v/>
      </c>
      <c r="G1229">
        <f>Calc!G19</f>
        <v/>
      </c>
      <c r="H1229">
        <f>Calc!H19</f>
        <v/>
      </c>
      <c r="I1229">
        <f>IF(Skills!AA19&lt;&gt;"",1+(Skills!AA19/10)*(U1213/1000)/100,1)</f>
        <v/>
      </c>
      <c r="J1229" t="inlineStr"/>
      <c r="K1229" t="inlineStr"/>
      <c r="L1229" t="inlineStr"/>
      <c r="M1229" t="inlineStr"/>
      <c r="N1229" t="inlineStr"/>
      <c r="O1229">
        <f>(1-Summary!$B$55)*T1229+Summary!$B$55*V1229</f>
        <v/>
      </c>
      <c r="P1229">
        <f>IF(B1254=0,0,O1229/B1254)</f>
        <v/>
      </c>
      <c r="Q1229">
        <f>IFERROR(1/IF(Inputs!$B$39="pvp",15,MAX(0.1,Skills!D19-IF(Skills!E19=TRUE,Inputs!$B$32,0))),0)</f>
        <v/>
      </c>
      <c r="R1229">
        <f>IF(AND(Inputs!$B$39&lt;&gt;"pvp",Inputs!$B$44&gt;0),IF(Inputs!$B$44&lt;=0,0,(INT(Inputs!$B$44/IF(Inputs!$B$39="pvp",15,MAX(0.1,Skills!D19-IF(Skills!E19=TRUE,Inputs!$B$32,0))))+1)),0)</f>
        <v/>
      </c>
      <c r="S1229">
        <f>IFERROR(O1229/N1229,0)</f>
        <v/>
      </c>
      <c r="T1229" t="n">
        <v>0</v>
      </c>
      <c r="V1229" t="n">
        <v>0</v>
      </c>
    </row>
    <row r="1230">
      <c r="A1230">
        <f>Skills!A20</f>
        <v/>
      </c>
      <c r="B1230">
        <f>Skills!B20</f>
        <v/>
      </c>
      <c r="C1230">
        <f>Inputs!$B$3&gt;=15</f>
        <v/>
      </c>
      <c r="D1230">
        <f>IF(Skills!C20=1,60+Inputs!$B$25+Inputs!$B$29,IF(Skills!C20=2,90+Inputs!$B$26+Inputs!$B$29,IF(Skills!C20=3,120+Inputs!$B$27+Inputs!$B$29,MAX(0,(Inputs!$B$3-100)*3)+Inputs!$B$28+Inputs!$B$29)))</f>
        <v/>
      </c>
      <c r="E1230">
        <f>INDEX(FactorTable!$B$2:$Y$301, MATCH(ROUND(MIN(300,MAX(1,D1230)),0), FactorTable!$A$2:$A$301,0), Skills!M20+1)</f>
        <v/>
      </c>
      <c r="F1230">
        <f>IF(Skills!N20=TRUE,(Skills!L20/10)*(E1230/1000),Skills!L20/10)+Skills!O20</f>
        <v/>
      </c>
      <c r="G1230">
        <f>Calc!G20</f>
        <v/>
      </c>
      <c r="H1230">
        <f>Calc!H20</f>
        <v/>
      </c>
      <c r="I1230">
        <f>IF(Skills!AA20&lt;&gt;"",1+(Skills!AA20/10)*(U1213/1000)/100,1)</f>
        <v/>
      </c>
      <c r="J1230" t="inlineStr"/>
      <c r="K1230" t="inlineStr"/>
      <c r="L1230" t="inlineStr"/>
      <c r="M1230" t="inlineStr"/>
      <c r="N1230" t="inlineStr"/>
      <c r="O1230">
        <f>(1-Summary!$B$55)*T1230+Summary!$B$55*V1230</f>
        <v/>
      </c>
      <c r="P1230">
        <f>IF(B1254=0,0,O1230/B1254)</f>
        <v/>
      </c>
      <c r="Q1230">
        <f>IFERROR(1/IF(Inputs!$B$39="pvp",15,MAX(0.1,Skills!D20-IF(Skills!E20=TRUE,Inputs!$B$32,0))),0)</f>
        <v/>
      </c>
      <c r="R1230">
        <f>IF(AND(Inputs!$B$39&lt;&gt;"pvp",Inputs!$B$44&gt;0),IF(Inputs!$B$44&lt;=0,0,(INT(Inputs!$B$44/IF(Inputs!$B$39="pvp",15,MAX(0.1,Skills!D20-IF(Skills!E20=TRUE,Inputs!$B$32,0))))+1)),0)</f>
        <v/>
      </c>
      <c r="S1230">
        <f>IFERROR(O1230/N1230,0)</f>
        <v/>
      </c>
      <c r="T1230" t="n">
        <v>0</v>
      </c>
      <c r="V1230" t="n">
        <v>0</v>
      </c>
    </row>
    <row r="1231">
      <c r="A1231">
        <f>Skills!A21</f>
        <v/>
      </c>
      <c r="B1231">
        <f>Skills!B21</f>
        <v/>
      </c>
      <c r="C1231">
        <f>Inputs!$B$3&gt;=15</f>
        <v/>
      </c>
      <c r="D1231">
        <f>IF(Skills!C21=1,60+Inputs!$B$25+Inputs!$B$29,IF(Skills!C21=2,90+Inputs!$B$26+Inputs!$B$29,IF(Skills!C21=3,120+Inputs!$B$27+Inputs!$B$29,MAX(0,(Inputs!$B$3-100)*3)+Inputs!$B$28+Inputs!$B$29)))</f>
        <v/>
      </c>
      <c r="E1231">
        <f>INDEX(FactorTable!$B$2:$Y$301, MATCH(ROUND(MIN(300,MAX(1,D1231)),0), FactorTable!$A$2:$A$301,0), Skills!M21+1)</f>
        <v/>
      </c>
      <c r="F1231">
        <f>IF(Skills!N21=TRUE,(Skills!L21/10)*(E1231/1000),Skills!L21/10)+Skills!O21</f>
        <v/>
      </c>
      <c r="G1231">
        <f>Calc!G21</f>
        <v/>
      </c>
      <c r="H1231">
        <f>Calc!H21</f>
        <v/>
      </c>
      <c r="I1231">
        <f>IF(Skills!AA21&lt;&gt;"",1+(Skills!AA21/10)*(U1213/1000)/100,1)</f>
        <v/>
      </c>
      <c r="J1231" t="inlineStr"/>
      <c r="K1231" t="inlineStr"/>
      <c r="L1231" t="inlineStr"/>
      <c r="M1231" t="inlineStr"/>
      <c r="N1231" t="inlineStr"/>
      <c r="O1231">
        <f>(1-Summary!$B$55)*T1231+Summary!$B$55*V1231</f>
        <v/>
      </c>
      <c r="P1231">
        <f>IF(B1254=0,0,O1231/B1254)</f>
        <v/>
      </c>
      <c r="Q1231">
        <f>IFERROR(1/IF(Inputs!$B$39="pvp",15,MAX(0.1,Skills!D21-IF(Skills!E21=TRUE,Inputs!$B$32,0))),0)</f>
        <v/>
      </c>
      <c r="R1231">
        <f>IF(AND(Inputs!$B$39&lt;&gt;"pvp",Inputs!$B$44&gt;0),IF(Inputs!$B$44&lt;=0,0,(INT(Inputs!$B$44/IF(Inputs!$B$39="pvp",15,MAX(0.1,Skills!D21-IF(Skills!E21=TRUE,Inputs!$B$32,0))))+1)),0)</f>
        <v/>
      </c>
      <c r="S1231">
        <f>IFERROR(O1231/N1231,0)</f>
        <v/>
      </c>
      <c r="T1231" t="n">
        <v>0</v>
      </c>
      <c r="V1231" t="n">
        <v>0</v>
      </c>
    </row>
    <row r="1232">
      <c r="A1232">
        <f>Skills!A22</f>
        <v/>
      </c>
      <c r="B1232">
        <f>Skills!B22</f>
        <v/>
      </c>
      <c r="C1232">
        <f>Inputs!$B$3&gt;=33</f>
        <v/>
      </c>
      <c r="D1232">
        <f>IF(Skills!C22=1,60+Inputs!$B$25+Inputs!$B$29,IF(Skills!C22=2,90+Inputs!$B$26+Inputs!$B$29,IF(Skills!C22=3,120+Inputs!$B$27+Inputs!$B$29,MAX(0,(Inputs!$B$3-100)*3)+Inputs!$B$28+Inputs!$B$29)))</f>
        <v/>
      </c>
      <c r="E1232">
        <f>INDEX(FactorTable!$B$2:$Y$301, MATCH(ROUND(MIN(300,MAX(1,D1232)),0), FactorTable!$A$2:$A$301,0), Skills!M22+1)</f>
        <v/>
      </c>
      <c r="F1232">
        <f>IF(Skills!N22=TRUE,(Skills!L22/10)*(E1232/1000),Skills!L22/10)+Skills!O22</f>
        <v/>
      </c>
      <c r="G1232">
        <f>Calc!G22</f>
        <v/>
      </c>
      <c r="H1232">
        <f>Calc!H22</f>
        <v/>
      </c>
      <c r="I1232">
        <f>IF(Skills!AA22&lt;&gt;"",1+(Skills!AA22/10)*(U1213/1000)/100,1)</f>
        <v/>
      </c>
      <c r="J1232" t="inlineStr"/>
      <c r="K1232" t="inlineStr"/>
      <c r="L1232" t="inlineStr"/>
      <c r="M1232" t="inlineStr"/>
      <c r="N1232" t="inlineStr"/>
      <c r="O1232">
        <f>(1-Summary!$B$55)*T1232+Summary!$B$55*V1232</f>
        <v/>
      </c>
      <c r="P1232">
        <f>IF(B1254=0,0,O1232/B1254)</f>
        <v/>
      </c>
      <c r="Q1232" t="n">
        <v>0</v>
      </c>
      <c r="R1232" t="n">
        <v>0</v>
      </c>
      <c r="S1232">
        <f>IFERROR(O1232/N1232,0)</f>
        <v/>
      </c>
      <c r="T1232" t="n">
        <v>0</v>
      </c>
      <c r="V1232" t="n">
        <v>0</v>
      </c>
    </row>
    <row r="1233">
      <c r="A1233">
        <f>Skills!A23</f>
        <v/>
      </c>
      <c r="B1233">
        <f>Skills!B23</f>
        <v/>
      </c>
      <c r="C1233">
        <f>Inputs!$B$3&gt;=38</f>
        <v/>
      </c>
      <c r="D1233">
        <f>IF(Skills!C23=1,60+Inputs!$B$25+Inputs!$B$29,IF(Skills!C23=2,90+Inputs!$B$26+Inputs!$B$29,IF(Skills!C23=3,120+Inputs!$B$27+Inputs!$B$29,MAX(0,(Inputs!$B$3-100)*3)+Inputs!$B$28+Inputs!$B$29)))</f>
        <v/>
      </c>
      <c r="E1233">
        <f>INDEX(FactorTable!$B$2:$Y$301, MATCH(ROUND(MIN(300,MAX(1,D1233)),0), FactorTable!$A$2:$A$301,0), Skills!M23+1)</f>
        <v/>
      </c>
      <c r="F1233">
        <f>IF(Skills!N23=TRUE,(Skills!L23/10)*(E1233/1000),Skills!L23/10)+Skills!O23</f>
        <v/>
      </c>
      <c r="G1233">
        <f>Calc!G23</f>
        <v/>
      </c>
      <c r="H1233">
        <f>Calc!H23</f>
        <v/>
      </c>
      <c r="I1233">
        <f>IF(Skills!AA23&lt;&gt;"",1+(Skills!AA23/10)*(U1213/1000)/100,1)</f>
        <v/>
      </c>
      <c r="J1233" t="inlineStr"/>
      <c r="K1233" t="inlineStr"/>
      <c r="L1233" t="inlineStr"/>
      <c r="M1233" t="inlineStr"/>
      <c r="N1233" t="inlineStr"/>
      <c r="O1233">
        <f>(1-Summary!$B$55)*T1233+Summary!$B$55*V1233</f>
        <v/>
      </c>
      <c r="P1233">
        <f>IF(B1254=0,0,O1233/B1254)</f>
        <v/>
      </c>
      <c r="Q1233" t="n">
        <v>0</v>
      </c>
      <c r="R1233" t="n">
        <v>0</v>
      </c>
      <c r="S1233">
        <f>IFERROR(O1233/N1233,0)</f>
        <v/>
      </c>
      <c r="T1233" t="n">
        <v>0</v>
      </c>
      <c r="V1233" t="n">
        <v>0</v>
      </c>
    </row>
    <row r="1234">
      <c r="A1234">
        <f>Skills!A24</f>
        <v/>
      </c>
      <c r="B1234">
        <f>Skills!B24</f>
        <v/>
      </c>
      <c r="C1234">
        <f>Inputs!$B$3&gt;=40</f>
        <v/>
      </c>
      <c r="D1234">
        <f>IF(Skills!C24=1,60+Inputs!$B$25+Inputs!$B$29,IF(Skills!C24=2,90+Inputs!$B$26+Inputs!$B$29,IF(Skills!C24=3,120+Inputs!$B$27+Inputs!$B$29,MAX(0,(Inputs!$B$3-100)*3)+Inputs!$B$28+Inputs!$B$29)))</f>
        <v/>
      </c>
      <c r="E1234">
        <f>INDEX(FactorTable!$B$2:$Y$301, MATCH(ROUND(MIN(300,MAX(1,D1234)),0), FactorTable!$A$2:$A$301,0), Skills!M24+1)</f>
        <v/>
      </c>
      <c r="F1234">
        <f>IF(Skills!N24=TRUE,(Skills!L24/10)*(E1234/1000),Skills!L24/10)+Skills!O24</f>
        <v/>
      </c>
      <c r="G1234">
        <f>Calc!G24</f>
        <v/>
      </c>
      <c r="H1234">
        <f>Calc!H24</f>
        <v/>
      </c>
      <c r="I1234">
        <f>IF(Skills!AA24&lt;&gt;"",1+(Skills!AA24/10)*(U1213/1000)/100,1)</f>
        <v/>
      </c>
      <c r="J1234" t="inlineStr"/>
      <c r="K1234" t="inlineStr"/>
      <c r="L1234" t="inlineStr"/>
      <c r="M1234" t="inlineStr"/>
      <c r="N1234" t="inlineStr"/>
      <c r="O1234">
        <f>(1-Summary!$B$55)*T1234+Summary!$B$55*V1234</f>
        <v/>
      </c>
      <c r="P1234">
        <f>IF(B1254=0,0,O1234/B1254)</f>
        <v/>
      </c>
      <c r="Q1234" t="n">
        <v>0</v>
      </c>
      <c r="R1234" t="n">
        <v>0</v>
      </c>
      <c r="S1234">
        <f>IFERROR(O1234/N1234,0)</f>
        <v/>
      </c>
      <c r="T1234" t="n">
        <v>0</v>
      </c>
      <c r="V1234" t="n">
        <v>0</v>
      </c>
    </row>
    <row r="1235">
      <c r="A1235">
        <f>Skills!A25</f>
        <v/>
      </c>
      <c r="B1235">
        <f>Skills!B25</f>
        <v/>
      </c>
      <c r="C1235">
        <f>Inputs!$B$3&gt;=45</f>
        <v/>
      </c>
      <c r="D1235">
        <f>IF(Skills!C25=1,60+Inputs!$B$25+Inputs!$B$29,IF(Skills!C25=2,90+Inputs!$B$26+Inputs!$B$29,IF(Skills!C25=3,120+Inputs!$B$27+Inputs!$B$29,MAX(0,(Inputs!$B$3-100)*3)+Inputs!$B$28+Inputs!$B$29)))</f>
        <v/>
      </c>
      <c r="E1235">
        <f>INDEX(FactorTable!$B$2:$Y$301, MATCH(ROUND(MIN(300,MAX(1,D1235)),0), FactorTable!$A$2:$A$301,0), Skills!M25+1)</f>
        <v/>
      </c>
      <c r="F1235">
        <f>IF(Skills!N25=TRUE,(Skills!L25/10)*(E1235/1000),Skills!L25/10)+Skills!O25</f>
        <v/>
      </c>
      <c r="G1235">
        <f>Calc!G25</f>
        <v/>
      </c>
      <c r="H1235">
        <f>Calc!H25</f>
        <v/>
      </c>
      <c r="I1235">
        <f>IF(Skills!AA25&lt;&gt;"",1+(Skills!AA25/10)*(U1213/1000)/100,1)</f>
        <v/>
      </c>
      <c r="J1235" t="inlineStr"/>
      <c r="K1235" t="inlineStr"/>
      <c r="L1235" t="inlineStr"/>
      <c r="M1235" t="inlineStr"/>
      <c r="N1235" t="inlineStr"/>
      <c r="O1235">
        <f>(1-Summary!$B$55)*T1235+Summary!$B$55*V1235</f>
        <v/>
      </c>
      <c r="P1235">
        <f>IF(B1254=0,0,O1235/B1254)</f>
        <v/>
      </c>
      <c r="Q1235" t="n">
        <v>0</v>
      </c>
      <c r="R1235" t="n">
        <v>0</v>
      </c>
      <c r="S1235">
        <f>IFERROR(O1235/N1235,0)</f>
        <v/>
      </c>
      <c r="T1235" t="n">
        <v>0</v>
      </c>
      <c r="V1235" t="n">
        <v>0</v>
      </c>
    </row>
    <row r="1236">
      <c r="A1236">
        <f>Skills!A26</f>
        <v/>
      </c>
      <c r="B1236">
        <f>Skills!B26</f>
        <v/>
      </c>
      <c r="C1236">
        <f>Inputs!$B$3&gt;=45</f>
        <v/>
      </c>
      <c r="D1236">
        <f>IF(Skills!C26=1,60+Inputs!$B$25+Inputs!$B$29,IF(Skills!C26=2,90+Inputs!$B$26+Inputs!$B$29,IF(Skills!C26=3,120+Inputs!$B$27+Inputs!$B$29,MAX(0,(Inputs!$B$3-100)*3)+Inputs!$B$28+Inputs!$B$29)))</f>
        <v/>
      </c>
      <c r="E1236">
        <f>INDEX(FactorTable!$B$2:$Y$301, MATCH(ROUND(MIN(300,MAX(1,D1236)),0), FactorTable!$A$2:$A$301,0), Skills!M26+1)</f>
        <v/>
      </c>
      <c r="F1236">
        <f>IF(Skills!N26=TRUE,(Skills!L26/10)*(E1236/1000),Skills!L26/10)+Skills!O26</f>
        <v/>
      </c>
      <c r="G1236">
        <f>Calc!G26</f>
        <v/>
      </c>
      <c r="H1236">
        <f>Calc!H26</f>
        <v/>
      </c>
      <c r="I1236">
        <f>IF(Skills!AA26&lt;&gt;"",1+(Skills!AA26/10)*(U1213/1000)/100,1)</f>
        <v/>
      </c>
      <c r="J1236" t="inlineStr"/>
      <c r="K1236" t="inlineStr"/>
      <c r="L1236" t="inlineStr"/>
      <c r="M1236" t="inlineStr"/>
      <c r="N1236" t="inlineStr"/>
      <c r="O1236">
        <f>(1-Summary!$B$55)*T1236+Summary!$B$55*V1236</f>
        <v/>
      </c>
      <c r="P1236">
        <f>IF(B1254=0,0,O1236/B1254)</f>
        <v/>
      </c>
      <c r="Q1236" t="n">
        <v>0</v>
      </c>
      <c r="R1236" t="n">
        <v>0</v>
      </c>
      <c r="S1236">
        <f>IFERROR(O1236/N1236,0)</f>
        <v/>
      </c>
      <c r="T1236" t="n">
        <v>0</v>
      </c>
      <c r="V1236" t="n">
        <v>0</v>
      </c>
    </row>
    <row r="1237">
      <c r="A1237">
        <f>Skills!A27</f>
        <v/>
      </c>
      <c r="B1237">
        <f>Skills!B27</f>
        <v/>
      </c>
      <c r="C1237">
        <f>Inputs!$B$3&gt;=72</f>
        <v/>
      </c>
      <c r="D1237">
        <f>IF(Skills!C27=1,60+Inputs!$B$25+Inputs!$B$29,IF(Skills!C27=2,90+Inputs!$B$26+Inputs!$B$29,IF(Skills!C27=3,120+Inputs!$B$27+Inputs!$B$29,MAX(0,(Inputs!$B$3-100)*3)+Inputs!$B$28+Inputs!$B$29)))</f>
        <v/>
      </c>
      <c r="E1237">
        <f>INDEX(FactorTable!$B$2:$Y$301, MATCH(ROUND(MIN(300,MAX(1,D1237)),0), FactorTable!$A$2:$A$301,0), Skills!M27+1)</f>
        <v/>
      </c>
      <c r="F1237">
        <f>IF(Skills!N27=TRUE,(Skills!L27/10)*(E1237/1000),Skills!L27/10)+Skills!O27</f>
        <v/>
      </c>
      <c r="G1237">
        <f>Calc!G27</f>
        <v/>
      </c>
      <c r="H1237">
        <f>Calc!H27</f>
        <v/>
      </c>
      <c r="I1237">
        <f>IF(Skills!AA27&lt;&gt;"",1+(Skills!AA27/10)*(U1213/1000)/100,1)</f>
        <v/>
      </c>
      <c r="J1237" t="inlineStr"/>
      <c r="K1237" t="inlineStr"/>
      <c r="L1237" t="inlineStr"/>
      <c r="M1237" t="inlineStr"/>
      <c r="N1237" t="inlineStr"/>
      <c r="O1237">
        <f>(1-Summary!$B$55)*T1237+Summary!$B$55*V1237</f>
        <v/>
      </c>
      <c r="P1237">
        <f>IF(B1254=0,0,O1237/B1254)</f>
        <v/>
      </c>
      <c r="Q1237" t="n">
        <v>0</v>
      </c>
      <c r="R1237" t="n">
        <v>0</v>
      </c>
      <c r="S1237">
        <f>IFERROR(O1237/N1237,0)</f>
        <v/>
      </c>
      <c r="T1237" t="n">
        <v>0</v>
      </c>
      <c r="V1237" t="n">
        <v>0</v>
      </c>
    </row>
    <row r="1238">
      <c r="A1238">
        <f>Skills!A28</f>
        <v/>
      </c>
      <c r="B1238">
        <f>Skills!B28</f>
        <v/>
      </c>
      <c r="C1238">
        <f>Inputs!$B$3&gt;=75</f>
        <v/>
      </c>
      <c r="D1238">
        <f>IF(Skills!C28=1,60+Inputs!$B$25+Inputs!$B$29,IF(Skills!C28=2,90+Inputs!$B$26+Inputs!$B$29,IF(Skills!C28=3,120+Inputs!$B$27+Inputs!$B$29,MAX(0,(Inputs!$B$3-100)*3)+Inputs!$B$28+Inputs!$B$29)))</f>
        <v/>
      </c>
      <c r="E1238">
        <f>INDEX(FactorTable!$B$2:$Y$301, MATCH(ROUND(MIN(300,MAX(1,D1238)),0), FactorTable!$A$2:$A$301,0), Skills!M28+1)</f>
        <v/>
      </c>
      <c r="F1238">
        <f>IF(Skills!N28=TRUE,(Skills!L28/10)*(E1238/1000),Skills!L28/10)+Skills!O28</f>
        <v/>
      </c>
      <c r="G1238">
        <f>Calc!G28</f>
        <v/>
      </c>
      <c r="H1238">
        <f>Calc!H28</f>
        <v/>
      </c>
      <c r="I1238">
        <f>IF(Skills!AA28&lt;&gt;"",1+(Skills!AA28/10)*(U1213/1000)/100,1)</f>
        <v/>
      </c>
      <c r="J1238" t="inlineStr"/>
      <c r="K1238" t="inlineStr"/>
      <c r="L1238" t="inlineStr"/>
      <c r="M1238" t="inlineStr"/>
      <c r="N1238" t="inlineStr"/>
      <c r="O1238">
        <f>(1-Summary!$B$55)*T1238+Summary!$B$55*V1238</f>
        <v/>
      </c>
      <c r="P1238">
        <f>IF(B1254=0,0,O1238/B1254)</f>
        <v/>
      </c>
      <c r="Q1238" t="n">
        <v>0</v>
      </c>
      <c r="R1238" t="n">
        <v>0</v>
      </c>
      <c r="S1238">
        <f>IFERROR(O1238/N1238,0)</f>
        <v/>
      </c>
      <c r="T1238" t="n">
        <v>0</v>
      </c>
      <c r="V1238" t="n">
        <v>0</v>
      </c>
    </row>
    <row r="1239">
      <c r="A1239">
        <f>Skills!A29</f>
        <v/>
      </c>
      <c r="B1239">
        <f>Skills!B29</f>
        <v/>
      </c>
      <c r="C1239">
        <f>Inputs!$B$3&gt;=120</f>
        <v/>
      </c>
      <c r="D1239">
        <f>IF(Skills!C29=1,60+Inputs!$B$25+Inputs!$B$29,IF(Skills!C29=2,90+Inputs!$B$26+Inputs!$B$29,IF(Skills!C29=3,120+Inputs!$B$27+Inputs!$B$29,MAX(0,(Inputs!$B$3-100)*3)+Inputs!$B$28+Inputs!$B$29)))</f>
        <v/>
      </c>
      <c r="E1239">
        <f>INDEX(FactorTable!$B$2:$Y$301, MATCH(ROUND(MIN(300,MAX(1,D1239)),0), FactorTable!$A$2:$A$301,0), Skills!M29+1)</f>
        <v/>
      </c>
      <c r="F1239">
        <f>IF(Skills!N29=TRUE,(Skills!L29/10)*(E1239/1000),Skills!L29/10)+Skills!O29</f>
        <v/>
      </c>
      <c r="G1239">
        <f>Calc!G29</f>
        <v/>
      </c>
      <c r="H1239">
        <f>Calc!H29</f>
        <v/>
      </c>
      <c r="I1239">
        <f>IF(Skills!AA29&lt;&gt;"",1+(Skills!AA29/10)*(U1213/1000)/100,1)</f>
        <v/>
      </c>
      <c r="J1239" t="inlineStr"/>
      <c r="K1239" t="inlineStr"/>
      <c r="L1239" t="inlineStr"/>
      <c r="M1239" t="inlineStr"/>
      <c r="N1239" t="inlineStr"/>
      <c r="O1239">
        <f>(1-Summary!$B$55)*T1239+Summary!$B$55*V1239</f>
        <v/>
      </c>
      <c r="P1239">
        <f>IF(B1254=0,0,O1239/B1254)</f>
        <v/>
      </c>
      <c r="Q1239" t="n">
        <v>0</v>
      </c>
      <c r="R1239" t="n">
        <v>0</v>
      </c>
      <c r="S1239">
        <f>IFERROR(O1239/N1239,0)</f>
        <v/>
      </c>
      <c r="T1239" t="n">
        <v>0</v>
      </c>
      <c r="V1239" t="n">
        <v>0</v>
      </c>
    </row>
    <row r="1240">
      <c r="A1240">
        <f>Skills!A30</f>
        <v/>
      </c>
      <c r="B1240">
        <f>Skills!B30</f>
        <v/>
      </c>
      <c r="C1240">
        <f>Inputs!$B$3&gt;=125</f>
        <v/>
      </c>
      <c r="D1240">
        <f>IF(Skills!C30=1,60+Inputs!$B$25+Inputs!$B$29,IF(Skills!C30=2,90+Inputs!$B$26+Inputs!$B$29,IF(Skills!C30=3,120+Inputs!$B$27+Inputs!$B$29,MAX(0,(Inputs!$B$3-100)*3)+Inputs!$B$28+Inputs!$B$29)))</f>
        <v/>
      </c>
      <c r="E1240">
        <f>INDEX(FactorTable!$B$2:$Y$301, MATCH(ROUND(MIN(300,MAX(1,D1240)),0), FactorTable!$A$2:$A$301,0), Skills!M30+1)</f>
        <v/>
      </c>
      <c r="F1240">
        <f>IF(Skills!N30=TRUE,(Skills!L30/10)*(E1240/1000),Skills!L30/10)+Skills!O30</f>
        <v/>
      </c>
      <c r="G1240">
        <f>Calc!G30</f>
        <v/>
      </c>
      <c r="H1240">
        <f>Calc!H30</f>
        <v/>
      </c>
      <c r="I1240">
        <f>IF(Skills!AA30&lt;&gt;"",1+(Skills!AA30/10)*(U1213/1000)/100,1)</f>
        <v/>
      </c>
      <c r="J1240" t="inlineStr"/>
      <c r="K1240" t="inlineStr"/>
      <c r="L1240" t="inlineStr"/>
      <c r="M1240" t="inlineStr"/>
      <c r="N1240" t="inlineStr"/>
      <c r="O1240">
        <f>(1-Summary!$B$55)*T1240+Summary!$B$55*V1240</f>
        <v/>
      </c>
      <c r="P1240">
        <f>IF(B1254=0,0,O1240/B1254)</f>
        <v/>
      </c>
      <c r="Q1240" t="n">
        <v>0</v>
      </c>
      <c r="R1240" t="n">
        <v>0</v>
      </c>
      <c r="S1240">
        <f>IFERROR(O1240/N1240,0)</f>
        <v/>
      </c>
      <c r="T1240" t="n">
        <v>0</v>
      </c>
      <c r="V1240" t="n">
        <v>0</v>
      </c>
    </row>
    <row r="1241">
      <c r="A1241">
        <f>Skills!A31</f>
        <v/>
      </c>
      <c r="B1241">
        <f>Skills!B31</f>
        <v/>
      </c>
      <c r="C1241">
        <f>Inputs!$B$3&gt;=107</f>
        <v/>
      </c>
      <c r="D1241">
        <f>IF(Skills!C31=1,60+Inputs!$B$25+Inputs!$B$29,IF(Skills!C31=2,90+Inputs!$B$26+Inputs!$B$29,IF(Skills!C31=3,120+Inputs!$B$27+Inputs!$B$29,MAX(0,(Inputs!$B$3-100)*3)+Inputs!$B$28+Inputs!$B$29)))</f>
        <v/>
      </c>
      <c r="E1241">
        <f>INDEX(FactorTable!$B$2:$Y$301, MATCH(ROUND(MIN(300,MAX(1,D1241)),0), FactorTable!$A$2:$A$301,0), Skills!M31+1)</f>
        <v/>
      </c>
      <c r="F1241">
        <f>IF(Skills!N31=TRUE,(Skills!L31/10)*(E1241/1000),Skills!L31/10)+Skills!O31</f>
        <v/>
      </c>
      <c r="G1241">
        <f>Calc!G31</f>
        <v/>
      </c>
      <c r="H1241">
        <f>Calc!H31</f>
        <v/>
      </c>
      <c r="I1241">
        <f>IF(Skills!AA31&lt;&gt;"",1+(Skills!AA31/10)*(U1213/1000)/100,1)</f>
        <v/>
      </c>
      <c r="J1241" t="inlineStr"/>
      <c r="K1241" t="inlineStr"/>
      <c r="L1241" t="inlineStr"/>
      <c r="M1241" t="inlineStr"/>
      <c r="N1241" t="inlineStr"/>
      <c r="O1241">
        <f>(1-Summary!$B$55)*T1241+Summary!$B$55*V1241</f>
        <v/>
      </c>
      <c r="P1241">
        <f>IF(B1254=0,0,O1241/B1254)</f>
        <v/>
      </c>
      <c r="Q1241" t="n">
        <v>0</v>
      </c>
      <c r="R1241" t="n">
        <v>0</v>
      </c>
      <c r="S1241">
        <f>IFERROR(O1241/N1241,0)</f>
        <v/>
      </c>
      <c r="T1241" t="n">
        <v>0</v>
      </c>
      <c r="V1241" t="n">
        <v>0</v>
      </c>
    </row>
    <row r="1243">
      <c r="A1243" t="inlineStr">
        <is>
          <t>Actions Per Second (pre-Adrenalin)</t>
        </is>
      </c>
      <c r="B1243">
        <f>1+MIN(150,150*(1-(1-(Inputs!$B$11+((C1232=TRUE)*(F1232-Calc!F22)))/150)*(1-((C1229=TRUE)*F1229*IF(AND(Inputs!$B$39&lt;&gt;"pvp",Inputs!$B$44&gt;0),(((R1229-1)*(Skills!Y19*(1+Inputs!$B$34/100))+MIN((Skills!Y19*(1+Inputs!$B$34/100)),MAX(0,Inputs!$B$44-((R1229-1)*Skills!D19))))/Inputs!$B$44),IF(Inputs!$B$39="pvp",MIN((Skills!Y19*(1+Inputs!$B$34/100)),15)/15,(Skills!Y19*(1+Inputs!$B$34/100))/Skills!D19)))/150)))/100</f>
        <v/>
      </c>
    </row>
    <row r="1244">
      <c r="A1244" t="inlineStr">
        <is>
          <t>Alchemic Adrenaline Uptime</t>
        </is>
      </c>
      <c r="B1244">
        <f>(Skills!Y6*(1+Inputs!$B$34/100))/((Skills!Y6*(1+Inputs!$B$34/100))+(5/B1243))</f>
        <v/>
      </c>
    </row>
    <row r="1245">
      <c r="A1245" t="inlineStr">
        <is>
          <t>Attack Speed Buff Bonus %</t>
        </is>
      </c>
      <c r="B1245">
        <f>((C1229=TRUE)*F1229*IF(AND(Inputs!$B$39&lt;&gt;"pvp",Inputs!$B$44&gt;0),(((R1229-1)*(Skills!Y19*(1+Inputs!$B$34/100))+MIN((Skills!Y19*(1+Inputs!$B$34/100)),MAX(0,Inputs!$B$44-((R1229-1)*Skills!D19))))/Inputs!$B$44),IF(Inputs!$B$39="pvp",MIN((Skills!Y19*(1+Inputs!$B$34/100)),15)/15,(Skills!Y19*(1+Inputs!$B$34/100))/Skills!D19)))+((C1217=TRUE)*F1217*B1244)</f>
        <v/>
      </c>
    </row>
    <row r="1246">
      <c r="A1246" t="inlineStr">
        <is>
          <t>Actions Per Second (final)</t>
        </is>
      </c>
      <c r="B1246">
        <f>1+MIN(150,150*(1-(1-(Inputs!$B$11+((C1232=TRUE)*(F1232-Calc!F22)))/150)*(1-B1245/150)))/100</f>
        <v/>
      </c>
    </row>
    <row r="1247">
      <c r="A1247" t="inlineStr">
        <is>
          <t>Skill + Buff Cast Rate</t>
        </is>
      </c>
      <c r="B1247">
        <f>IF(AND(Inputs!$B$39&lt;&gt;"pvp",Inputs!$B$44&gt;0),SUMPRODUCT((Skills!E2:E31=TRUE)*(C1212:C1241=TRUE)*R1212:R1241*Skills!F2:F31)/Inputs!$B$44,SUMPRODUCT((Skills!E2:E31=TRUE)*(C1212:C1241=TRUE)*Q1212:Q1241*Skills!F2:F31))</f>
        <v/>
      </c>
    </row>
    <row r="1248">
      <c r="A1248" t="inlineStr">
        <is>
          <t>Showdown Casts Per Second</t>
        </is>
      </c>
      <c r="B1248">
        <f>MAX(0,B1246-B1247)</f>
        <v/>
      </c>
    </row>
    <row r="1249">
      <c r="A1249" t="inlineStr">
        <is>
          <t>Average Buff Multiplier</t>
        </is>
      </c>
      <c r="B1249">
        <f>(1+(((C1231=TRUE)*F1231*IF(AND(Inputs!$B$39&lt;&gt;"pvp",Inputs!$B$44&gt;0),(((R1231-1)*(Skills!Y21*(1+Inputs!$B$34/100))+MIN((Skills!Y21*(1+Inputs!$B$34/100)),MAX(0,Inputs!$B$44-((R1231-1)*Skills!D21))))/Inputs!$B$44),IF(Inputs!$B$39="pvp",MIN((Skills!Y21*(1+Inputs!$B$34/100)),15)/15,(Skills!Y21*(1+Inputs!$B$34/100))/Skills!D21)))+((C1238=TRUE)*(F1238-Calc!F28))+((C1228=TRUE)*(F1228-Calc!F18)))/100)*(1+((C1225=TRUE)*F1225*IF(AND(Inputs!$B$39&lt;&gt;"pvp",Inputs!$B$44&gt;0),(((R1225-1)*(Skills!Y15*(1+Inputs!$B$34/100))+MIN((Skills!Y15*(1+Inputs!$B$34/100)),MAX(0,Inputs!$B$44-((R1225-1)*Skills!D15))))/Inputs!$B$44),IF(Inputs!$B$39="pvp",MIN((Skills!Y15*(1+Inputs!$B$34/100)),15)/15,(Skills!Y15*(1+Inputs!$B$34/100))/Skills!D15)))/100)*(1+((C1216=TRUE)*F1216*B1244)/100)</f>
        <v/>
      </c>
    </row>
    <row r="1250">
      <c r="A1250" t="inlineStr">
        <is>
          <t>Global Crit Rate Bonus %</t>
        </is>
      </c>
      <c r="B1250">
        <f>IF(Inputs!$B$3&gt;=47,8,0)+((C1230=TRUE)*F1230*IF(AND(Inputs!$B$39&lt;&gt;"pvp",Inputs!$B$44&gt;0),(((R1230-1)*(Skills!Y20*(1+Inputs!$B$34/100))+MIN((Skills!Y20*(1+Inputs!$B$34/100)),MAX(0,Inputs!$B$44-((R1230-1)*Skills!D20))))/Inputs!$B$44),IF(Inputs!$B$39="pvp",MIN((Skills!Y20*(1+Inputs!$B$34/100)),15)/15,(Skills!Y20*(1+Inputs!$B$34/100))/Skills!D20)))</f>
        <v/>
      </c>
    </row>
    <row r="1251">
      <c r="A1251" t="inlineStr">
        <is>
          <t>Global Monster Damage-Taken Bonus %</t>
        </is>
      </c>
      <c r="B1251">
        <f>IF(Inputs!$B$3&gt;=82,15,0)+((C1226=TRUE)*F1226*IF(AND(Inputs!$B$39&lt;&gt;"pvp",Inputs!$B$44&gt;0),(((R1226-1)*(Skills!Y16*(1+Inputs!$B$34/100))+MIN((Skills!Y16*(1+Inputs!$B$34/100)),MAX(0,Inputs!$B$44-((R1226-1)*Skills!D16))))/Inputs!$B$44),IF(Inputs!$B$39="pvp",MIN((Skills!Y16*(1+Inputs!$B$34/100)),15)/15,(Skills!Y16*(1+Inputs!$B$34/100))/Skills!D16)))</f>
        <v/>
      </c>
    </row>
    <row r="1252">
      <c r="A1252" t="inlineStr">
        <is>
          <t>Shadow Partner Average Multiplier</t>
        </is>
      </c>
      <c r="B1252">
        <f>1+((C1221=TRUE)*F1221*I1221*Skills!J11/100)/100</f>
        <v/>
      </c>
    </row>
    <row r="1253">
      <c r="A1253" t="inlineStr">
        <is>
          <t>Global Critical Damage Bonus % (Frailty Curse Mastery Lv.111)</t>
        </is>
      </c>
      <c r="B1253">
        <f>IF(Inputs!$B$3&gt;=111,30,0)*IF(AND(Inputs!$B$39&lt;&gt;"pvp",Inputs!$B$44&gt;0),(((R1226-1)*(Skills!Y16*(1+Inputs!$B$34/100))+MIN((Skills!Y16*(1+Inputs!$B$34/100)),MAX(0,Inputs!$B$44-((R1226-1)*Skills!D16))))/Inputs!$B$44),IF(Inputs!$B$39="pvp",MIN((Skills!Y16*(1+Inputs!$B$34/100)),15)/15,(Skills!Y16*(1+Inputs!$B$34/100))/Skills!D16))</f>
        <v/>
      </c>
    </row>
    <row r="1254">
      <c r="A1254" s="5" t="inlineStr">
        <is>
          <t>TOTAL DPS</t>
        </is>
      </c>
      <c r="B1254" s="5">
        <f>SUM(O1212:O1241)</f>
        <v/>
      </c>
    </row>
    <row r="1255">
      <c r="A1255" t="inlineStr">
        <is>
          <t>Buff-Casting Startup Delay (s, fixed-duration only)</t>
        </is>
      </c>
      <c r="B1255">
        <f>IF(AND(Inputs!$B$39&lt;&gt;"pvp",Inputs!$B$44&gt;0),SUMPRODUCT((Skills!Y2:Y31&gt;0)*(Skills!E2:E31=TRUE)*(C1212:C1241=TRUE))/B1246,0)</f>
        <v/>
      </c>
    </row>
    <row r="1256">
      <c r="A1256" t="inlineStr">
        <is>
          <t>Boss-Only Total DPS (this block's swept value)</t>
        </is>
      </c>
      <c r="B1256">
        <f>SUM(T1212:T1241)</f>
        <v/>
      </c>
    </row>
    <row r="1257">
      <c r="A1257" t="inlineStr">
        <is>
          <t>Normal-Only Total DPS (this block's swept value)</t>
        </is>
      </c>
      <c r="B1257">
        <f>SUM(V1212:V1241)</f>
        <v/>
      </c>
    </row>
    <row r="1259">
      <c r="A1259" s="5" t="inlineStr">
        <is>
          <t>Stat: Buff Duration Increase %</t>
        </is>
      </c>
    </row>
    <row r="1260">
      <c r="A1260" s="9" t="inlineStr">
        <is>
          <t>Key</t>
        </is>
      </c>
      <c r="B1260" s="9" t="inlineStr">
        <is>
          <t>Name</t>
        </is>
      </c>
      <c r="C1260" s="9" t="inlineStr">
        <is>
          <t>Unlocked</t>
        </is>
      </c>
      <c r="D1260" s="9" t="inlineStr">
        <is>
          <t>InputLevel</t>
        </is>
      </c>
      <c r="E1260" s="9" t="inlineStr">
        <is>
          <t>Factor</t>
        </is>
      </c>
      <c r="F1260" s="9" t="inlineStr">
        <is>
          <t>CoefficientPercent</t>
        </is>
      </c>
      <c r="G1260" s="9" t="inlineStr">
        <is>
          <t>EffectiveHits</t>
        </is>
      </c>
      <c r="H1260" s="9" t="inlineStr">
        <is>
          <t>ProcProbability</t>
        </is>
      </c>
      <c r="I1260" s="9" t="inlineStr">
        <is>
          <t>MapleHeroMultiplier</t>
        </is>
      </c>
      <c r="J1260" s="9" t="inlineStr">
        <is>
          <t>BaseDamage</t>
        </is>
      </c>
      <c r="K1260" s="9" t="inlineStr">
        <is>
          <t>BaseHitDamage</t>
        </is>
      </c>
      <c r="L1260" s="9" t="inlineStr">
        <is>
          <t>NonCritAvg</t>
        </is>
      </c>
      <c r="M1260" s="9" t="inlineStr">
        <is>
          <t>CritAvg</t>
        </is>
      </c>
      <c r="N1260" s="9" t="inlineStr">
        <is>
          <t>ExpectedDamage(perHit)</t>
        </is>
      </c>
      <c r="O1260" s="9" t="inlineStr">
        <is>
          <t>DPS</t>
        </is>
      </c>
      <c r="P1260" s="9" t="inlineStr">
        <is>
          <t>% of Total</t>
        </is>
      </c>
      <c r="Q1260" s="9" t="inlineStr">
        <is>
          <t>InvCooldown</t>
        </is>
      </c>
      <c r="R1260" s="9" t="inlineStr">
        <is>
          <t>CastsInFight</t>
        </is>
      </c>
      <c r="S1260" s="9" t="inlineStr">
        <is>
          <t>HitRate(perSec)</t>
        </is>
      </c>
      <c r="U1260" t="inlineStr">
        <is>
          <t>helpers</t>
        </is>
      </c>
    </row>
    <row r="1261">
      <c r="A1261">
        <f>Skills!A2</f>
        <v/>
      </c>
      <c r="B1261">
        <f>Skills!B2</f>
        <v/>
      </c>
      <c r="C1261">
        <f>Inputs!$B$3&gt;=100</f>
        <v/>
      </c>
      <c r="D1261" t="inlineStr"/>
      <c r="E1261" t="inlineStr"/>
      <c r="F1261">
        <f>U1265+Skills!O2</f>
        <v/>
      </c>
      <c r="G1261">
        <f>Calc!G2</f>
        <v/>
      </c>
      <c r="H1261">
        <f>Calc!H2</f>
        <v/>
      </c>
      <c r="I1261">
        <f>IF(Skills!AA2&lt;&gt;"",1+(Skills!AA2/10)*(U1262/1000)/100,1)</f>
        <v/>
      </c>
      <c r="J1261">
        <f>((Inputs!$B$6*(1+Inputs!$B$7/100))+(((Inputs!$B$12*(1+Inputs!$B$13/100))-(Inputs!$B$12*(1+Inputs!$B$13/100)))+0.25*(Inputs!$B$14-Inputs!$B$14))*(1+Inputs!$B$7/100))*(F1261/100)</f>
        <v/>
      </c>
      <c r="K1261">
        <f>J1261*(1+((Inputs!$B$12*(1+Inputs!$B$13/100))*0.01+Inputs!$B$14*0.0025)/100)*(1+Inputs!$B$15/100)*(1+Inputs!$B$16/100)*(5000/(6000+Inputs!$B$43*(1-Inputs!$B$19/100)))*(1+(Inputs!$B$24+((C1289=TRUE)*(F1289-Calc!F30)))/100)*(1+Skills!R2/100)*(1+(IF(Skills!A2="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1261)</f>
        <v/>
      </c>
      <c r="L1261">
        <f>K1261*(MIN(Inputs!$B$22+((C1283=TRUE)*(F1283-Calc!F24)),Inputs!$B$23)/100+Inputs!$B$23/100)/2</f>
        <v/>
      </c>
      <c r="M1261">
        <f>L1261*(1+(Inputs!$B$10+((C1285=TRUE)*(F1285-Calc!F26))+B1302)/100)</f>
        <v/>
      </c>
      <c r="N1261">
        <f>L1261*(1-MIN((Inputs!$B$9+((C1284=TRUE)*(F1284-Calc!F25))+B1299),100)/100)+M1261*(MIN((Inputs!$B$9+((C1284=TRUE)*(F1284-Calc!F25))+B1299),100)/100)</f>
        <v/>
      </c>
      <c r="O1261">
        <f>(1-Summary!$B$55)*T1261+Summary!$B$55*V1261</f>
        <v/>
      </c>
      <c r="P1261">
        <f>IF(B1303=0,0,O1261/B1303)</f>
        <v/>
      </c>
      <c r="Q1261" t="n">
        <v>0</v>
      </c>
      <c r="R1261" t="n">
        <v>0</v>
      </c>
      <c r="S1261">
        <f>IFERROR(O1261/N1261,0)</f>
        <v/>
      </c>
      <c r="T1261">
        <f>IF(C1261,(Skills!G2*N1261*B1297)*IF(Inputs!$B$39="pvp",1,1+(Inputs!$B$20+((C1286=TRUE)*(F1286-Calc!F27))+Skills!P2+B1300)/100),0)</f>
        <v/>
      </c>
      <c r="U1261">
        <f>MAX(0,(Inputs!$B$3-100)*3)+Inputs!$B$28+Inputs!$B$29</f>
        <v/>
      </c>
      <c r="V1261">
        <f>IF(C1261,(Skills!G2*N1261*B1297)*IF(Inputs!$B$39="pvp",1,(1+(Inputs!$B$21+Skills!Q2+B1300)/100)*(MIN((6+Inputs!$B$33),Inputs!$B$37))),0)</f>
        <v/>
      </c>
    </row>
    <row r="1262">
      <c r="A1262">
        <f>Skills!A3</f>
        <v/>
      </c>
      <c r="B1262">
        <f>Skills!B3</f>
        <v/>
      </c>
      <c r="C1262">
        <f>Inputs!$B$3&gt;=35</f>
        <v/>
      </c>
      <c r="D1262">
        <f>IF(Skills!C3=1,60+Inputs!$B$25+Inputs!$B$29,IF(Skills!C3=2,90+Inputs!$B$26+Inputs!$B$29,IF(Skills!C3=3,120+Inputs!$B$27+Inputs!$B$29,MAX(0,(Inputs!$B$3-100)*3)+Inputs!$B$28+Inputs!$B$29)))</f>
        <v/>
      </c>
      <c r="E1262">
        <f>INDEX(FactorTable!$B$2:$Y$301, MATCH(ROUND(MIN(300,MAX(1,D1262)),0), FactorTable!$A$2:$A$301,0), Skills!M3+1)</f>
        <v/>
      </c>
      <c r="F1262">
        <f>IF(Skills!N3=TRUE,(Skills!L3/10)*(E1262/1000),Skills!L3/10)+Skills!O3</f>
        <v/>
      </c>
      <c r="G1262">
        <f>Calc!G3</f>
        <v/>
      </c>
      <c r="H1262">
        <f>Calc!H3</f>
        <v/>
      </c>
      <c r="I1262">
        <f>IF(Skills!AA3&lt;&gt;"",1+(Skills!AA3/10)*(U1262/1000)/100,1)</f>
        <v/>
      </c>
      <c r="J1262">
        <f>((Inputs!$B$6*(1+Inputs!$B$7/100))+(((Inputs!$B$12*(1+Inputs!$B$13/100))-(Inputs!$B$12*(1+Inputs!$B$13/100)))+0.25*(Inputs!$B$14-Inputs!$B$14))*(1+Inputs!$B$7/100))*(F1262/100)</f>
        <v/>
      </c>
      <c r="K1262">
        <f>J1262*(1+((Inputs!$B$12*(1+Inputs!$B$13/100))*0.01+Inputs!$B$14*0.0025)/100)*(1+Inputs!$B$15/100)*(1+Inputs!$B$16/100)*(5000/(6000+Inputs!$B$43*(1-Inputs!$B$19/100)))*(1+(Inputs!$B$24+((C1289=TRUE)*(F1289-Calc!F30)))/100)*(1+Skills!R3/100)*(1+(IF(Skills!A3="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1262)</f>
        <v/>
      </c>
      <c r="L1262">
        <f>K1262*(MIN(Inputs!$B$22+((C1283=TRUE)*(F1283-Calc!F24)),Inputs!$B$23)/100+Inputs!$B$23/100)/2</f>
        <v/>
      </c>
      <c r="M1262">
        <f>L1262*(1+(Inputs!$B$10+((C1285=TRUE)*(F1285-Calc!F26))+B1302)/100)</f>
        <v/>
      </c>
      <c r="N1262">
        <f>L1262*(1-MIN((Inputs!$B$9+((C1284=TRUE)*(F1284-Calc!F25))+B1299),100)/100)+M1262*(MIN((Inputs!$B$9+((C1284=TRUE)*(F1284-Calc!F25))+B1299),100)/100)</f>
        <v/>
      </c>
      <c r="O1262">
        <f>(1-Summary!$B$55)*T1262+Summary!$B$55*V1262</f>
        <v/>
      </c>
      <c r="P1262">
        <f>IF(B1303=0,0,O1262/B1303)</f>
        <v/>
      </c>
      <c r="Q1262">
        <f>IFERROR(1/IF(Inputs!$B$39="pvp",15,MAX(0.1,Skills!D3-IF(Skills!E3=TRUE,Inputs!$B$32,0))),0)</f>
        <v/>
      </c>
      <c r="R1262">
        <f>IF(AND(Inputs!$B$39&lt;&gt;"pvp",Inputs!$B$44&gt;0),IF(MAX(0,Inputs!$B$44-B1304)&lt;=0,0,(INT(MAX(0,Inputs!$B$44-B1304)/IF(Inputs!$B$39="pvp",15,MAX(0.1,Skills!D3-IF(Skills!E3=TRUE,Inputs!$B$32,0))))+1)),0)</f>
        <v/>
      </c>
      <c r="S1262">
        <f>IFERROR(O1262/N1262,0)</f>
        <v/>
      </c>
      <c r="T1262">
        <f>IF(C1262,(H1262*N1262*IF(AND(Inputs!$B$39&lt;&gt;"pvp",Inputs!$B$44&gt;0),((Skills!G3*((R1262-1)*IF(Skills!H3&gt;0,Skills!I3/Skills!H3,1)+IF(Skills!H3&gt;0,MIN(Skills!I3,MAX(0,MAX(0,Inputs!$B$44-B1304)-((R1262-1)*IF(Inputs!$B$39="pvp",15,MAX(0.1,Skills!D3-IF(Skills!E3=TRUE,Inputs!$B$32,0))))))/Skills!H3,1)))/Inputs!$B$44),G1262*Q1262))*IF(Inputs!$B$39="pvp",1,1+(Inputs!$B$20+((C1286=TRUE)*(F1286-Calc!F27))+Skills!P3+B1300)/100),0)</f>
        <v/>
      </c>
      <c r="U1262">
        <f>INDEX(FactorTable!$B$2:$Y$301, MATCH(ROUND(MIN(300,MAX(1,U1261)),0), FactorTable!$A$2:$A$301,0), 24)</f>
        <v/>
      </c>
      <c r="V1262">
        <f>IF(C1262,(H1262*N1262*IF(AND(Inputs!$B$39&lt;&gt;"pvp",Inputs!$B$44&gt;0),((Skills!G3*((R1262-1)*IF(Skills!H3&gt;0,Skills!I3/Skills!H3,1)+IF(Skills!H3&gt;0,MIN(Skills!I3,MAX(0,MAX(0,Inputs!$B$44-B1304)-((R1262-1)*IF(Inputs!$B$39="pvp",15,MAX(0.1,Skills!D3-IF(Skills!E3=TRUE,Inputs!$B$32,0))))))/Skills!H3,1)))/Inputs!$B$44),G1262*Q1262))*IF(Inputs!$B$39="pvp",1,(1+(Inputs!$B$21+Skills!Q3+B1300)/100)*(MIN(Skills!W3,Inputs!$B$37))),0)</f>
        <v/>
      </c>
    </row>
    <row r="1263">
      <c r="A1263">
        <f>Skills!A4</f>
        <v/>
      </c>
      <c r="B1263">
        <f>Skills!B4</f>
        <v/>
      </c>
      <c r="C1263">
        <f>Inputs!$B$3&gt;=40</f>
        <v/>
      </c>
      <c r="D1263">
        <f>IF(Skills!C4=1,60+Inputs!$B$25+Inputs!$B$29,IF(Skills!C4=2,90+Inputs!$B$26+Inputs!$B$29,IF(Skills!C4=3,120+Inputs!$B$27+Inputs!$B$29,MAX(0,(Inputs!$B$3-100)*3)+Inputs!$B$28+Inputs!$B$29)))</f>
        <v/>
      </c>
      <c r="E1263">
        <f>INDEX(FactorTable!$B$2:$Y$301, MATCH(ROUND(MIN(300,MAX(1,D1263)),0), FactorTable!$A$2:$A$301,0), Skills!M4+1)</f>
        <v/>
      </c>
      <c r="F1263">
        <f>IF(Skills!N4=TRUE,(Skills!L4/10)*(E1263/1000),Skills!L4/10)+Skills!O4</f>
        <v/>
      </c>
      <c r="G1263">
        <f>Calc!G4</f>
        <v/>
      </c>
      <c r="H1263">
        <f>Calc!H4</f>
        <v/>
      </c>
      <c r="I1263">
        <f>IF(Skills!AA4&lt;&gt;"",1+(Skills!AA4/10)*(U1262/1000)/100,1)</f>
        <v/>
      </c>
      <c r="J1263">
        <f>((Inputs!$B$6*(1+Inputs!$B$7/100))+(((Inputs!$B$12*(1+Inputs!$B$13/100))-(Inputs!$B$12*(1+Inputs!$B$13/100)))+0.25*(Inputs!$B$14-Inputs!$B$14))*(1+Inputs!$B$7/100))*(F1263/100)</f>
        <v/>
      </c>
      <c r="K1263">
        <f>J1263*(1+((Inputs!$B$12*(1+Inputs!$B$13/100))*0.01+Inputs!$B$14*0.0025)/100)*(1+Inputs!$B$15/100)*(1+Inputs!$B$16/100)*(5000/(6000+Inputs!$B$43*(1-Inputs!$B$19/100)))*(1+(Inputs!$B$24+((C1289=TRUE)*(F1289-Calc!F30)))/100)*(1+Skills!R4/100)*(1+(IF(Skills!A4="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1263)</f>
        <v/>
      </c>
      <c r="L1263">
        <f>K1263*(MIN(Inputs!$B$22+((C1283=TRUE)*(F1283-Calc!F24)),Inputs!$B$23)/100+Inputs!$B$23/100)/2</f>
        <v/>
      </c>
      <c r="M1263">
        <f>L1263*(1+(Inputs!$B$10+((C1285=TRUE)*(F1285-Calc!F26))+B1302)/100)</f>
        <v/>
      </c>
      <c r="N1263">
        <f>L1263*(1-MIN((Inputs!$B$9+((C1284=TRUE)*(F1284-Calc!F25))+B1299),100)/100)+M1263*(MIN((Inputs!$B$9+((C1284=TRUE)*(F1284-Calc!F25))+B1299),100)/100)</f>
        <v/>
      </c>
      <c r="O1263">
        <f>(1-Summary!$B$55)*T1263+Summary!$B$55*V1263</f>
        <v/>
      </c>
      <c r="P1263">
        <f>IF(B1303=0,0,O1263/B1303)</f>
        <v/>
      </c>
      <c r="Q1263">
        <f>IFERROR(1/IF(Inputs!$B$39="pvp",15,MAX(0.1,Skills!D4-IF(Skills!E4=TRUE,Inputs!$B$32,0))),0)</f>
        <v/>
      </c>
      <c r="R1263">
        <f>IF(AND(Inputs!$B$39&lt;&gt;"pvp",Inputs!$B$44&gt;0),IF(MAX(0,Inputs!$B$44-B1304)&lt;=0,0,(INT(MAX(0,Inputs!$B$44-B1304)/IF(Inputs!$B$39="pvp",15,MAX(0.1,Skills!D4-IF(Skills!E4=TRUE,Inputs!$B$32,0))))+1)),0)</f>
        <v/>
      </c>
      <c r="S1263">
        <f>IFERROR(O1263/N1263,0)</f>
        <v/>
      </c>
      <c r="T1263">
        <f>IF(C1263,(H1263*N1263*IF(AND(Inputs!$B$39&lt;&gt;"pvp",Inputs!$B$44&gt;0),((Skills!G4*((R1263-1)*IF(Skills!H4&gt;0,Skills!I4/Skills!H4,1)+IF(Skills!H4&gt;0,MIN(Skills!I4,MAX(0,MAX(0,Inputs!$B$44-B1304)-((R1263-1)*IF(Inputs!$B$39="pvp",15,MAX(0.1,Skills!D4-IF(Skills!E4=TRUE,Inputs!$B$32,0))))))/Skills!H4,1)))/Inputs!$B$44),G1263*Q1263))*IF(Inputs!$B$39="pvp",1,1+(Inputs!$B$20+((C1286=TRUE)*(F1286-Calc!F27))+Skills!P4+B1300)/100),0)</f>
        <v/>
      </c>
      <c r="U1263">
        <f>MAX(0,(Inputs!$B$3-100)*3)+Inputs!$B$28+Inputs!$B$29</f>
        <v/>
      </c>
      <c r="V1263">
        <f>IF(C1263,(H1263*N1263*IF(AND(Inputs!$B$39&lt;&gt;"pvp",Inputs!$B$44&gt;0),((Skills!G4*((R1263-1)*IF(Skills!H4&gt;0,Skills!I4/Skills!H4,1)+IF(Skills!H4&gt;0,MIN(Skills!I4,MAX(0,MAX(0,Inputs!$B$44-B1304)-((R1263-1)*IF(Inputs!$B$39="pvp",15,MAX(0.1,Skills!D4-IF(Skills!E4=TRUE,Inputs!$B$32,0))))))/Skills!H4,1)))/Inputs!$B$44),G1263*Q1263))*IF(Inputs!$B$39="pvp",1,(1+(Inputs!$B$21+Skills!Q4+B1300)/100)*(MIN(Skills!W4,Inputs!$B$37))),0)</f>
        <v/>
      </c>
    </row>
    <row r="1264">
      <c r="A1264">
        <f>Skills!A5</f>
        <v/>
      </c>
      <c r="B1264">
        <f>Skills!B5</f>
        <v/>
      </c>
      <c r="C1264">
        <f>Inputs!$B$3&gt;=63</f>
        <v/>
      </c>
      <c r="D1264">
        <f>IF(Skills!C5=1,60+Inputs!$B$25+Inputs!$B$29,IF(Skills!C5=2,90+Inputs!$B$26+Inputs!$B$29,IF(Skills!C5=3,120+Inputs!$B$27+Inputs!$B$29,MAX(0,(Inputs!$B$3-100)*3)+Inputs!$B$28+Inputs!$B$29)))</f>
        <v/>
      </c>
      <c r="E1264">
        <f>INDEX(FactorTable!$B$2:$Y$301, MATCH(ROUND(MIN(300,MAX(1,D1264)),0), FactorTable!$A$2:$A$301,0), Skills!M5+1)</f>
        <v/>
      </c>
      <c r="F1264">
        <f>IF(Skills!N5=TRUE,(Skills!L5/10)*(E1264/1000),Skills!L5/10)+Skills!O5</f>
        <v/>
      </c>
      <c r="G1264">
        <f>Calc!G5</f>
        <v/>
      </c>
      <c r="H1264">
        <f>Calc!H5</f>
        <v/>
      </c>
      <c r="I1264">
        <f>IF(Skills!AA5&lt;&gt;"",1+(Skills!AA5/10)*(U1262/1000)/100,1)</f>
        <v/>
      </c>
      <c r="J1264">
        <f>((Inputs!$B$6*(1+Inputs!$B$7/100))+(((Inputs!$B$12*(1+Inputs!$B$13/100))-(Inputs!$B$12*(1+Inputs!$B$13/100)))+0.25*(Inputs!$B$14-Inputs!$B$14))*(1+Inputs!$B$7/100))*(F1264/100)</f>
        <v/>
      </c>
      <c r="K1264">
        <f>J1264*(1+((Inputs!$B$12*(1+Inputs!$B$13/100))*0.01+Inputs!$B$14*0.0025)/100)*(1+Inputs!$B$15/100)*(1+Inputs!$B$16/100)*(5000/(6000+Inputs!$B$43*(1-Inputs!$B$19/100)))*(1+(Inputs!$B$24+((C1289=TRUE)*(F1289-Calc!F30)))/100)*(1+Skills!R5/100)*(1+(IF(Skills!A5="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1264)</f>
        <v/>
      </c>
      <c r="L1264">
        <f>K1264*(MIN(Inputs!$B$22+((C1283=TRUE)*(F1283-Calc!F24)),Inputs!$B$23)/100+Inputs!$B$23/100)/2</f>
        <v/>
      </c>
      <c r="M1264">
        <f>L1264*(1+(Inputs!$B$10+((C1285=TRUE)*(F1285-Calc!F26))+B1302)/100)</f>
        <v/>
      </c>
      <c r="N1264">
        <f>L1264*(1-MIN((Inputs!$B$9+((C1284=TRUE)*(F1284-Calc!F25))+B1299),100)/100)+M1264*(MIN((Inputs!$B$9+((C1284=TRUE)*(F1284-Calc!F25))+B1299),100)/100)</f>
        <v/>
      </c>
      <c r="O1264">
        <f>(1-Summary!$B$55)*T1264+Summary!$B$55*V1264</f>
        <v/>
      </c>
      <c r="P1264">
        <f>IF(B1303=0,0,O1264/B1303)</f>
        <v/>
      </c>
      <c r="Q1264">
        <f>IFERROR(1/IF(Inputs!$B$39="pvp",15,MAX(0.1,Skills!D5-IF(Skills!E5=TRUE,Inputs!$B$32,0))),0)</f>
        <v/>
      </c>
      <c r="R1264">
        <f>IF(AND(Inputs!$B$39&lt;&gt;"pvp",Inputs!$B$44&gt;0),IF(MAX(0,Inputs!$B$44-B1304)&lt;=0,0,(INT(MAX(0,Inputs!$B$44-B1304)/IF(Inputs!$B$39="pvp",15,MAX(0.1,Skills!D5-IF(Skills!E5=TRUE,Inputs!$B$32,0))))+1)),0)</f>
        <v/>
      </c>
      <c r="S1264">
        <f>IFERROR(O1264/N1264,0)</f>
        <v/>
      </c>
      <c r="T1264">
        <f>IF(C1264,(H1264*N1264*IF(AND(Inputs!$B$39&lt;&gt;"pvp",Inputs!$B$44&gt;0),((Skills!G5*((R1264-1)*IF(Skills!H5&gt;0,Skills!I5/Skills!H5,1)+IF(Skills!H5&gt;0,MIN(Skills!I5,MAX(0,MAX(0,Inputs!$B$44-B1304)-((R1264-1)*IF(Inputs!$B$39="pvp",15,MAX(0.1,Skills!D5-IF(Skills!E5=TRUE,Inputs!$B$32,0))))))/Skills!H5,1)))/Inputs!$B$44),G1264*Q1264))*IF(Inputs!$B$39="pvp",1,1+(Inputs!$B$20+((C1286=TRUE)*(F1286-Calc!F27))+Skills!P5+B1300)/100),0)</f>
        <v/>
      </c>
      <c r="U1264">
        <f>INDEX(FactorTable!$B$2:$Y$301, MATCH(ROUND(MIN(300,MAX(1,U1263)),0), FactorTable!$A$2:$A$301,0), 22)</f>
        <v/>
      </c>
      <c r="V1264">
        <f>IF(C1264,(H1264*N1264*IF(AND(Inputs!$B$39&lt;&gt;"pvp",Inputs!$B$44&gt;0),((Skills!G5*((R1264-1)*IF(Skills!H5&gt;0,Skills!I5/Skills!H5,1)+IF(Skills!H5&gt;0,MIN(Skills!I5,MAX(0,MAX(0,Inputs!$B$44-B1304)-((R1264-1)*IF(Inputs!$B$39="pvp",15,MAX(0.1,Skills!D5-IF(Skills!E5=TRUE,Inputs!$B$32,0))))))/Skills!H5,1)))/Inputs!$B$44),G1264*Q1264))*IF(Inputs!$B$39="pvp",1,(1+(Inputs!$B$21+Skills!Q5+B1300)/100)*(MIN(Skills!W5,Inputs!$B$37))),0)</f>
        <v/>
      </c>
    </row>
    <row r="1265">
      <c r="A1265">
        <f>Skills!A6</f>
        <v/>
      </c>
      <c r="B1265">
        <f>Skills!B6</f>
        <v/>
      </c>
      <c r="C1265">
        <f>Inputs!$B$3&gt;=66</f>
        <v/>
      </c>
      <c r="D1265">
        <f>IF(Skills!C6=1,60+Inputs!$B$25+Inputs!$B$29,IF(Skills!C6=2,90+Inputs!$B$26+Inputs!$B$29,IF(Skills!C6=3,120+Inputs!$B$27+Inputs!$B$29,MAX(0,(Inputs!$B$3-100)*3)+Inputs!$B$28+Inputs!$B$29)))</f>
        <v/>
      </c>
      <c r="E1265">
        <f>INDEX(FactorTable!$B$2:$Y$301, MATCH(ROUND(MIN(300,MAX(1,D1265)),0), FactorTable!$A$2:$A$301,0), Skills!M6+1)</f>
        <v/>
      </c>
      <c r="F1265">
        <f>IF(Skills!N6=TRUE,(Skills!L6/10)*(E1265/1000),Skills!L6/10)+Skills!O6</f>
        <v/>
      </c>
      <c r="G1265">
        <f>Calc!G6</f>
        <v/>
      </c>
      <c r="H1265">
        <f>Calc!H6</f>
        <v/>
      </c>
      <c r="I1265">
        <f>IF(Skills!AA6&lt;&gt;"",1+(Skills!AA6/10)*(U1262/1000)/100,1)</f>
        <v/>
      </c>
      <c r="J1265" t="inlineStr"/>
      <c r="K1265" t="inlineStr"/>
      <c r="L1265" t="inlineStr"/>
      <c r="M1265" t="inlineStr"/>
      <c r="N1265" t="inlineStr"/>
      <c r="O1265">
        <f>(1-Summary!$B$55)*T1265+Summary!$B$55*V1265</f>
        <v/>
      </c>
      <c r="P1265">
        <f>IF(B1303=0,0,O1265/B1303)</f>
        <v/>
      </c>
      <c r="Q1265" t="n">
        <v>0</v>
      </c>
      <c r="R1265" t="n">
        <v>0</v>
      </c>
      <c r="S1265">
        <f>IFERROR(O1265/N1265,0)</f>
        <v/>
      </c>
      <c r="T1265" t="n">
        <v>0</v>
      </c>
      <c r="U1265">
        <f>290*U1264/1000</f>
        <v/>
      </c>
      <c r="V1265" t="n">
        <v>0</v>
      </c>
    </row>
    <row r="1266">
      <c r="A1266">
        <f>Skills!A7</f>
        <v/>
      </c>
      <c r="B1266">
        <f>Skills!B7</f>
        <v/>
      </c>
      <c r="C1266">
        <f>Inputs!$B$3&gt;=66</f>
        <v/>
      </c>
      <c r="D1266">
        <f>IF(Skills!C7=1,60+Inputs!$B$25+Inputs!$B$29,IF(Skills!C7=2,90+Inputs!$B$26+Inputs!$B$29,IF(Skills!C7=3,120+Inputs!$B$27+Inputs!$B$29,MAX(0,(Inputs!$B$3-100)*3)+Inputs!$B$28+Inputs!$B$29)))</f>
        <v/>
      </c>
      <c r="E1266">
        <f>INDEX(FactorTable!$B$2:$Y$301, MATCH(ROUND(MIN(300,MAX(1,D1266)),0), FactorTable!$A$2:$A$301,0), Skills!M7+1)</f>
        <v/>
      </c>
      <c r="F1266">
        <f>IF(Skills!N7=TRUE,(Skills!L7/10)*(E1266/1000),Skills!L7/10)+Skills!O7</f>
        <v/>
      </c>
      <c r="G1266">
        <f>Calc!G7</f>
        <v/>
      </c>
      <c r="H1266">
        <f>Calc!H7</f>
        <v/>
      </c>
      <c r="I1266">
        <f>IF(Skills!AA7&lt;&gt;"",1+(Skills!AA7/10)*(U1262/1000)/100,1)</f>
        <v/>
      </c>
      <c r="J1266" t="inlineStr"/>
      <c r="K1266" t="inlineStr"/>
      <c r="L1266" t="inlineStr"/>
      <c r="M1266" t="inlineStr"/>
      <c r="N1266" t="inlineStr"/>
      <c r="O1266">
        <f>(1-Summary!$B$55)*T1266+Summary!$B$55*V1266</f>
        <v/>
      </c>
      <c r="P1266">
        <f>IF(B1303=0,0,O1266/B1303)</f>
        <v/>
      </c>
      <c r="Q1266" t="n">
        <v>0</v>
      </c>
      <c r="R1266" t="n">
        <v>0</v>
      </c>
      <c r="S1266">
        <f>IFERROR(O1266/N1266,0)</f>
        <v/>
      </c>
      <c r="T1266" t="n">
        <v>0</v>
      </c>
      <c r="V1266" t="n">
        <v>0</v>
      </c>
    </row>
    <row r="1267">
      <c r="A1267">
        <f>Skills!A8</f>
        <v/>
      </c>
      <c r="B1267">
        <f>Skills!B8</f>
        <v/>
      </c>
      <c r="C1267">
        <f>Inputs!$B$3&gt;=69</f>
        <v/>
      </c>
      <c r="D1267">
        <f>IF(Skills!C8=1,60+Inputs!$B$25+Inputs!$B$29,IF(Skills!C8=2,90+Inputs!$B$26+Inputs!$B$29,IF(Skills!C8=3,120+Inputs!$B$27+Inputs!$B$29,MAX(0,(Inputs!$B$3-100)*3)+Inputs!$B$28+Inputs!$B$29)))</f>
        <v/>
      </c>
      <c r="E1267">
        <f>INDEX(FactorTable!$B$2:$Y$301, MATCH(ROUND(MIN(300,MAX(1,D1267)),0), FactorTable!$A$2:$A$301,0), Skills!M8+1)</f>
        <v/>
      </c>
      <c r="F1267">
        <f>IF(Skills!N8=TRUE,(Skills!L8/10)*(E1267/1000),Skills!L8/10)+Skills!O8</f>
        <v/>
      </c>
      <c r="G1267">
        <f>Calc!G8</f>
        <v/>
      </c>
      <c r="H1267">
        <f>Calc!H8</f>
        <v/>
      </c>
      <c r="I1267">
        <f>IF(Skills!AA8&lt;&gt;"",1+(Skills!AA8/10)*(U1262/1000)/100,1)</f>
        <v/>
      </c>
      <c r="J1267">
        <f>((Inputs!$B$6*(1+Inputs!$B$7/100))+(((Inputs!$B$12*(1+Inputs!$B$13/100))-(Inputs!$B$12*(1+Inputs!$B$13/100)))+0.25*(Inputs!$B$14-Inputs!$B$14))*(1+Inputs!$B$7/100))*(F1267/100)</f>
        <v/>
      </c>
      <c r="K1267">
        <f>J1267*(1+((Inputs!$B$12*(1+Inputs!$B$13/100))*0.01+Inputs!$B$14*0.0025)/100)*(1+Inputs!$B$15/100)*(1+Inputs!$B$16/100)*(5000/(6000+Inputs!$B$43*(1-Inputs!$B$19/100)))*(1+(Inputs!$B$24+((C1289=TRUE)*(F1289-Calc!F30)))/100)*(1+Skills!R8/100)*(1+(IF(Skills!A8="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1267)</f>
        <v/>
      </c>
      <c r="L1267">
        <f>K1267*(MIN(Inputs!$B$22+((C1283=TRUE)*(F1283-Calc!F24)),Inputs!$B$23)/100+Inputs!$B$23/100)/2</f>
        <v/>
      </c>
      <c r="M1267">
        <f>L1267*(1+(Inputs!$B$10+((C1285=TRUE)*(F1285-Calc!F26))+B1302)/100)</f>
        <v/>
      </c>
      <c r="N1267">
        <f>L1267*(1-MIN((Inputs!$B$9+((C1284=TRUE)*(F1284-Calc!F25))+B1299),100)/100)+M1267*(MIN((Inputs!$B$9+((C1284=TRUE)*(F1284-Calc!F25))+B1299),100)/100)</f>
        <v/>
      </c>
      <c r="O1267">
        <f>(1-Summary!$B$55)*T1267+Summary!$B$55*V1267</f>
        <v/>
      </c>
      <c r="P1267">
        <f>IF(B1303=0,0,O1267/B1303)</f>
        <v/>
      </c>
      <c r="Q1267">
        <f>IFERROR(1/IF(Inputs!$B$39="pvp",15,MAX(0.1,Skills!D8-IF(Skills!E8=TRUE,Inputs!$B$32,0))),0)</f>
        <v/>
      </c>
      <c r="R1267">
        <f>IF(AND(Inputs!$B$39&lt;&gt;"pvp",Inputs!$B$44&gt;0),IF(MAX(0,Inputs!$B$44-B1304)&lt;=0,0,(INT(MAX(0,Inputs!$B$44-B1304)/IF(Inputs!$B$39="pvp",15,MAX(0.1,Skills!D8-IF(Skills!E8=TRUE,Inputs!$B$32,0))))+1)),0)</f>
        <v/>
      </c>
      <c r="S1267">
        <f>IFERROR(O1267/N1267,0)</f>
        <v/>
      </c>
      <c r="T1267">
        <f>IF(C1267,(H1267*N1267*IF(AND(Inputs!$B$39&lt;&gt;"pvp",Inputs!$B$44&gt;0),((Skills!G8*((R1267-1)*IF(Skills!H8&gt;0,Skills!I8/Skills!H8,1)+IF(Skills!H8&gt;0,MIN(Skills!I8,MAX(0,MAX(0,Inputs!$B$44-B1304)-((R1267-1)*IF(Inputs!$B$39="pvp",15,MAX(0.1,Skills!D8-IF(Skills!E8=TRUE,Inputs!$B$32,0))))))/Skills!H8,1)))/Inputs!$B$44),G1267*Q1267))*IF(Inputs!$B$39="pvp",1,1+(Inputs!$B$20+((C1286=TRUE)*(F1286-Calc!F27))+Skills!P8+B1300)/100),0)</f>
        <v/>
      </c>
      <c r="V1267">
        <f>IF(C1267,(H1267*N1267*IF(AND(Inputs!$B$39&lt;&gt;"pvp",Inputs!$B$44&gt;0),((Skills!G8*((R1267-1)*IF(Skills!H8&gt;0,Skills!I8/Skills!H8,1)+IF(Skills!H8&gt;0,MIN(Skills!I8,MAX(0,MAX(0,Inputs!$B$44-B1304)-((R1267-1)*IF(Inputs!$B$39="pvp",15,MAX(0.1,Skills!D8-IF(Skills!E8=TRUE,Inputs!$B$32,0))))))/Skills!H8,1)))/Inputs!$B$44),G1267*Q1267))*IF(Inputs!$B$39="pvp",1,(1+(Inputs!$B$21+Skills!Q8+B1300)/100)*(MIN(Skills!W8,Inputs!$B$37))),0)</f>
        <v/>
      </c>
    </row>
    <row r="1268">
      <c r="A1268">
        <f>Skills!A9</f>
        <v/>
      </c>
      <c r="B1268">
        <f>Skills!B9</f>
        <v/>
      </c>
      <c r="C1268">
        <f>Inputs!$B$3&gt;=72</f>
        <v/>
      </c>
      <c r="D1268">
        <f>IF(Skills!C9=1,60+Inputs!$B$25+Inputs!$B$29,IF(Skills!C9=2,90+Inputs!$B$26+Inputs!$B$29,IF(Skills!C9=3,120+Inputs!$B$27+Inputs!$B$29,MAX(0,(Inputs!$B$3-100)*3)+Inputs!$B$28+Inputs!$B$29)))</f>
        <v/>
      </c>
      <c r="E1268">
        <f>INDEX(FactorTable!$B$2:$Y$301, MATCH(ROUND(MIN(300,MAX(1,D1268)),0), FactorTable!$A$2:$A$301,0), Skills!M9+1)</f>
        <v/>
      </c>
      <c r="F1268">
        <f>IF(Skills!N9=TRUE,(Skills!L9/10)*(E1268/1000),Skills!L9/10)+Skills!O9</f>
        <v/>
      </c>
      <c r="G1268">
        <f>Calc!G9</f>
        <v/>
      </c>
      <c r="H1268">
        <f>Calc!H9</f>
        <v/>
      </c>
      <c r="I1268">
        <f>IF(Skills!AA9&lt;&gt;"",1+(Skills!AA9/10)*(U1262/1000)/100,1)</f>
        <v/>
      </c>
      <c r="J1268">
        <f>((Inputs!$B$6*(1+Inputs!$B$7/100))+(((Inputs!$B$12*(1+Inputs!$B$13/100))-(Inputs!$B$12*(1+Inputs!$B$13/100)))+0.25*(Inputs!$B$14-Inputs!$B$14))*(1+Inputs!$B$7/100))*(F1268/100)</f>
        <v/>
      </c>
      <c r="K1268">
        <f>J1268*(1+((Inputs!$B$12*(1+Inputs!$B$13/100))*0.01+Inputs!$B$14*0.0025)/100)*(1+Inputs!$B$15/100)*(1+Inputs!$B$16/100)*(5000/(6000+Inputs!$B$43*(1-Inputs!$B$19/100)))*(1+(Inputs!$B$24+((C1289=TRUE)*(F1289-Calc!F30)))/100)*(1+Skills!R9/100)*(1+(IF(Skills!A9="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1268)</f>
        <v/>
      </c>
      <c r="L1268">
        <f>K1268*(MIN(Inputs!$B$22+((C1283=TRUE)*(F1283-Calc!F24)),Inputs!$B$23)/100+Inputs!$B$23/100)/2</f>
        <v/>
      </c>
      <c r="M1268">
        <f>L1268*(1+(Inputs!$B$10+((C1285=TRUE)*(F1285-Calc!F26))+B1302)/100)</f>
        <v/>
      </c>
      <c r="N1268">
        <f>L1268*(1-MIN((Inputs!$B$9+((C1284=TRUE)*(F1284-Calc!F25))+B1299),100)/100)+M1268*(MIN((Inputs!$B$9+((C1284=TRUE)*(F1284-Calc!F25))+B1299),100)/100)</f>
        <v/>
      </c>
      <c r="O1268">
        <f>(1-Summary!$B$55)*T1268+Summary!$B$55*V1268</f>
        <v/>
      </c>
      <c r="P1268">
        <f>IF(B1303=0,0,O1268/B1303)</f>
        <v/>
      </c>
      <c r="Q1268">
        <f>IFERROR(1/IF(Inputs!$B$39="pvp",15,MAX(0.1,Skills!D9-IF(Skills!E9=TRUE,Inputs!$B$32,0))),0)</f>
        <v/>
      </c>
      <c r="R1268">
        <f>IF(AND(Inputs!$B$39&lt;&gt;"pvp",Inputs!$B$44&gt;0),IF(MAX(0,Inputs!$B$44-B1304)&lt;=0,0,(INT(MAX(0,Inputs!$B$44-B1304)/IF(Inputs!$B$39="pvp",15,MAX(0.1,Skills!D9-IF(Skills!E9=TRUE,Inputs!$B$32,0))))+1)),0)</f>
        <v/>
      </c>
      <c r="S1268">
        <f>IFERROR(O1268/N1268,0)</f>
        <v/>
      </c>
      <c r="T1268">
        <f>IF(C1268,(H1268*N1268*IF(AND(Inputs!$B$39&lt;&gt;"pvp",Inputs!$B$44&gt;0),((Skills!G9*((R1268-1)*IF(Skills!H9&gt;0,Skills!I9/Skills!H9,1)+IF(Skills!H9&gt;0,MIN(Skills!I9,MAX(0,MAX(0,Inputs!$B$44-B1304)-((R1268-1)*IF(Inputs!$B$39="pvp",15,MAX(0.1,Skills!D9-IF(Skills!E9=TRUE,Inputs!$B$32,0))))))/Skills!H9,1)))/Inputs!$B$44),G1268*Q1268))*IF(Inputs!$B$39="pvp",1,1+(Inputs!$B$20+((C1286=TRUE)*(F1286-Calc!F27))+Skills!P9+B1300)/100),0)</f>
        <v/>
      </c>
      <c r="V1268">
        <f>IF(C1268,(H1268*N1268*IF(AND(Inputs!$B$39&lt;&gt;"pvp",Inputs!$B$44&gt;0),((Skills!G9*((R1268-1)*IF(Skills!H9&gt;0,Skills!I9/Skills!H9,1)+IF(Skills!H9&gt;0,MIN(Skills!I9,MAX(0,MAX(0,Inputs!$B$44-B1304)-((R1268-1)*IF(Inputs!$B$39="pvp",15,MAX(0.1,Skills!D9-IF(Skills!E9=TRUE,Inputs!$B$32,0))))))/Skills!H9,1)))/Inputs!$B$44),G1268*Q1268))*IF(Inputs!$B$39="pvp",1,(1+(Inputs!$B$21+Skills!Q9+B1300)/100)*(MIN(Skills!W9,Inputs!$B$37))),0)</f>
        <v/>
      </c>
    </row>
    <row r="1269">
      <c r="A1269">
        <f>Skills!A10</f>
        <v/>
      </c>
      <c r="B1269">
        <f>Skills!B10</f>
        <v/>
      </c>
      <c r="C1269">
        <f>Inputs!$B$3&gt;=117</f>
        <v/>
      </c>
      <c r="D1269">
        <f>IF(Skills!C10=1,60+Inputs!$B$25+Inputs!$B$29,IF(Skills!C10=2,90+Inputs!$B$26+Inputs!$B$29,IF(Skills!C10=3,120+Inputs!$B$27+Inputs!$B$29,MAX(0,(Inputs!$B$3-100)*3)+Inputs!$B$28+Inputs!$B$29)))</f>
        <v/>
      </c>
      <c r="E1269">
        <f>INDEX(FactorTable!$B$2:$Y$301, MATCH(ROUND(MIN(300,MAX(1,D1269)),0), FactorTable!$A$2:$A$301,0), Skills!M10+1)</f>
        <v/>
      </c>
      <c r="F1269">
        <f>IF(Skills!N10=TRUE,(Skills!L10/10)*(E1269/1000),Skills!L10/10)+Skills!O10</f>
        <v/>
      </c>
      <c r="G1269">
        <f>Calc!G10</f>
        <v/>
      </c>
      <c r="H1269">
        <f>Calc!H10</f>
        <v/>
      </c>
      <c r="I1269">
        <f>IF(Skills!AA10&lt;&gt;"",1+(Skills!AA10/10)*(U1262/1000)/100,1)</f>
        <v/>
      </c>
      <c r="J1269">
        <f>((Inputs!$B$6*(1+Inputs!$B$7/100))+(((Inputs!$B$12*(1+Inputs!$B$13/100))-(Inputs!$B$12*(1+Inputs!$B$13/100)))+0.25*(Inputs!$B$14-Inputs!$B$14))*(1+Inputs!$B$7/100))*(F1269/100)</f>
        <v/>
      </c>
      <c r="K1269">
        <f>J1269*(1+((Inputs!$B$12*(1+Inputs!$B$13/100))*0.01+Inputs!$B$14*0.0025)/100)*(1+Inputs!$B$15/100)*(1+Inputs!$B$16/100)*(5000/(6000+Inputs!$B$43*(1-Inputs!$B$19/100)))*(1+(Inputs!$B$24+((C1289=TRUE)*(F1289-Calc!F30)))/100)*(1+Skills!R10/100)*(1+(IF(Skills!A10="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1269)</f>
        <v/>
      </c>
      <c r="L1269">
        <f>K1269*(MIN(Inputs!$B$22+((C1283=TRUE)*(F1283-Calc!F24)),Inputs!$B$23)/100+Inputs!$B$23/100)/2</f>
        <v/>
      </c>
      <c r="M1269">
        <f>L1269*(1+(Inputs!$B$10+((C1285=TRUE)*(F1285-Calc!F26))+B1302)/100)</f>
        <v/>
      </c>
      <c r="N1269">
        <f>L1269*(1-MIN((Inputs!$B$9+((C1284=TRUE)*(F1284-Calc!F25))+B1299),100)/100)+M1269*(MIN((Inputs!$B$9+((C1284=TRUE)*(F1284-Calc!F25))+B1299),100)/100)</f>
        <v/>
      </c>
      <c r="O1269">
        <f>(1-Summary!$B$55)*T1269+Summary!$B$55*V1269</f>
        <v/>
      </c>
      <c r="P1269">
        <f>IF(B1303=0,0,O1269/B1303)</f>
        <v/>
      </c>
      <c r="Q1269" t="n">
        <v>0</v>
      </c>
      <c r="R1269" t="n">
        <v>0</v>
      </c>
      <c r="S1269" t="n">
        <v>0</v>
      </c>
      <c r="T1269">
        <f>IF(C1269,(0.2*SUMPRODUCT((Skills!Z2:Z31=TRUE)*(C1261:C1290=TRUE)*S1261:S1290)*N1269)*IF(Inputs!$B$39="pvp",1,1+(Inputs!$B$20+((C1286=TRUE)*(F1286-Calc!F27))+Skills!P10+B1300)/100),0)</f>
        <v/>
      </c>
      <c r="V1269">
        <f>IF(C1269,(0.2*SUMPRODUCT((Skills!Z2:Z31=TRUE)*(C1261:C1290=TRUE)*S1261:S1290)*N1269)*IF(Inputs!$B$39="pvp",1,(1+(Inputs!$B$21+Skills!Q10+B1300)/100)*(MIN(Skills!W10,Inputs!$B$37))),0)</f>
        <v/>
      </c>
    </row>
    <row r="1270">
      <c r="A1270">
        <f>Skills!A11</f>
        <v/>
      </c>
      <c r="B1270">
        <f>Skills!B11</f>
        <v/>
      </c>
      <c r="C1270">
        <f>Inputs!$B$3&gt;=60</f>
        <v/>
      </c>
      <c r="D1270">
        <f>IF(Skills!C11=1,60+Inputs!$B$25+Inputs!$B$29,IF(Skills!C11=2,90+Inputs!$B$26+Inputs!$B$29,IF(Skills!C11=3,120+Inputs!$B$27+Inputs!$B$29,MAX(0,(Inputs!$B$3-100)*3)+Inputs!$B$28+Inputs!$B$29)))</f>
        <v/>
      </c>
      <c r="E1270">
        <f>INDEX(FactorTable!$B$2:$Y$301, MATCH(ROUND(MIN(300,MAX(1,D1270)),0), FactorTable!$A$2:$A$301,0), Skills!M11+1)</f>
        <v/>
      </c>
      <c r="F1270">
        <f>IF(Skills!N11=TRUE,(Skills!L11/10)*(E1270/1000),Skills!L11/10)+Skills!O11</f>
        <v/>
      </c>
      <c r="G1270">
        <f>Calc!G11</f>
        <v/>
      </c>
      <c r="H1270">
        <f>Calc!H11</f>
        <v/>
      </c>
      <c r="I1270">
        <f>IF(Skills!AA11&lt;&gt;"",1+(Skills!AA11/10)*(U1262/1000)/100,1)</f>
        <v/>
      </c>
      <c r="J1270" t="inlineStr"/>
      <c r="K1270" t="inlineStr"/>
      <c r="L1270" t="inlineStr"/>
      <c r="M1270" t="inlineStr"/>
      <c r="N1270" t="inlineStr"/>
      <c r="O1270">
        <f>(1-Summary!$B$55)*T1270+Summary!$B$55*V1270</f>
        <v/>
      </c>
      <c r="P1270">
        <f>IF(B1303=0,0,O1270/B1303)</f>
        <v/>
      </c>
      <c r="Q1270" t="n">
        <v>0</v>
      </c>
      <c r="R1270" t="n">
        <v>0</v>
      </c>
      <c r="S1270">
        <f>IFERROR(O1270/N1270,0)</f>
        <v/>
      </c>
      <c r="T1270" t="n">
        <v>0</v>
      </c>
      <c r="V1270" t="n">
        <v>0</v>
      </c>
    </row>
    <row r="1271">
      <c r="A1271">
        <f>Skills!A12</f>
        <v/>
      </c>
      <c r="B1271">
        <f>Skills!B12</f>
        <v/>
      </c>
      <c r="C1271">
        <f>Inputs!$B$3&gt;=103</f>
        <v/>
      </c>
      <c r="D1271">
        <f>IF(Skills!C12=1,60+Inputs!$B$25+Inputs!$B$29,IF(Skills!C12=2,90+Inputs!$B$26+Inputs!$B$29,IF(Skills!C12=3,120+Inputs!$B$27+Inputs!$B$29,MAX(0,(Inputs!$B$3-100)*3)+Inputs!$B$28+Inputs!$B$29)))</f>
        <v/>
      </c>
      <c r="E1271">
        <f>INDEX(FactorTable!$B$2:$Y$301, MATCH(ROUND(MIN(300,MAX(1,D1271)),0), FactorTable!$A$2:$A$301,0), Skills!M12+1)</f>
        <v/>
      </c>
      <c r="F1271">
        <f>IF(Skills!N12=TRUE,(Skills!L12/10)*(E1271/1000),Skills!L12/10)+Skills!O12</f>
        <v/>
      </c>
      <c r="G1271">
        <f>Calc!G12</f>
        <v/>
      </c>
      <c r="H1271">
        <f>Calc!H12</f>
        <v/>
      </c>
      <c r="I1271">
        <f>IF(Skills!AA12&lt;&gt;"",1+(Skills!AA12/10)*(U1262/1000)/100,1)</f>
        <v/>
      </c>
      <c r="J1271">
        <f>((Inputs!$B$6*(1+Inputs!$B$7/100))+(((Inputs!$B$12*(1+Inputs!$B$13/100))-(Inputs!$B$12*(1+Inputs!$B$13/100)))+0.25*(Inputs!$B$14-Inputs!$B$14))*(1+Inputs!$B$7/100))*(F1271/100)</f>
        <v/>
      </c>
      <c r="K1271">
        <f>J1271*(1+((Inputs!$B$12*(1+Inputs!$B$13/100))*0.01+Inputs!$B$14*0.0025)/100)*(1+Inputs!$B$15/100)*(1+Inputs!$B$16/100)*(5000/(6000+Inputs!$B$43*(1-Inputs!$B$19/100)))*(1+(Inputs!$B$24+((C1289=TRUE)*(F1289-Calc!F30)))/100)*(1+Skills!R12/100)*(1+(IF(Skills!A12="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1271)</f>
        <v/>
      </c>
      <c r="L1271">
        <f>K1271*(MIN(Inputs!$B$22+((C1283=TRUE)*(F1283-Calc!F24)),Inputs!$B$23)/100+Inputs!$B$23/100)/2</f>
        <v/>
      </c>
      <c r="M1271">
        <f>L1271*(1+(Inputs!$B$10+((C1285=TRUE)*(F1285-Calc!F26))+B1302)/100)</f>
        <v/>
      </c>
      <c r="N1271">
        <f>L1271*(1-MIN((Inputs!$B$9+((C1284=TRUE)*(F1284-Calc!F25))+B1299),100)/100)+M1271*(MIN((Inputs!$B$9+((C1284=TRUE)*(F1284-Calc!F25))+B1299),100)/100)</f>
        <v/>
      </c>
      <c r="O1271">
        <f>(1-Summary!$B$55)*T1271+Summary!$B$55*V1271</f>
        <v/>
      </c>
      <c r="P1271">
        <f>IF(B1303=0,0,O1271/B1303)</f>
        <v/>
      </c>
      <c r="Q1271">
        <f>IFERROR(1/IF(Inputs!$B$39="pvp",15,MAX(0.1,Skills!D12-IF(Skills!E12=TRUE,Inputs!$B$32,0))),0)</f>
        <v/>
      </c>
      <c r="R1271">
        <f>IF(AND(Inputs!$B$39&lt;&gt;"pvp",Inputs!$B$44&gt;0),IF(MAX(0,Inputs!$B$44-B1304)&lt;=0,0,(INT(MAX(0,Inputs!$B$44-B1304)/IF(Inputs!$B$39="pvp",15,MAX(0.1,Skills!D12-IF(Skills!E12=TRUE,Inputs!$B$32,0))))+1)),0)</f>
        <v/>
      </c>
      <c r="S1271">
        <f>IFERROR(O1271/N1271,0)</f>
        <v/>
      </c>
      <c r="T1271">
        <f>IF(C1271,(H1271*N1271*IF(AND(Inputs!$B$39&lt;&gt;"pvp",Inputs!$B$44&gt;0),((Skills!G12*((R1271-1)*IF(Skills!H12&gt;0,Skills!I12/Skills!H12,1)+IF(Skills!H12&gt;0,MIN(Skills!I12,MAX(0,MAX(0,Inputs!$B$44-B1304)-((R1271-1)*IF(Inputs!$B$39="pvp",15,MAX(0.1,Skills!D12-IF(Skills!E12=TRUE,Inputs!$B$32,0))))))/Skills!H12,1)))/Inputs!$B$44),G1271*Q1271))*IF(Inputs!$B$39="pvp",1,1+(Inputs!$B$20+((C1286=TRUE)*(F1286-Calc!F27))+Skills!P12+B1300)/100),0)</f>
        <v/>
      </c>
      <c r="V1271">
        <f>IF(C1271,(H1271*N1271*IF(AND(Inputs!$B$39&lt;&gt;"pvp",Inputs!$B$44&gt;0),((Skills!G12*((R1271-1)*IF(Skills!H12&gt;0,Skills!I12/Skills!H12,1)+IF(Skills!H12&gt;0,MIN(Skills!I12,MAX(0,MAX(0,Inputs!$B$44-B1304)-((R1271-1)*IF(Inputs!$B$39="pvp",15,MAX(0.1,Skills!D12-IF(Skills!E12=TRUE,Inputs!$B$32,0))))))/Skills!H12,1)))/Inputs!$B$44),G1271*Q1271))*IF(Inputs!$B$39="pvp",1,(1+(Inputs!$B$21+Skills!Q12+B1300)/100)*(MIN(Skills!W12,Inputs!$B$37))),0)</f>
        <v/>
      </c>
    </row>
    <row r="1272">
      <c r="A1272">
        <f>Skills!A13</f>
        <v/>
      </c>
      <c r="B1272">
        <f>Skills!B13</f>
        <v/>
      </c>
      <c r="C1272">
        <f>Inputs!$B$3&gt;=105</f>
        <v/>
      </c>
      <c r="D1272">
        <f>IF(Skills!C13=1,60+Inputs!$B$25+Inputs!$B$29,IF(Skills!C13=2,90+Inputs!$B$26+Inputs!$B$29,IF(Skills!C13=3,120+Inputs!$B$27+Inputs!$B$29,MAX(0,(Inputs!$B$3-100)*3)+Inputs!$B$28+Inputs!$B$29)))</f>
        <v/>
      </c>
      <c r="E1272">
        <f>INDEX(FactorTable!$B$2:$Y$301, MATCH(ROUND(MIN(300,MAX(1,D1272)),0), FactorTable!$A$2:$A$301,0), Skills!M13+1)</f>
        <v/>
      </c>
      <c r="F1272">
        <f>IF(Skills!N13=TRUE,(Skills!L13/10)*(E1272/1000),Skills!L13/10)+Skills!O13</f>
        <v/>
      </c>
      <c r="G1272">
        <f>Calc!G13</f>
        <v/>
      </c>
      <c r="H1272">
        <f>Calc!H13</f>
        <v/>
      </c>
      <c r="I1272">
        <f>IF(Skills!AA13&lt;&gt;"",1+(Skills!AA13/10)*(U1262/1000)/100,1)</f>
        <v/>
      </c>
      <c r="J1272">
        <f>((Inputs!$B$6*(1+Inputs!$B$7/100))+(((Inputs!$B$12*(1+Inputs!$B$13/100))-(Inputs!$B$12*(1+Inputs!$B$13/100)))+0.25*(Inputs!$B$14-Inputs!$B$14))*(1+Inputs!$B$7/100))*(F1272/100)</f>
        <v/>
      </c>
      <c r="K1272">
        <f>J1272*(1+((Inputs!$B$12*(1+Inputs!$B$13/100))*0.01+Inputs!$B$14*0.0025)/100)*(1+Inputs!$B$15/100)*(1+Inputs!$B$16/100)*(5000/(6000+Inputs!$B$43*(1-Inputs!$B$19/100)))*(1+(Inputs!$B$24+((C1289=TRUE)*(F1289-Calc!F30)))/100)*(1+Skills!R13/100)*(1+(IF(Skills!A13="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1272)</f>
        <v/>
      </c>
      <c r="L1272">
        <f>K1272*(MIN(Inputs!$B$22+((C1283=TRUE)*(F1283-Calc!F24)),Inputs!$B$23)/100+Inputs!$B$23/100)/2</f>
        <v/>
      </c>
      <c r="M1272">
        <f>L1272*(1+(Inputs!$B$10+((C1285=TRUE)*(F1285-Calc!F26))+B1302)/100)</f>
        <v/>
      </c>
      <c r="N1272">
        <f>L1272*(1-MIN((Inputs!$B$9+((C1284=TRUE)*(F1284-Calc!F25))+B1299),100)/100)+M1272*(MIN((Inputs!$B$9+((C1284=TRUE)*(F1284-Calc!F25))+B1299),100)/100)</f>
        <v/>
      </c>
      <c r="O1272">
        <f>(1-Summary!$B$55)*T1272+Summary!$B$55*V1272</f>
        <v/>
      </c>
      <c r="P1272">
        <f>IF(B1303=0,0,O1272/B1303)</f>
        <v/>
      </c>
      <c r="Q1272">
        <f>IFERROR(1/IF(Inputs!$B$39="pvp",15,MAX(0.1,Skills!D13-IF(Skills!E13=TRUE,Inputs!$B$32,0))),0)</f>
        <v/>
      </c>
      <c r="R1272">
        <f>IF(AND(Inputs!$B$39&lt;&gt;"pvp",Inputs!$B$44&gt;0),IF(MAX(0,Inputs!$B$44-B1304)&lt;=0,0,(INT(MAX(0,Inputs!$B$44-B1304)/IF(Inputs!$B$39="pvp",15,MAX(0.1,Skills!D13-IF(Skills!E13=TRUE,Inputs!$B$32,0))))+1)),0)</f>
        <v/>
      </c>
      <c r="S1272">
        <f>IFERROR(O1272/N1272,0)</f>
        <v/>
      </c>
      <c r="T1272">
        <f>IF(C1272,(H1272*N1272*IF(AND(Inputs!$B$39&lt;&gt;"pvp",Inputs!$B$44&gt;0),((Skills!G13*((R1272-1)*IF(Skills!H13&gt;0,Skills!I13/Skills!H13,1)+IF(Skills!H13&gt;0,MIN(Skills!I13,MAX(0,MAX(0,Inputs!$B$44-B1304)-((R1272-1)*IF(Inputs!$B$39="pvp",15,MAX(0.1,Skills!D13-IF(Skills!E13=TRUE,Inputs!$B$32,0))))))/Skills!H13,1)))/Inputs!$B$44),G1272*Q1272))*IF(Inputs!$B$39="pvp",1,1+(Inputs!$B$20+((C1286=TRUE)*(F1286-Calc!F27))+Skills!P13+B1300)/100),0)</f>
        <v/>
      </c>
      <c r="V1272">
        <f>IF(C1272,(H1272*N1272*IF(AND(Inputs!$B$39&lt;&gt;"pvp",Inputs!$B$44&gt;0),((Skills!G13*((R1272-1)*IF(Skills!H13&gt;0,Skills!I13/Skills!H13,1)+IF(Skills!H13&gt;0,MIN(Skills!I13,MAX(0,MAX(0,Inputs!$B$44-B1304)-((R1272-1)*IF(Inputs!$B$39="pvp",15,MAX(0.1,Skills!D13-IF(Skills!E13=TRUE,Inputs!$B$32,0))))))/Skills!H13,1)))/Inputs!$B$44),G1272*Q1272))*IF(Inputs!$B$39="pvp",1,(1+(Inputs!$B$21+Skills!Q13+B1300)/100)*(MIN(Skills!W13,Inputs!$B$37))),0)</f>
        <v/>
      </c>
    </row>
    <row r="1273">
      <c r="A1273">
        <f>Skills!A14</f>
        <v/>
      </c>
      <c r="B1273">
        <f>Skills!B14</f>
        <v/>
      </c>
      <c r="C1273">
        <f>Inputs!$B$3&gt;=105</f>
        <v/>
      </c>
      <c r="D1273">
        <f>IF(Skills!C14=1,60+Inputs!$B$25+Inputs!$B$29,IF(Skills!C14=2,90+Inputs!$B$26+Inputs!$B$29,IF(Skills!C14=3,120+Inputs!$B$27+Inputs!$B$29,MAX(0,(Inputs!$B$3-100)*3)+Inputs!$B$28+Inputs!$B$29)))</f>
        <v/>
      </c>
      <c r="E1273">
        <f>INDEX(FactorTable!$B$2:$Y$301, MATCH(ROUND(MIN(300,MAX(1,D1273)),0), FactorTable!$A$2:$A$301,0), Skills!M14+1)</f>
        <v/>
      </c>
      <c r="F1273">
        <f>IF(Skills!N14=TRUE,(Skills!L14/10)*(E1273/1000),Skills!L14/10)+Skills!O14</f>
        <v/>
      </c>
      <c r="G1273">
        <f>Calc!G14</f>
        <v/>
      </c>
      <c r="H1273">
        <f>Calc!H14</f>
        <v/>
      </c>
      <c r="I1273">
        <f>IF(Skills!AA14&lt;&gt;"",1+(Skills!AA14/10)*(U1262/1000)/100,1)</f>
        <v/>
      </c>
      <c r="J1273">
        <f>((Inputs!$B$6*(1+Inputs!$B$7/100))+(((Inputs!$B$12*(1+Inputs!$B$13/100))-(Inputs!$B$12*(1+Inputs!$B$13/100)))+0.25*(Inputs!$B$14-Inputs!$B$14))*(1+Inputs!$B$7/100))*(F1273/100)</f>
        <v/>
      </c>
      <c r="K1273">
        <f>J1273*(1+((Inputs!$B$12*(1+Inputs!$B$13/100))*0.01+Inputs!$B$14*0.0025)/100)*(1+Inputs!$B$15/100)*(1+Inputs!$B$16/100)*(5000/(6000+Inputs!$B$43*(1-Inputs!$B$19/100)))*(1+(Inputs!$B$24+((C1289=TRUE)*(F1289-Calc!F30)))/100)*(1+Skills!R14/100)*(1+(IF(Skills!A14="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1273)</f>
        <v/>
      </c>
      <c r="L1273">
        <f>K1273*(MIN(Inputs!$B$22+((C1283=TRUE)*(F1283-Calc!F24)),Inputs!$B$23)/100+Inputs!$B$23/100)/2</f>
        <v/>
      </c>
      <c r="M1273">
        <f>L1273*(1+(Inputs!$B$10+((C1285=TRUE)*(F1285-Calc!F26))+B1302)/100)</f>
        <v/>
      </c>
      <c r="N1273">
        <f>L1273*(1-MIN((Inputs!$B$9+((C1284=TRUE)*(F1284-Calc!F25))+B1299),100)/100)+M1273*(MIN((Inputs!$B$9+((C1284=TRUE)*(F1284-Calc!F25))+B1299),100)/100)</f>
        <v/>
      </c>
      <c r="O1273">
        <f>(1-Summary!$B$55)*T1273+Summary!$B$55*V1273</f>
        <v/>
      </c>
      <c r="P1273">
        <f>IF(B1303=0,0,O1273/B1303)</f>
        <v/>
      </c>
      <c r="Q1273">
        <f>IFERROR(1/IF(Inputs!$B$39="pvp",15,MAX(0.1,Skills!D14-IF(Skills!E14=TRUE,Inputs!$B$32,0))),0)</f>
        <v/>
      </c>
      <c r="R1273">
        <f>IF(AND(Inputs!$B$39&lt;&gt;"pvp",Inputs!$B$44&gt;0),IF(MAX(0,Inputs!$B$44-B1304)&lt;=0,0,(INT(MAX(0,Inputs!$B$44-B1304)/IF(Inputs!$B$39="pvp",15,MAX(0.1,Skills!D14-IF(Skills!E14=TRUE,Inputs!$B$32,0))))+1)),0)</f>
        <v/>
      </c>
      <c r="S1273">
        <f>IFERROR(O1273/N1273,0)</f>
        <v/>
      </c>
      <c r="T1273">
        <f>IF(C1273,(H1273*N1273*IF(AND(Inputs!$B$39&lt;&gt;"pvp",Inputs!$B$44&gt;0),((Skills!G14*((R1273-1)*IF(Skills!H14&gt;0,Skills!I14/Skills!H14,1)+IF(Skills!H14&gt;0,MIN(Skills!I14,MAX(0,MAX(0,Inputs!$B$44-B1304)-((R1273-1)*IF(Inputs!$B$39="pvp",15,MAX(0.1,Skills!D14-IF(Skills!E14=TRUE,Inputs!$B$32,0))))))/Skills!H14,1)))/Inputs!$B$44),G1273*Q1273))*IF(Inputs!$B$39="pvp",1,1+(Inputs!$B$20+((C1286=TRUE)*(F1286-Calc!F27))+Skills!P14+B1300)/100),0)</f>
        <v/>
      </c>
      <c r="V1273">
        <f>IF(C1273,(H1273*N1273*IF(AND(Inputs!$B$39&lt;&gt;"pvp",Inputs!$B$44&gt;0),((Skills!G14*((R1273-1)*IF(Skills!H14&gt;0,Skills!I14/Skills!H14,1)+IF(Skills!H14&gt;0,MIN(Skills!I14,MAX(0,MAX(0,Inputs!$B$44-B1304)-((R1273-1)*IF(Inputs!$B$39="pvp",15,MAX(0.1,Skills!D14-IF(Skills!E14=TRUE,Inputs!$B$32,0))))))/Skills!H14,1)))/Inputs!$B$44),G1273*Q1273))*IF(Inputs!$B$39="pvp",1,(1+(Inputs!$B$21+Skills!Q14+B1300)/100)*(MIN(Skills!W14,Inputs!$B$37))),0)</f>
        <v/>
      </c>
    </row>
    <row r="1274">
      <c r="A1274">
        <f>Skills!A15</f>
        <v/>
      </c>
      <c r="B1274">
        <f>Skills!B15</f>
        <v/>
      </c>
      <c r="C1274">
        <f>Inputs!$B$3&gt;=110</f>
        <v/>
      </c>
      <c r="D1274">
        <f>IF(Skills!C15=1,60+Inputs!$B$25+Inputs!$B$29,IF(Skills!C15=2,90+Inputs!$B$26+Inputs!$B$29,IF(Skills!C15=3,120+Inputs!$B$27+Inputs!$B$29,MAX(0,(Inputs!$B$3-100)*3)+Inputs!$B$28+Inputs!$B$29)))</f>
        <v/>
      </c>
      <c r="E1274">
        <f>INDEX(FactorTable!$B$2:$Y$301, MATCH(ROUND(MIN(300,MAX(1,D1274)),0), FactorTable!$A$2:$A$301,0), Skills!M15+1)</f>
        <v/>
      </c>
      <c r="F1274">
        <f>IF(Skills!N15=TRUE,(Skills!L15/10)*(E1274/1000),Skills!L15/10)+Skills!O15</f>
        <v/>
      </c>
      <c r="G1274">
        <f>Calc!G15</f>
        <v/>
      </c>
      <c r="H1274">
        <f>Calc!H15</f>
        <v/>
      </c>
      <c r="I1274">
        <f>IF(Skills!AA15&lt;&gt;"",1+(Skills!AA15/10)*(U1262/1000)/100,1)</f>
        <v/>
      </c>
      <c r="J1274" t="inlineStr"/>
      <c r="K1274" t="inlineStr"/>
      <c r="L1274" t="inlineStr"/>
      <c r="M1274" t="inlineStr"/>
      <c r="N1274" t="inlineStr"/>
      <c r="O1274">
        <f>(1-Summary!$B$55)*T1274+Summary!$B$55*V1274</f>
        <v/>
      </c>
      <c r="P1274">
        <f>IF(B1303=0,0,O1274/B1303)</f>
        <v/>
      </c>
      <c r="Q1274">
        <f>IFERROR(1/IF(Inputs!$B$39="pvp",15,MAX(0.1,Skills!D15-IF(Skills!E15=TRUE,Inputs!$B$32,0))),0)</f>
        <v/>
      </c>
      <c r="R1274">
        <f>IF(AND(Inputs!$B$39&lt;&gt;"pvp",Inputs!$B$44&gt;0),IF(Inputs!$B$44&lt;=0,0,(INT(Inputs!$B$44/IF(Inputs!$B$39="pvp",15,MAX(0.1,Skills!D15-IF(Skills!E15=TRUE,Inputs!$B$32,0))))+1)),0)</f>
        <v/>
      </c>
      <c r="S1274">
        <f>IFERROR(O1274/N1274,0)</f>
        <v/>
      </c>
      <c r="T1274" t="n">
        <v>0</v>
      </c>
      <c r="V1274" t="n">
        <v>0</v>
      </c>
    </row>
    <row r="1275">
      <c r="A1275">
        <f>Skills!A16</f>
        <v/>
      </c>
      <c r="B1275">
        <f>Skills!B16</f>
        <v/>
      </c>
      <c r="C1275">
        <f>Inputs!$B$3&gt;=110</f>
        <v/>
      </c>
      <c r="D1275">
        <f>IF(Skills!C16=1,60+Inputs!$B$25+Inputs!$B$29,IF(Skills!C16=2,90+Inputs!$B$26+Inputs!$B$29,IF(Skills!C16=3,120+Inputs!$B$27+Inputs!$B$29,MAX(0,(Inputs!$B$3-100)*3)+Inputs!$B$28+Inputs!$B$29)))</f>
        <v/>
      </c>
      <c r="E1275">
        <f>INDEX(FactorTable!$B$2:$Y$301, MATCH(ROUND(MIN(300,MAX(1,D1275)),0), FactorTable!$A$2:$A$301,0), Skills!M16+1)</f>
        <v/>
      </c>
      <c r="F1275">
        <f>IF(Skills!N16=TRUE,(Skills!L16/10)*(E1275/1000),Skills!L16/10)+Skills!O16</f>
        <v/>
      </c>
      <c r="G1275">
        <f>Calc!G16</f>
        <v/>
      </c>
      <c r="H1275">
        <f>Calc!H16</f>
        <v/>
      </c>
      <c r="I1275">
        <f>IF(Skills!AA16&lt;&gt;"",1+(Skills!AA16/10)*(U1262/1000)/100,1)</f>
        <v/>
      </c>
      <c r="J1275" t="inlineStr"/>
      <c r="K1275" t="inlineStr"/>
      <c r="L1275" t="inlineStr"/>
      <c r="M1275" t="inlineStr"/>
      <c r="N1275" t="inlineStr"/>
      <c r="O1275">
        <f>(1-Summary!$B$55)*T1275+Summary!$B$55*V1275</f>
        <v/>
      </c>
      <c r="P1275">
        <f>IF(B1303=0,0,O1275/B1303)</f>
        <v/>
      </c>
      <c r="Q1275">
        <f>IFERROR(1/IF(Inputs!$B$39="pvp",15,MAX(0.1,Skills!D16-IF(Skills!E16=TRUE,Inputs!$B$32,0))),0)</f>
        <v/>
      </c>
      <c r="R1275">
        <f>IF(AND(Inputs!$B$39&lt;&gt;"pvp",Inputs!$B$44&gt;0),IF(Inputs!$B$44&lt;=0,0,(INT(Inputs!$B$44/IF(Inputs!$B$39="pvp",15,MAX(0.1,Skills!D16-IF(Skills!E16=TRUE,Inputs!$B$32,0))))+1)),0)</f>
        <v/>
      </c>
      <c r="S1275">
        <f>IFERROR(O1275/N1275,0)</f>
        <v/>
      </c>
      <c r="T1275" t="n">
        <v>0</v>
      </c>
      <c r="V1275" t="n">
        <v>0</v>
      </c>
    </row>
    <row r="1276">
      <c r="A1276">
        <f>Skills!A17</f>
        <v/>
      </c>
      <c r="B1276">
        <f>Skills!B17</f>
        <v/>
      </c>
      <c r="C1276">
        <f>Inputs!$B$3&gt;=115</f>
        <v/>
      </c>
      <c r="D1276">
        <f>IF(Skills!C17=1,60+Inputs!$B$25+Inputs!$B$29,IF(Skills!C17=2,90+Inputs!$B$26+Inputs!$B$29,IF(Skills!C17=3,120+Inputs!$B$27+Inputs!$B$29,MAX(0,(Inputs!$B$3-100)*3)+Inputs!$B$28+Inputs!$B$29)))</f>
        <v/>
      </c>
      <c r="E1276">
        <f>INDEX(FactorTable!$B$2:$Y$301, MATCH(ROUND(MIN(300,MAX(1,D1276)),0), FactorTable!$A$2:$A$301,0), Skills!M17+1)</f>
        <v/>
      </c>
      <c r="F1276">
        <f>IF(Skills!N17=TRUE,(Skills!L17/10)*(E1276/1000),Skills!L17/10)+Skills!O17</f>
        <v/>
      </c>
      <c r="G1276">
        <f>Calc!G17</f>
        <v/>
      </c>
      <c r="H1276">
        <f>Calc!H17</f>
        <v/>
      </c>
      <c r="I1276">
        <f>IF(Skills!AA17&lt;&gt;"",1+(Skills!AA17/10)*(U1262/1000)/100,1)</f>
        <v/>
      </c>
      <c r="J1276">
        <f>((Inputs!$B$6*(1+Inputs!$B$7/100))+(((Inputs!$B$12*(1+Inputs!$B$13/100))-(Inputs!$B$12*(1+Inputs!$B$13/100)))+0.25*(Inputs!$B$14-Inputs!$B$14))*(1+Inputs!$B$7/100))*(F1276/100)</f>
        <v/>
      </c>
      <c r="K1276">
        <f>J1276*(1+((Inputs!$B$12*(1+Inputs!$B$13/100))*0.01+Inputs!$B$14*0.0025)/100)*(1+Inputs!$B$15/100)*(1+Inputs!$B$16/100)*(5000/(6000+Inputs!$B$43*(1-Inputs!$B$19/100)))*(1+(Inputs!$B$24+((C1289=TRUE)*(F1289-Calc!F30)))/100)*(1+Skills!R17/100)*(1+(IF(Skills!A17="SHOWDOWN",Inputs!$B$17+((C1282=TRUE)*(F1282-Calc!F23)),Inputs!$B$18+((C1288=TRUE)*(F1288-Calc!F29))))/100)*(((1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B1301*I1276)</f>
        <v/>
      </c>
      <c r="L1276">
        <f>K1276*(MIN(Inputs!$B$22+((C1283=TRUE)*(F1283-Calc!F24)),Inputs!$B$23)/100+Inputs!$B$23/100)/2</f>
        <v/>
      </c>
      <c r="M1276">
        <f>L1276*(1+(Inputs!$B$10+((C1285=TRUE)*(F1285-Calc!F26))+B1302)/100)</f>
        <v/>
      </c>
      <c r="N1276">
        <f>L1276*(1-MIN((Inputs!$B$9+((C1284=TRUE)*(F1284-Calc!F25))+B1299),100)/100)+M1276*(MIN((Inputs!$B$9+((C1284=TRUE)*(F1284-Calc!F25))+B1299),100)/100)</f>
        <v/>
      </c>
      <c r="O1276">
        <f>(1-Summary!$B$55)*T1276+Summary!$B$55*V1276</f>
        <v/>
      </c>
      <c r="P1276">
        <f>IF(B1303=0,0,O1276/B1303)</f>
        <v/>
      </c>
      <c r="Q1276" t="n">
        <v>0</v>
      </c>
      <c r="R1276" t="n">
        <v>0</v>
      </c>
      <c r="S1276">
        <f>IFERROR(O1276/N1276,0)</f>
        <v/>
      </c>
      <c r="T1276">
        <f>IF(C1276,(Inputs!$B$38*0.2*N1276)*IF(Inputs!$B$39="pvp",1,1+(Inputs!$B$20+((C1286=TRUE)*(F1286-Calc!F27))+Skills!P17+B1300)/100),0)</f>
        <v/>
      </c>
      <c r="V1276">
        <f>IF(C1276,(Inputs!$B$38*0.2*N1276)*IF(Inputs!$B$39="pvp",1,(1+(Inputs!$B$21+Skills!Q17+B1300)/100)*(MIN(Skills!W17,Inputs!$B$37))),0)</f>
        <v/>
      </c>
    </row>
    <row r="1277">
      <c r="A1277">
        <f>Skills!A18</f>
        <v/>
      </c>
      <c r="B1277">
        <f>Skills!B18</f>
        <v/>
      </c>
      <c r="C1277">
        <f>Inputs!$B$3&gt;=115</f>
        <v/>
      </c>
      <c r="D1277">
        <f>IF(Skills!C18=1,60+Inputs!$B$25+Inputs!$B$29,IF(Skills!C18=2,90+Inputs!$B$26+Inputs!$B$29,IF(Skills!C18=3,120+Inputs!$B$27+Inputs!$B$29,MAX(0,(Inputs!$B$3-100)*3)+Inputs!$B$28+Inputs!$B$29)))</f>
        <v/>
      </c>
      <c r="E1277">
        <f>INDEX(FactorTable!$B$2:$Y$301, MATCH(ROUND(MIN(300,MAX(1,D1277)),0), FactorTable!$A$2:$A$301,0), Skills!M18+1)</f>
        <v/>
      </c>
      <c r="F1277">
        <f>IF(Skills!N18=TRUE,(Skills!L18/10)*(E1277/1000),Skills!L18/10)+Skills!O18</f>
        <v/>
      </c>
      <c r="G1277">
        <f>Calc!G18</f>
        <v/>
      </c>
      <c r="H1277">
        <f>Calc!H18</f>
        <v/>
      </c>
      <c r="I1277">
        <f>IF(Skills!AA18&lt;&gt;"",1+(Skills!AA18/10)*(U1262/1000)/100,1)</f>
        <v/>
      </c>
      <c r="J1277" t="inlineStr"/>
      <c r="K1277" t="inlineStr"/>
      <c r="L1277" t="inlineStr"/>
      <c r="M1277" t="inlineStr"/>
      <c r="N1277" t="inlineStr"/>
      <c r="O1277">
        <f>(1-Summary!$B$55)*T1277+Summary!$B$55*V1277</f>
        <v/>
      </c>
      <c r="P1277">
        <f>IF(B1303=0,0,O1277/B1303)</f>
        <v/>
      </c>
      <c r="Q1277" t="n">
        <v>0</v>
      </c>
      <c r="R1277" t="n">
        <v>0</v>
      </c>
      <c r="S1277">
        <f>IFERROR(O1277/N1277,0)</f>
        <v/>
      </c>
      <c r="T1277" t="n">
        <v>0</v>
      </c>
      <c r="V1277" t="n">
        <v>0</v>
      </c>
    </row>
    <row r="1278">
      <c r="A1278">
        <f>Skills!A19</f>
        <v/>
      </c>
      <c r="B1278">
        <f>Skills!B19</f>
        <v/>
      </c>
      <c r="C1278">
        <f>TRUE</f>
        <v/>
      </c>
      <c r="D1278">
        <f>IF(Skills!C19=1,60+Inputs!$B$25+Inputs!$B$29,IF(Skills!C19=2,90+Inputs!$B$26+Inputs!$B$29,IF(Skills!C19=3,120+Inputs!$B$27+Inputs!$B$29,MAX(0,(Inputs!$B$3-100)*3)+Inputs!$B$28+Inputs!$B$29)))</f>
        <v/>
      </c>
      <c r="E1278">
        <f>INDEX(FactorTable!$B$2:$Y$301, MATCH(ROUND(MIN(300,MAX(1,D1278)),0), FactorTable!$A$2:$A$301,0), Skills!M19+1)</f>
        <v/>
      </c>
      <c r="F1278">
        <f>IF(Skills!N19=TRUE,(Skills!L19/10)*(E1278/1000),Skills!L19/10)+Skills!O19</f>
        <v/>
      </c>
      <c r="G1278">
        <f>Calc!G19</f>
        <v/>
      </c>
      <c r="H1278">
        <f>Calc!H19</f>
        <v/>
      </c>
      <c r="I1278">
        <f>IF(Skills!AA19&lt;&gt;"",1+(Skills!AA19/10)*(U1262/1000)/100,1)</f>
        <v/>
      </c>
      <c r="J1278" t="inlineStr"/>
      <c r="K1278" t="inlineStr"/>
      <c r="L1278" t="inlineStr"/>
      <c r="M1278" t="inlineStr"/>
      <c r="N1278" t="inlineStr"/>
      <c r="O1278">
        <f>(1-Summary!$B$55)*T1278+Summary!$B$55*V1278</f>
        <v/>
      </c>
      <c r="P1278">
        <f>IF(B1303=0,0,O1278/B1303)</f>
        <v/>
      </c>
      <c r="Q1278">
        <f>IFERROR(1/IF(Inputs!$B$39="pvp",15,MAX(0.1,Skills!D19-IF(Skills!E19=TRUE,Inputs!$B$32,0))),0)</f>
        <v/>
      </c>
      <c r="R1278">
        <f>IF(AND(Inputs!$B$39&lt;&gt;"pvp",Inputs!$B$44&gt;0),IF(Inputs!$B$44&lt;=0,0,(INT(Inputs!$B$44/IF(Inputs!$B$39="pvp",15,MAX(0.1,Skills!D19-IF(Skills!E19=TRUE,Inputs!$B$32,0))))+1)),0)</f>
        <v/>
      </c>
      <c r="S1278">
        <f>IFERROR(O1278/N1278,0)</f>
        <v/>
      </c>
      <c r="T1278" t="n">
        <v>0</v>
      </c>
      <c r="V1278" t="n">
        <v>0</v>
      </c>
    </row>
    <row r="1279">
      <c r="A1279">
        <f>Skills!A20</f>
        <v/>
      </c>
      <c r="B1279">
        <f>Skills!B20</f>
        <v/>
      </c>
      <c r="C1279">
        <f>Inputs!$B$3&gt;=15</f>
        <v/>
      </c>
      <c r="D1279">
        <f>IF(Skills!C20=1,60+Inputs!$B$25+Inputs!$B$29,IF(Skills!C20=2,90+Inputs!$B$26+Inputs!$B$29,IF(Skills!C20=3,120+Inputs!$B$27+Inputs!$B$29,MAX(0,(Inputs!$B$3-100)*3)+Inputs!$B$28+Inputs!$B$29)))</f>
        <v/>
      </c>
      <c r="E1279">
        <f>INDEX(FactorTable!$B$2:$Y$301, MATCH(ROUND(MIN(300,MAX(1,D1279)),0), FactorTable!$A$2:$A$301,0), Skills!M20+1)</f>
        <v/>
      </c>
      <c r="F1279">
        <f>IF(Skills!N20=TRUE,(Skills!L20/10)*(E1279/1000),Skills!L20/10)+Skills!O20</f>
        <v/>
      </c>
      <c r="G1279">
        <f>Calc!G20</f>
        <v/>
      </c>
      <c r="H1279">
        <f>Calc!H20</f>
        <v/>
      </c>
      <c r="I1279">
        <f>IF(Skills!AA20&lt;&gt;"",1+(Skills!AA20/10)*(U1262/1000)/100,1)</f>
        <v/>
      </c>
      <c r="J1279" t="inlineStr"/>
      <c r="K1279" t="inlineStr"/>
      <c r="L1279" t="inlineStr"/>
      <c r="M1279" t="inlineStr"/>
      <c r="N1279" t="inlineStr"/>
      <c r="O1279">
        <f>(1-Summary!$B$55)*T1279+Summary!$B$55*V1279</f>
        <v/>
      </c>
      <c r="P1279">
        <f>IF(B1303=0,0,O1279/B1303)</f>
        <v/>
      </c>
      <c r="Q1279">
        <f>IFERROR(1/IF(Inputs!$B$39="pvp",15,MAX(0.1,Skills!D20-IF(Skills!E20=TRUE,Inputs!$B$32,0))),0)</f>
        <v/>
      </c>
      <c r="R1279">
        <f>IF(AND(Inputs!$B$39&lt;&gt;"pvp",Inputs!$B$44&gt;0),IF(Inputs!$B$44&lt;=0,0,(INT(Inputs!$B$44/IF(Inputs!$B$39="pvp",15,MAX(0.1,Skills!D20-IF(Skills!E20=TRUE,Inputs!$B$32,0))))+1)),0)</f>
        <v/>
      </c>
      <c r="S1279">
        <f>IFERROR(O1279/N1279,0)</f>
        <v/>
      </c>
      <c r="T1279" t="n">
        <v>0</v>
      </c>
      <c r="V1279" t="n">
        <v>0</v>
      </c>
    </row>
    <row r="1280">
      <c r="A1280">
        <f>Skills!A21</f>
        <v/>
      </c>
      <c r="B1280">
        <f>Skills!B21</f>
        <v/>
      </c>
      <c r="C1280">
        <f>Inputs!$B$3&gt;=15</f>
        <v/>
      </c>
      <c r="D1280">
        <f>IF(Skills!C21=1,60+Inputs!$B$25+Inputs!$B$29,IF(Skills!C21=2,90+Inputs!$B$26+Inputs!$B$29,IF(Skills!C21=3,120+Inputs!$B$27+Inputs!$B$29,MAX(0,(Inputs!$B$3-100)*3)+Inputs!$B$28+Inputs!$B$29)))</f>
        <v/>
      </c>
      <c r="E1280">
        <f>INDEX(FactorTable!$B$2:$Y$301, MATCH(ROUND(MIN(300,MAX(1,D1280)),0), FactorTable!$A$2:$A$301,0), Skills!M21+1)</f>
        <v/>
      </c>
      <c r="F1280">
        <f>IF(Skills!N21=TRUE,(Skills!L21/10)*(E1280/1000),Skills!L21/10)+Skills!O21</f>
        <v/>
      </c>
      <c r="G1280">
        <f>Calc!G21</f>
        <v/>
      </c>
      <c r="H1280">
        <f>Calc!H21</f>
        <v/>
      </c>
      <c r="I1280">
        <f>IF(Skills!AA21&lt;&gt;"",1+(Skills!AA21/10)*(U1262/1000)/100,1)</f>
        <v/>
      </c>
      <c r="J1280" t="inlineStr"/>
      <c r="K1280" t="inlineStr"/>
      <c r="L1280" t="inlineStr"/>
      <c r="M1280" t="inlineStr"/>
      <c r="N1280" t="inlineStr"/>
      <c r="O1280">
        <f>(1-Summary!$B$55)*T1280+Summary!$B$55*V1280</f>
        <v/>
      </c>
      <c r="P1280">
        <f>IF(B1303=0,0,O1280/B1303)</f>
        <v/>
      </c>
      <c r="Q1280">
        <f>IFERROR(1/IF(Inputs!$B$39="pvp",15,MAX(0.1,Skills!D21-IF(Skills!E21=TRUE,Inputs!$B$32,0))),0)</f>
        <v/>
      </c>
      <c r="R1280">
        <f>IF(AND(Inputs!$B$39&lt;&gt;"pvp",Inputs!$B$44&gt;0),IF(Inputs!$B$44&lt;=0,0,(INT(Inputs!$B$44/IF(Inputs!$B$39="pvp",15,MAX(0.1,Skills!D21-IF(Skills!E21=TRUE,Inputs!$B$32,0))))+1)),0)</f>
        <v/>
      </c>
      <c r="S1280">
        <f>IFERROR(O1280/N1280,0)</f>
        <v/>
      </c>
      <c r="T1280" t="n">
        <v>0</v>
      </c>
      <c r="V1280" t="n">
        <v>0</v>
      </c>
    </row>
    <row r="1281">
      <c r="A1281">
        <f>Skills!A22</f>
        <v/>
      </c>
      <c r="B1281">
        <f>Skills!B22</f>
        <v/>
      </c>
      <c r="C1281">
        <f>Inputs!$B$3&gt;=33</f>
        <v/>
      </c>
      <c r="D1281">
        <f>IF(Skills!C22=1,60+Inputs!$B$25+Inputs!$B$29,IF(Skills!C22=2,90+Inputs!$B$26+Inputs!$B$29,IF(Skills!C22=3,120+Inputs!$B$27+Inputs!$B$29,MAX(0,(Inputs!$B$3-100)*3)+Inputs!$B$28+Inputs!$B$29)))</f>
        <v/>
      </c>
      <c r="E1281">
        <f>INDEX(FactorTable!$B$2:$Y$301, MATCH(ROUND(MIN(300,MAX(1,D1281)),0), FactorTable!$A$2:$A$301,0), Skills!M22+1)</f>
        <v/>
      </c>
      <c r="F1281">
        <f>IF(Skills!N22=TRUE,(Skills!L22/10)*(E1281/1000),Skills!L22/10)+Skills!O22</f>
        <v/>
      </c>
      <c r="G1281">
        <f>Calc!G22</f>
        <v/>
      </c>
      <c r="H1281">
        <f>Calc!H22</f>
        <v/>
      </c>
      <c r="I1281">
        <f>IF(Skills!AA22&lt;&gt;"",1+(Skills!AA22/10)*(U1262/1000)/100,1)</f>
        <v/>
      </c>
      <c r="J1281" t="inlineStr"/>
      <c r="K1281" t="inlineStr"/>
      <c r="L1281" t="inlineStr"/>
      <c r="M1281" t="inlineStr"/>
      <c r="N1281" t="inlineStr"/>
      <c r="O1281">
        <f>(1-Summary!$B$55)*T1281+Summary!$B$55*V1281</f>
        <v/>
      </c>
      <c r="P1281">
        <f>IF(B1303=0,0,O1281/B1303)</f>
        <v/>
      </c>
      <c r="Q1281" t="n">
        <v>0</v>
      </c>
      <c r="R1281" t="n">
        <v>0</v>
      </c>
      <c r="S1281">
        <f>IFERROR(O1281/N1281,0)</f>
        <v/>
      </c>
      <c r="T1281" t="n">
        <v>0</v>
      </c>
      <c r="V1281" t="n">
        <v>0</v>
      </c>
    </row>
    <row r="1282">
      <c r="A1282">
        <f>Skills!A23</f>
        <v/>
      </c>
      <c r="B1282">
        <f>Skills!B23</f>
        <v/>
      </c>
      <c r="C1282">
        <f>Inputs!$B$3&gt;=38</f>
        <v/>
      </c>
      <c r="D1282">
        <f>IF(Skills!C23=1,60+Inputs!$B$25+Inputs!$B$29,IF(Skills!C23=2,90+Inputs!$B$26+Inputs!$B$29,IF(Skills!C23=3,120+Inputs!$B$27+Inputs!$B$29,MAX(0,(Inputs!$B$3-100)*3)+Inputs!$B$28+Inputs!$B$29)))</f>
        <v/>
      </c>
      <c r="E1282">
        <f>INDEX(FactorTable!$B$2:$Y$301, MATCH(ROUND(MIN(300,MAX(1,D1282)),0), FactorTable!$A$2:$A$301,0), Skills!M23+1)</f>
        <v/>
      </c>
      <c r="F1282">
        <f>IF(Skills!N23=TRUE,(Skills!L23/10)*(E1282/1000),Skills!L23/10)+Skills!O23</f>
        <v/>
      </c>
      <c r="G1282">
        <f>Calc!G23</f>
        <v/>
      </c>
      <c r="H1282">
        <f>Calc!H23</f>
        <v/>
      </c>
      <c r="I1282">
        <f>IF(Skills!AA23&lt;&gt;"",1+(Skills!AA23/10)*(U1262/1000)/100,1)</f>
        <v/>
      </c>
      <c r="J1282" t="inlineStr"/>
      <c r="K1282" t="inlineStr"/>
      <c r="L1282" t="inlineStr"/>
      <c r="M1282" t="inlineStr"/>
      <c r="N1282" t="inlineStr"/>
      <c r="O1282">
        <f>(1-Summary!$B$55)*T1282+Summary!$B$55*V1282</f>
        <v/>
      </c>
      <c r="P1282">
        <f>IF(B1303=0,0,O1282/B1303)</f>
        <v/>
      </c>
      <c r="Q1282" t="n">
        <v>0</v>
      </c>
      <c r="R1282" t="n">
        <v>0</v>
      </c>
      <c r="S1282">
        <f>IFERROR(O1282/N1282,0)</f>
        <v/>
      </c>
      <c r="T1282" t="n">
        <v>0</v>
      </c>
      <c r="V1282" t="n">
        <v>0</v>
      </c>
    </row>
    <row r="1283">
      <c r="A1283">
        <f>Skills!A24</f>
        <v/>
      </c>
      <c r="B1283">
        <f>Skills!B24</f>
        <v/>
      </c>
      <c r="C1283">
        <f>Inputs!$B$3&gt;=40</f>
        <v/>
      </c>
      <c r="D1283">
        <f>IF(Skills!C24=1,60+Inputs!$B$25+Inputs!$B$29,IF(Skills!C24=2,90+Inputs!$B$26+Inputs!$B$29,IF(Skills!C24=3,120+Inputs!$B$27+Inputs!$B$29,MAX(0,(Inputs!$B$3-100)*3)+Inputs!$B$28+Inputs!$B$29)))</f>
        <v/>
      </c>
      <c r="E1283">
        <f>INDEX(FactorTable!$B$2:$Y$301, MATCH(ROUND(MIN(300,MAX(1,D1283)),0), FactorTable!$A$2:$A$301,0), Skills!M24+1)</f>
        <v/>
      </c>
      <c r="F1283">
        <f>IF(Skills!N24=TRUE,(Skills!L24/10)*(E1283/1000),Skills!L24/10)+Skills!O24</f>
        <v/>
      </c>
      <c r="G1283">
        <f>Calc!G24</f>
        <v/>
      </c>
      <c r="H1283">
        <f>Calc!H24</f>
        <v/>
      </c>
      <c r="I1283">
        <f>IF(Skills!AA24&lt;&gt;"",1+(Skills!AA24/10)*(U1262/1000)/100,1)</f>
        <v/>
      </c>
      <c r="J1283" t="inlineStr"/>
      <c r="K1283" t="inlineStr"/>
      <c r="L1283" t="inlineStr"/>
      <c r="M1283" t="inlineStr"/>
      <c r="N1283" t="inlineStr"/>
      <c r="O1283">
        <f>(1-Summary!$B$55)*T1283+Summary!$B$55*V1283</f>
        <v/>
      </c>
      <c r="P1283">
        <f>IF(B1303=0,0,O1283/B1303)</f>
        <v/>
      </c>
      <c r="Q1283" t="n">
        <v>0</v>
      </c>
      <c r="R1283" t="n">
        <v>0</v>
      </c>
      <c r="S1283">
        <f>IFERROR(O1283/N1283,0)</f>
        <v/>
      </c>
      <c r="T1283" t="n">
        <v>0</v>
      </c>
      <c r="V1283" t="n">
        <v>0</v>
      </c>
    </row>
    <row r="1284">
      <c r="A1284">
        <f>Skills!A25</f>
        <v/>
      </c>
      <c r="B1284">
        <f>Skills!B25</f>
        <v/>
      </c>
      <c r="C1284">
        <f>Inputs!$B$3&gt;=45</f>
        <v/>
      </c>
      <c r="D1284">
        <f>IF(Skills!C25=1,60+Inputs!$B$25+Inputs!$B$29,IF(Skills!C25=2,90+Inputs!$B$26+Inputs!$B$29,IF(Skills!C25=3,120+Inputs!$B$27+Inputs!$B$29,MAX(0,(Inputs!$B$3-100)*3)+Inputs!$B$28+Inputs!$B$29)))</f>
        <v/>
      </c>
      <c r="E1284">
        <f>INDEX(FactorTable!$B$2:$Y$301, MATCH(ROUND(MIN(300,MAX(1,D1284)),0), FactorTable!$A$2:$A$301,0), Skills!M25+1)</f>
        <v/>
      </c>
      <c r="F1284">
        <f>IF(Skills!N25=TRUE,(Skills!L25/10)*(E1284/1000),Skills!L25/10)+Skills!O25</f>
        <v/>
      </c>
      <c r="G1284">
        <f>Calc!G25</f>
        <v/>
      </c>
      <c r="H1284">
        <f>Calc!H25</f>
        <v/>
      </c>
      <c r="I1284">
        <f>IF(Skills!AA25&lt;&gt;"",1+(Skills!AA25/10)*(U1262/1000)/100,1)</f>
        <v/>
      </c>
      <c r="J1284" t="inlineStr"/>
      <c r="K1284" t="inlineStr"/>
      <c r="L1284" t="inlineStr"/>
      <c r="M1284" t="inlineStr"/>
      <c r="N1284" t="inlineStr"/>
      <c r="O1284">
        <f>(1-Summary!$B$55)*T1284+Summary!$B$55*V1284</f>
        <v/>
      </c>
      <c r="P1284">
        <f>IF(B1303=0,0,O1284/B1303)</f>
        <v/>
      </c>
      <c r="Q1284" t="n">
        <v>0</v>
      </c>
      <c r="R1284" t="n">
        <v>0</v>
      </c>
      <c r="S1284">
        <f>IFERROR(O1284/N1284,0)</f>
        <v/>
      </c>
      <c r="T1284" t="n">
        <v>0</v>
      </c>
      <c r="V1284" t="n">
        <v>0</v>
      </c>
    </row>
    <row r="1285">
      <c r="A1285">
        <f>Skills!A26</f>
        <v/>
      </c>
      <c r="B1285">
        <f>Skills!B26</f>
        <v/>
      </c>
      <c r="C1285">
        <f>Inputs!$B$3&gt;=45</f>
        <v/>
      </c>
      <c r="D1285">
        <f>IF(Skills!C26=1,60+Inputs!$B$25+Inputs!$B$29,IF(Skills!C26=2,90+Inputs!$B$26+Inputs!$B$29,IF(Skills!C26=3,120+Inputs!$B$27+Inputs!$B$29,MAX(0,(Inputs!$B$3-100)*3)+Inputs!$B$28+Inputs!$B$29)))</f>
        <v/>
      </c>
      <c r="E1285">
        <f>INDEX(FactorTable!$B$2:$Y$301, MATCH(ROUND(MIN(300,MAX(1,D1285)),0), FactorTable!$A$2:$A$301,0), Skills!M26+1)</f>
        <v/>
      </c>
      <c r="F1285">
        <f>IF(Skills!N26=TRUE,(Skills!L26/10)*(E1285/1000),Skills!L26/10)+Skills!O26</f>
        <v/>
      </c>
      <c r="G1285">
        <f>Calc!G26</f>
        <v/>
      </c>
      <c r="H1285">
        <f>Calc!H26</f>
        <v/>
      </c>
      <c r="I1285">
        <f>IF(Skills!AA26&lt;&gt;"",1+(Skills!AA26/10)*(U1262/1000)/100,1)</f>
        <v/>
      </c>
      <c r="J1285" t="inlineStr"/>
      <c r="K1285" t="inlineStr"/>
      <c r="L1285" t="inlineStr"/>
      <c r="M1285" t="inlineStr"/>
      <c r="N1285" t="inlineStr"/>
      <c r="O1285">
        <f>(1-Summary!$B$55)*T1285+Summary!$B$55*V1285</f>
        <v/>
      </c>
      <c r="P1285">
        <f>IF(B1303=0,0,O1285/B1303)</f>
        <v/>
      </c>
      <c r="Q1285" t="n">
        <v>0</v>
      </c>
      <c r="R1285" t="n">
        <v>0</v>
      </c>
      <c r="S1285">
        <f>IFERROR(O1285/N1285,0)</f>
        <v/>
      </c>
      <c r="T1285" t="n">
        <v>0</v>
      </c>
      <c r="V1285" t="n">
        <v>0</v>
      </c>
    </row>
    <row r="1286">
      <c r="A1286">
        <f>Skills!A27</f>
        <v/>
      </c>
      <c r="B1286">
        <f>Skills!B27</f>
        <v/>
      </c>
      <c r="C1286">
        <f>Inputs!$B$3&gt;=72</f>
        <v/>
      </c>
      <c r="D1286">
        <f>IF(Skills!C27=1,60+Inputs!$B$25+Inputs!$B$29,IF(Skills!C27=2,90+Inputs!$B$26+Inputs!$B$29,IF(Skills!C27=3,120+Inputs!$B$27+Inputs!$B$29,MAX(0,(Inputs!$B$3-100)*3)+Inputs!$B$28+Inputs!$B$29)))</f>
        <v/>
      </c>
      <c r="E1286">
        <f>INDEX(FactorTable!$B$2:$Y$301, MATCH(ROUND(MIN(300,MAX(1,D1286)),0), FactorTable!$A$2:$A$301,0), Skills!M27+1)</f>
        <v/>
      </c>
      <c r="F1286">
        <f>IF(Skills!N27=TRUE,(Skills!L27/10)*(E1286/1000),Skills!L27/10)+Skills!O27</f>
        <v/>
      </c>
      <c r="G1286">
        <f>Calc!G27</f>
        <v/>
      </c>
      <c r="H1286">
        <f>Calc!H27</f>
        <v/>
      </c>
      <c r="I1286">
        <f>IF(Skills!AA27&lt;&gt;"",1+(Skills!AA27/10)*(U1262/1000)/100,1)</f>
        <v/>
      </c>
      <c r="J1286" t="inlineStr"/>
      <c r="K1286" t="inlineStr"/>
      <c r="L1286" t="inlineStr"/>
      <c r="M1286" t="inlineStr"/>
      <c r="N1286" t="inlineStr"/>
      <c r="O1286">
        <f>(1-Summary!$B$55)*T1286+Summary!$B$55*V1286</f>
        <v/>
      </c>
      <c r="P1286">
        <f>IF(B1303=0,0,O1286/B1303)</f>
        <v/>
      </c>
      <c r="Q1286" t="n">
        <v>0</v>
      </c>
      <c r="R1286" t="n">
        <v>0</v>
      </c>
      <c r="S1286">
        <f>IFERROR(O1286/N1286,0)</f>
        <v/>
      </c>
      <c r="T1286" t="n">
        <v>0</v>
      </c>
      <c r="V1286" t="n">
        <v>0</v>
      </c>
    </row>
    <row r="1287">
      <c r="A1287">
        <f>Skills!A28</f>
        <v/>
      </c>
      <c r="B1287">
        <f>Skills!B28</f>
        <v/>
      </c>
      <c r="C1287">
        <f>Inputs!$B$3&gt;=75</f>
        <v/>
      </c>
      <c r="D1287">
        <f>IF(Skills!C28=1,60+Inputs!$B$25+Inputs!$B$29,IF(Skills!C28=2,90+Inputs!$B$26+Inputs!$B$29,IF(Skills!C28=3,120+Inputs!$B$27+Inputs!$B$29,MAX(0,(Inputs!$B$3-100)*3)+Inputs!$B$28+Inputs!$B$29)))</f>
        <v/>
      </c>
      <c r="E1287">
        <f>INDEX(FactorTable!$B$2:$Y$301, MATCH(ROUND(MIN(300,MAX(1,D1287)),0), FactorTable!$A$2:$A$301,0), Skills!M28+1)</f>
        <v/>
      </c>
      <c r="F1287">
        <f>IF(Skills!N28=TRUE,(Skills!L28/10)*(E1287/1000),Skills!L28/10)+Skills!O28</f>
        <v/>
      </c>
      <c r="G1287">
        <f>Calc!G28</f>
        <v/>
      </c>
      <c r="H1287">
        <f>Calc!H28</f>
        <v/>
      </c>
      <c r="I1287">
        <f>IF(Skills!AA28&lt;&gt;"",1+(Skills!AA28/10)*(U1262/1000)/100,1)</f>
        <v/>
      </c>
      <c r="J1287" t="inlineStr"/>
      <c r="K1287" t="inlineStr"/>
      <c r="L1287" t="inlineStr"/>
      <c r="M1287" t="inlineStr"/>
      <c r="N1287" t="inlineStr"/>
      <c r="O1287">
        <f>(1-Summary!$B$55)*T1287+Summary!$B$55*V1287</f>
        <v/>
      </c>
      <c r="P1287">
        <f>IF(B1303=0,0,O1287/B1303)</f>
        <v/>
      </c>
      <c r="Q1287" t="n">
        <v>0</v>
      </c>
      <c r="R1287" t="n">
        <v>0</v>
      </c>
      <c r="S1287">
        <f>IFERROR(O1287/N1287,0)</f>
        <v/>
      </c>
      <c r="T1287" t="n">
        <v>0</v>
      </c>
      <c r="V1287" t="n">
        <v>0</v>
      </c>
    </row>
    <row r="1288">
      <c r="A1288">
        <f>Skills!A29</f>
        <v/>
      </c>
      <c r="B1288">
        <f>Skills!B29</f>
        <v/>
      </c>
      <c r="C1288">
        <f>Inputs!$B$3&gt;=120</f>
        <v/>
      </c>
      <c r="D1288">
        <f>IF(Skills!C29=1,60+Inputs!$B$25+Inputs!$B$29,IF(Skills!C29=2,90+Inputs!$B$26+Inputs!$B$29,IF(Skills!C29=3,120+Inputs!$B$27+Inputs!$B$29,MAX(0,(Inputs!$B$3-100)*3)+Inputs!$B$28+Inputs!$B$29)))</f>
        <v/>
      </c>
      <c r="E1288">
        <f>INDEX(FactorTable!$B$2:$Y$301, MATCH(ROUND(MIN(300,MAX(1,D1288)),0), FactorTable!$A$2:$A$301,0), Skills!M29+1)</f>
        <v/>
      </c>
      <c r="F1288">
        <f>IF(Skills!N29=TRUE,(Skills!L29/10)*(E1288/1000),Skills!L29/10)+Skills!O29</f>
        <v/>
      </c>
      <c r="G1288">
        <f>Calc!G29</f>
        <v/>
      </c>
      <c r="H1288">
        <f>Calc!H29</f>
        <v/>
      </c>
      <c r="I1288">
        <f>IF(Skills!AA29&lt;&gt;"",1+(Skills!AA29/10)*(U1262/1000)/100,1)</f>
        <v/>
      </c>
      <c r="J1288" t="inlineStr"/>
      <c r="K1288" t="inlineStr"/>
      <c r="L1288" t="inlineStr"/>
      <c r="M1288" t="inlineStr"/>
      <c r="N1288" t="inlineStr"/>
      <c r="O1288">
        <f>(1-Summary!$B$55)*T1288+Summary!$B$55*V1288</f>
        <v/>
      </c>
      <c r="P1288">
        <f>IF(B1303=0,0,O1288/B1303)</f>
        <v/>
      </c>
      <c r="Q1288" t="n">
        <v>0</v>
      </c>
      <c r="R1288" t="n">
        <v>0</v>
      </c>
      <c r="S1288">
        <f>IFERROR(O1288/N1288,0)</f>
        <v/>
      </c>
      <c r="T1288" t="n">
        <v>0</v>
      </c>
      <c r="V1288" t="n">
        <v>0</v>
      </c>
    </row>
    <row r="1289">
      <c r="A1289">
        <f>Skills!A30</f>
        <v/>
      </c>
      <c r="B1289">
        <f>Skills!B30</f>
        <v/>
      </c>
      <c r="C1289">
        <f>Inputs!$B$3&gt;=125</f>
        <v/>
      </c>
      <c r="D1289">
        <f>IF(Skills!C30=1,60+Inputs!$B$25+Inputs!$B$29,IF(Skills!C30=2,90+Inputs!$B$26+Inputs!$B$29,IF(Skills!C30=3,120+Inputs!$B$27+Inputs!$B$29,MAX(0,(Inputs!$B$3-100)*3)+Inputs!$B$28+Inputs!$B$29)))</f>
        <v/>
      </c>
      <c r="E1289">
        <f>INDEX(FactorTable!$B$2:$Y$301, MATCH(ROUND(MIN(300,MAX(1,D1289)),0), FactorTable!$A$2:$A$301,0), Skills!M30+1)</f>
        <v/>
      </c>
      <c r="F1289">
        <f>IF(Skills!N30=TRUE,(Skills!L30/10)*(E1289/1000),Skills!L30/10)+Skills!O30</f>
        <v/>
      </c>
      <c r="G1289">
        <f>Calc!G30</f>
        <v/>
      </c>
      <c r="H1289">
        <f>Calc!H30</f>
        <v/>
      </c>
      <c r="I1289">
        <f>IF(Skills!AA30&lt;&gt;"",1+(Skills!AA30/10)*(U1262/1000)/100,1)</f>
        <v/>
      </c>
      <c r="J1289" t="inlineStr"/>
      <c r="K1289" t="inlineStr"/>
      <c r="L1289" t="inlineStr"/>
      <c r="M1289" t="inlineStr"/>
      <c r="N1289" t="inlineStr"/>
      <c r="O1289">
        <f>(1-Summary!$B$55)*T1289+Summary!$B$55*V1289</f>
        <v/>
      </c>
      <c r="P1289">
        <f>IF(B1303=0,0,O1289/B1303)</f>
        <v/>
      </c>
      <c r="Q1289" t="n">
        <v>0</v>
      </c>
      <c r="R1289" t="n">
        <v>0</v>
      </c>
      <c r="S1289">
        <f>IFERROR(O1289/N1289,0)</f>
        <v/>
      </c>
      <c r="T1289" t="n">
        <v>0</v>
      </c>
      <c r="V1289" t="n">
        <v>0</v>
      </c>
    </row>
    <row r="1290">
      <c r="A1290">
        <f>Skills!A31</f>
        <v/>
      </c>
      <c r="B1290">
        <f>Skills!B31</f>
        <v/>
      </c>
      <c r="C1290">
        <f>Inputs!$B$3&gt;=107</f>
        <v/>
      </c>
      <c r="D1290">
        <f>IF(Skills!C31=1,60+Inputs!$B$25+Inputs!$B$29,IF(Skills!C31=2,90+Inputs!$B$26+Inputs!$B$29,IF(Skills!C31=3,120+Inputs!$B$27+Inputs!$B$29,MAX(0,(Inputs!$B$3-100)*3)+Inputs!$B$28+Inputs!$B$29)))</f>
        <v/>
      </c>
      <c r="E1290">
        <f>INDEX(FactorTable!$B$2:$Y$301, MATCH(ROUND(MIN(300,MAX(1,D1290)),0), FactorTable!$A$2:$A$301,0), Skills!M31+1)</f>
        <v/>
      </c>
      <c r="F1290">
        <f>IF(Skills!N31=TRUE,(Skills!L31/10)*(E1290/1000),Skills!L31/10)+Skills!O31</f>
        <v/>
      </c>
      <c r="G1290">
        <f>Calc!G31</f>
        <v/>
      </c>
      <c r="H1290">
        <f>Calc!H31</f>
        <v/>
      </c>
      <c r="I1290">
        <f>IF(Skills!AA31&lt;&gt;"",1+(Skills!AA31/10)*(U1262/1000)/100,1)</f>
        <v/>
      </c>
      <c r="J1290" t="inlineStr"/>
      <c r="K1290" t="inlineStr"/>
      <c r="L1290" t="inlineStr"/>
      <c r="M1290" t="inlineStr"/>
      <c r="N1290" t="inlineStr"/>
      <c r="O1290">
        <f>(1-Summary!$B$55)*T1290+Summary!$B$55*V1290</f>
        <v/>
      </c>
      <c r="P1290">
        <f>IF(B1303=0,0,O1290/B1303)</f>
        <v/>
      </c>
      <c r="Q1290" t="n">
        <v>0</v>
      </c>
      <c r="R1290" t="n">
        <v>0</v>
      </c>
      <c r="S1290">
        <f>IFERROR(O1290/N1290,0)</f>
        <v/>
      </c>
      <c r="T1290" t="n">
        <v>0</v>
      </c>
      <c r="V1290" t="n">
        <v>0</v>
      </c>
    </row>
    <row r="1292">
      <c r="A1292" t="inlineStr">
        <is>
          <t>Actions Per Second (pre-Adrenalin)</t>
        </is>
      </c>
      <c r="B1292">
        <f>1+MIN(150,150*(1-(1-(Inputs!$B$11+((C1281=TRUE)*(F1281-Calc!F22)))/150)*(1-((C1278=TRUE)*F1278*IF(AND(Inputs!$B$39&lt;&gt;"pvp",Inputs!$B$44&gt;0),(((R1278-1)*(Skills!Y19*(1+(Inputs!$B$34+1)/100))+MIN((Skills!Y19*(1+(Inputs!$B$34+1)/100)),MAX(0,Inputs!$B$44-((R1278-1)*Skills!D19))))/Inputs!$B$44),IF(Inputs!$B$39="pvp",MIN((Skills!Y19*(1+(Inputs!$B$34+1)/100)),15)/15,(Skills!Y19*(1+(Inputs!$B$34+1)/100))/Skills!D19)))/150)))/100</f>
        <v/>
      </c>
    </row>
    <row r="1293">
      <c r="A1293" t="inlineStr">
        <is>
          <t>Alchemic Adrenaline Uptime</t>
        </is>
      </c>
      <c r="B1293">
        <f>(Skills!Y6*(1+(Inputs!$B$34+1)/100))/((Skills!Y6*(1+(Inputs!$B$34+1)/100))+(5/B1292))</f>
        <v/>
      </c>
    </row>
    <row r="1294">
      <c r="A1294" t="inlineStr">
        <is>
          <t>Attack Speed Buff Bonus %</t>
        </is>
      </c>
      <c r="B1294">
        <f>((C1278=TRUE)*F1278*IF(AND(Inputs!$B$39&lt;&gt;"pvp",Inputs!$B$44&gt;0),(((R1278-1)*(Skills!Y19*(1+(Inputs!$B$34+1)/100))+MIN((Skills!Y19*(1+(Inputs!$B$34+1)/100)),MAX(0,Inputs!$B$44-((R1278-1)*Skills!D19))))/Inputs!$B$44),IF(Inputs!$B$39="pvp",MIN((Skills!Y19*(1+(Inputs!$B$34+1)/100)),15)/15,(Skills!Y19*(1+(Inputs!$B$34+1)/100))/Skills!D19)))+((C1266=TRUE)*F1266*B1293)</f>
        <v/>
      </c>
    </row>
    <row r="1295">
      <c r="A1295" t="inlineStr">
        <is>
          <t>Actions Per Second (final)</t>
        </is>
      </c>
      <c r="B1295">
        <f>1+MIN(150,150*(1-(1-(Inputs!$B$11+((C1281=TRUE)*(F1281-Calc!F22)))/150)*(1-B1294/150)))/100</f>
        <v/>
      </c>
    </row>
    <row r="1296">
      <c r="A1296" t="inlineStr">
        <is>
          <t>Skill + Buff Cast Rate</t>
        </is>
      </c>
      <c r="B1296">
        <f>IF(AND(Inputs!$B$39&lt;&gt;"pvp",Inputs!$B$44&gt;0),SUMPRODUCT((Skills!E2:E31=TRUE)*(C1261:C1290=TRUE)*R1261:R1290*Skills!F2:F31)/Inputs!$B$44,SUMPRODUCT((Skills!E2:E31=TRUE)*(C1261:C1290=TRUE)*Q1261:Q1290*Skills!F2:F31))</f>
        <v/>
      </c>
    </row>
    <row r="1297">
      <c r="A1297" t="inlineStr">
        <is>
          <t>Showdown Casts Per Second</t>
        </is>
      </c>
      <c r="B1297">
        <f>MAX(0,B1295-B1296)</f>
        <v/>
      </c>
    </row>
    <row r="1298">
      <c r="A1298" t="inlineStr">
        <is>
          <t>Average Buff Multiplier</t>
        </is>
      </c>
      <c r="B1298">
        <f>(1+(((C1280=TRUE)*F1280*IF(AND(Inputs!$B$39&lt;&gt;"pvp",Inputs!$B$44&gt;0),(((R1280-1)*(Skills!Y21*(1+(Inputs!$B$34+1)/100))+MIN((Skills!Y21*(1+(Inputs!$B$34+1)/100)),MAX(0,Inputs!$B$44-((R1280-1)*Skills!D21))))/Inputs!$B$44),IF(Inputs!$B$39="pvp",MIN((Skills!Y21*(1+(Inputs!$B$34+1)/100)),15)/15,(Skills!Y21*(1+(Inputs!$B$34+1)/100))/Skills!D21)))+((C1287=TRUE)*(F1287-Calc!F28))+((C1277=TRUE)*(F1277-Calc!F18)))/100)*(1+((C1274=TRUE)*F1274*IF(AND(Inputs!$B$39&lt;&gt;"pvp",Inputs!$B$44&gt;0),(((R1274-1)*(Skills!Y15*(1+(Inputs!$B$34+1)/100))+MIN((Skills!Y15*(1+(Inputs!$B$34+1)/100)),MAX(0,Inputs!$B$44-((R1274-1)*Skills!D15))))/Inputs!$B$44),IF(Inputs!$B$39="pvp",MIN((Skills!Y15*(1+(Inputs!$B$34+1)/100)),15)/15,(Skills!Y15*(1+(Inputs!$B$34+1)/100))/Skills!D15)))/100)*(1+((C1265=TRUE)*F1265*B1293)/100)</f>
        <v/>
      </c>
    </row>
    <row r="1299">
      <c r="A1299" t="inlineStr">
        <is>
          <t>Global Crit Rate Bonus %</t>
        </is>
      </c>
      <c r="B1299">
        <f>IF(Inputs!$B$3&gt;=47,8,0)+((C1279=TRUE)*F1279*IF(AND(Inputs!$B$39&lt;&gt;"pvp",Inputs!$B$44&gt;0),(((R1279-1)*(Skills!Y20*(1+(Inputs!$B$34+1)/100))+MIN((Skills!Y20*(1+(Inputs!$B$34+1)/100)),MAX(0,Inputs!$B$44-((R1279-1)*Skills!D20))))/Inputs!$B$44),IF(Inputs!$B$39="pvp",MIN((Skills!Y20*(1+(Inputs!$B$34+1)/100)),15)/15,(Skills!Y20*(1+(Inputs!$B$34+1)/100))/Skills!D20)))</f>
        <v/>
      </c>
    </row>
    <row r="1300">
      <c r="A1300" t="inlineStr">
        <is>
          <t>Global Monster Damage-Taken Bonus %</t>
        </is>
      </c>
      <c r="B1300">
        <f>IF(Inputs!$B$3&gt;=82,15,0)+((C1275=TRUE)*F1275*IF(AND(Inputs!$B$39&lt;&gt;"pvp",Inputs!$B$44&gt;0),(((R1275-1)*(Skills!Y16*(1+(Inputs!$B$34+1)/100))+MIN((Skills!Y16*(1+(Inputs!$B$34+1)/100)),MAX(0,Inputs!$B$44-((R1275-1)*Skills!D16))))/Inputs!$B$44),IF(Inputs!$B$39="pvp",MIN((Skills!Y16*(1+(Inputs!$B$34+1)/100)),15)/15,(Skills!Y16*(1+(Inputs!$B$34+1)/100))/Skills!D16)))</f>
        <v/>
      </c>
    </row>
    <row r="1301">
      <c r="A1301" t="inlineStr">
        <is>
          <t>Shadow Partner Average Multiplier</t>
        </is>
      </c>
      <c r="B1301">
        <f>1+((C1270=TRUE)*F1270*I1270*Skills!J11/100)/100</f>
        <v/>
      </c>
    </row>
    <row r="1302">
      <c r="A1302" t="inlineStr">
        <is>
          <t>Global Critical Damage Bonus % (Frailty Curse Mastery Lv.111)</t>
        </is>
      </c>
      <c r="B1302">
        <f>IF(Inputs!$B$3&gt;=111,30,0)*IF(AND(Inputs!$B$39&lt;&gt;"pvp",Inputs!$B$44&gt;0),(((R1275-1)*(Skills!Y16*(1+(Inputs!$B$34+1)/100))+MIN((Skills!Y16*(1+(Inputs!$B$34+1)/100)),MAX(0,Inputs!$B$44-((R1275-1)*Skills!D16))))/Inputs!$B$44),IF(Inputs!$B$39="pvp",MIN((Skills!Y16*(1+(Inputs!$B$34+1)/100)),15)/15,(Skills!Y16*(1+(Inputs!$B$34+1)/100))/Skills!D16))</f>
        <v/>
      </c>
    </row>
    <row r="1303">
      <c r="A1303" s="5" t="inlineStr">
        <is>
          <t>TOTAL DPS</t>
        </is>
      </c>
      <c r="B1303" s="5">
        <f>SUM(O1261:O1290)</f>
        <v/>
      </c>
    </row>
    <row r="1304">
      <c r="A1304" t="inlineStr">
        <is>
          <t>Buff-Casting Startup Delay (s, fixed-duration only)</t>
        </is>
      </c>
      <c r="B1304">
        <f>IF(AND(Inputs!$B$39&lt;&gt;"pvp",Inputs!$B$44&gt;0),SUMPRODUCT((Skills!Y2:Y31&gt;0)*(Skills!E2:E31=TRUE)*(C1261:C1290=TRUE))/B1295,0)</f>
        <v/>
      </c>
    </row>
    <row r="1305">
      <c r="A1305" t="inlineStr">
        <is>
          <t>Boss-Only Total DPS (this block's swept value)</t>
        </is>
      </c>
      <c r="B1305">
        <f>SUM(T1261:T1290)</f>
        <v/>
      </c>
    </row>
    <row r="1306">
      <c r="A1306" t="inlineStr">
        <is>
          <t>Normal-Only Total DPS (this block's swept value)</t>
        </is>
      </c>
      <c r="B1306">
        <f>SUM(V1261:V1290)</f>
        <v/>
      </c>
    </row>
    <row r="1308">
      <c r="A1308" s="5" t="inlineStr">
        <is>
          <t>Stat: Incoming Hit Rate (hits/sec, Shadow Shifter only)</t>
        </is>
      </c>
    </row>
    <row r="1309">
      <c r="A1309" s="9" t="inlineStr">
        <is>
          <t>Key</t>
        </is>
      </c>
      <c r="B1309" s="9" t="inlineStr">
        <is>
          <t>Name</t>
        </is>
      </c>
      <c r="C1309" s="9" t="inlineStr">
        <is>
          <t>Unlocked</t>
        </is>
      </c>
      <c r="D1309" s="9" t="inlineStr">
        <is>
          <t>InputLevel</t>
        </is>
      </c>
      <c r="E1309" s="9" t="inlineStr">
        <is>
          <t>Factor</t>
        </is>
      </c>
      <c r="F1309" s="9" t="inlineStr">
        <is>
          <t>CoefficientPercent</t>
        </is>
      </c>
      <c r="G1309" s="9" t="inlineStr">
        <is>
          <t>EffectiveHits</t>
        </is>
      </c>
      <c r="H1309" s="9" t="inlineStr">
        <is>
          <t>ProcProbability</t>
        </is>
      </c>
      <c r="I1309" s="9" t="inlineStr">
        <is>
          <t>MapleHeroMultiplier</t>
        </is>
      </c>
      <c r="J1309" s="9" t="inlineStr">
        <is>
          <t>BaseDamage</t>
        </is>
      </c>
      <c r="K1309" s="9" t="inlineStr">
        <is>
          <t>BaseHitDamage</t>
        </is>
      </c>
      <c r="L1309" s="9" t="inlineStr">
        <is>
          <t>NonCritAvg</t>
        </is>
      </c>
      <c r="M1309" s="9" t="inlineStr">
        <is>
          <t>CritAvg</t>
        </is>
      </c>
      <c r="N1309" s="9" t="inlineStr">
        <is>
          <t>ExpectedDamage(perHit)</t>
        </is>
      </c>
      <c r="O1309" s="9" t="inlineStr">
        <is>
          <t>DPS</t>
        </is>
      </c>
      <c r="P1309" s="9" t="inlineStr">
        <is>
          <t>% of Total</t>
        </is>
      </c>
      <c r="Q1309" s="9" t="inlineStr">
        <is>
          <t>InvCooldown</t>
        </is>
      </c>
      <c r="R1309" s="9" t="inlineStr">
        <is>
          <t>CastsInFight</t>
        </is>
      </c>
      <c r="S1309" s="9" t="inlineStr">
        <is>
          <t>HitRate(perSec)</t>
        </is>
      </c>
      <c r="U1309" t="inlineStr">
        <is>
          <t>helpers</t>
        </is>
      </c>
    </row>
    <row r="1310">
      <c r="A1310">
        <f>Skills!A2</f>
        <v/>
      </c>
      <c r="B1310">
        <f>Skills!B2</f>
        <v/>
      </c>
      <c r="C1310">
        <f>Inputs!$B$3&gt;=100</f>
        <v/>
      </c>
      <c r="D1310" t="inlineStr"/>
      <c r="E1310" t="inlineStr"/>
      <c r="F1310">
        <f>U1314+Skills!O2</f>
        <v/>
      </c>
      <c r="G1310">
        <f>Calc!G2</f>
        <v/>
      </c>
      <c r="H1310">
        <f>Calc!H2</f>
        <v/>
      </c>
      <c r="I1310">
        <f>IF(Skills!AA2&lt;&gt;"",1+(Skills!AA2/10)*(U1311/1000)/100,1)</f>
        <v/>
      </c>
      <c r="J1310">
        <f>((Inputs!$B$6*(1+Inputs!$B$7/100))+(((Inputs!$B$12*(1+Inputs!$B$13/100))-(Inputs!$B$12*(1+Inputs!$B$13/100)))+0.25*(Inputs!$B$14-Inputs!$B$14))*(1+Inputs!$B$7/100))*(F1310/100)</f>
        <v/>
      </c>
      <c r="K1310">
        <f>J1310*(1+((Inputs!$B$12*(1+Inputs!$B$13/100))*0.01+Inputs!$B$14*0.0025)/100)*(1+Inputs!$B$15/100)*(1+Inputs!$B$16/100)*(5000/(6000+Inputs!$B$43*(1-Inputs!$B$19/100)))*(1+(Inputs!$B$24+((C1338=TRUE)*(F1338-Calc!F30)))/100)*(1+Skills!R2/100)*(1+(IF(Skills!A2="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1310)</f>
        <v/>
      </c>
      <c r="L1310">
        <f>K1310*(MIN(Inputs!$B$22+((C1332=TRUE)*(F1332-Calc!F24)),Inputs!$B$23)/100+Inputs!$B$23/100)/2</f>
        <v/>
      </c>
      <c r="M1310">
        <f>L1310*(1+(Inputs!$B$10+((C1334=TRUE)*(F1334-Calc!F26))+B1351)/100)</f>
        <v/>
      </c>
      <c r="N1310">
        <f>L1310*(1-MIN((Inputs!$B$9+((C1333=TRUE)*(F1333-Calc!F25))+B1348),100)/100)+M1310*(MIN((Inputs!$B$9+((C1333=TRUE)*(F1333-Calc!F25))+B1348),100)/100)</f>
        <v/>
      </c>
      <c r="O1310">
        <f>(1-Summary!$B$55)*T1310+Summary!$B$55*V1310</f>
        <v/>
      </c>
      <c r="P1310">
        <f>IF(B1352=0,0,O1310/B1352)</f>
        <v/>
      </c>
      <c r="Q1310" t="n">
        <v>0</v>
      </c>
      <c r="R1310" t="n">
        <v>0</v>
      </c>
      <c r="S1310">
        <f>IFERROR(O1310/N1310,0)</f>
        <v/>
      </c>
      <c r="T1310">
        <f>IF(C1310,(Skills!G2*N1310*B1346)*IF(Inputs!$B$39="pvp",1,1+(Inputs!$B$20+((C1335=TRUE)*(F1335-Calc!F27))+Skills!P2+B1349)/100),0)</f>
        <v/>
      </c>
      <c r="U1310">
        <f>MAX(0,(Inputs!$B$3-100)*3)+Inputs!$B$28+Inputs!$B$29</f>
        <v/>
      </c>
      <c r="V1310">
        <f>IF(C1310,(Skills!G2*N1310*B1346)*IF(Inputs!$B$39="pvp",1,(1+(Inputs!$B$21+Skills!Q2+B1349)/100)*(MIN((6+Inputs!$B$33),Inputs!$B$37))),0)</f>
        <v/>
      </c>
    </row>
    <row r="1311">
      <c r="A1311">
        <f>Skills!A3</f>
        <v/>
      </c>
      <c r="B1311">
        <f>Skills!B3</f>
        <v/>
      </c>
      <c r="C1311">
        <f>Inputs!$B$3&gt;=35</f>
        <v/>
      </c>
      <c r="D1311">
        <f>IF(Skills!C3=1,60+Inputs!$B$25+Inputs!$B$29,IF(Skills!C3=2,90+Inputs!$B$26+Inputs!$B$29,IF(Skills!C3=3,120+Inputs!$B$27+Inputs!$B$29,MAX(0,(Inputs!$B$3-100)*3)+Inputs!$B$28+Inputs!$B$29)))</f>
        <v/>
      </c>
      <c r="E1311">
        <f>INDEX(FactorTable!$B$2:$Y$301, MATCH(ROUND(MIN(300,MAX(1,D1311)),0), FactorTable!$A$2:$A$301,0), Skills!M3+1)</f>
        <v/>
      </c>
      <c r="F1311">
        <f>IF(Skills!N3=TRUE,(Skills!L3/10)*(E1311/1000),Skills!L3/10)+Skills!O3</f>
        <v/>
      </c>
      <c r="G1311">
        <f>Calc!G3</f>
        <v/>
      </c>
      <c r="H1311">
        <f>Calc!H3</f>
        <v/>
      </c>
      <c r="I1311">
        <f>IF(Skills!AA3&lt;&gt;"",1+(Skills!AA3/10)*(U1311/1000)/100,1)</f>
        <v/>
      </c>
      <c r="J1311">
        <f>((Inputs!$B$6*(1+Inputs!$B$7/100))+(((Inputs!$B$12*(1+Inputs!$B$13/100))-(Inputs!$B$12*(1+Inputs!$B$13/100)))+0.25*(Inputs!$B$14-Inputs!$B$14))*(1+Inputs!$B$7/100))*(F1311/100)</f>
        <v/>
      </c>
      <c r="K1311">
        <f>J1311*(1+((Inputs!$B$12*(1+Inputs!$B$13/100))*0.01+Inputs!$B$14*0.0025)/100)*(1+Inputs!$B$15/100)*(1+Inputs!$B$16/100)*(5000/(6000+Inputs!$B$43*(1-Inputs!$B$19/100)))*(1+(Inputs!$B$24+((C1338=TRUE)*(F1338-Calc!F30)))/100)*(1+Skills!R3/100)*(1+(IF(Skills!A3="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1311)</f>
        <v/>
      </c>
      <c r="L1311">
        <f>K1311*(MIN(Inputs!$B$22+((C1332=TRUE)*(F1332-Calc!F24)),Inputs!$B$23)/100+Inputs!$B$23/100)/2</f>
        <v/>
      </c>
      <c r="M1311">
        <f>L1311*(1+(Inputs!$B$10+((C1334=TRUE)*(F1334-Calc!F26))+B1351)/100)</f>
        <v/>
      </c>
      <c r="N1311">
        <f>L1311*(1-MIN((Inputs!$B$9+((C1333=TRUE)*(F1333-Calc!F25))+B1348),100)/100)+M1311*(MIN((Inputs!$B$9+((C1333=TRUE)*(F1333-Calc!F25))+B1348),100)/100)</f>
        <v/>
      </c>
      <c r="O1311">
        <f>(1-Summary!$B$55)*T1311+Summary!$B$55*V1311</f>
        <v/>
      </c>
      <c r="P1311">
        <f>IF(B1352=0,0,O1311/B1352)</f>
        <v/>
      </c>
      <c r="Q1311">
        <f>IFERROR(1/IF(Inputs!$B$39="pvp",15,MAX(0.1,Skills!D3-IF(Skills!E3=TRUE,Inputs!$B$32,0))),0)</f>
        <v/>
      </c>
      <c r="R1311">
        <f>IF(AND(Inputs!$B$39&lt;&gt;"pvp",Inputs!$B$44&gt;0),IF(MAX(0,Inputs!$B$44-B1353)&lt;=0,0,(INT(MAX(0,Inputs!$B$44-B1353)/IF(Inputs!$B$39="pvp",15,MAX(0.1,Skills!D3-IF(Skills!E3=TRUE,Inputs!$B$32,0))))+1)),0)</f>
        <v/>
      </c>
      <c r="S1311">
        <f>IFERROR(O1311/N1311,0)</f>
        <v/>
      </c>
      <c r="T1311">
        <f>IF(C1311,(H1311*N1311*IF(AND(Inputs!$B$39&lt;&gt;"pvp",Inputs!$B$44&gt;0),((Skills!G3*((R1311-1)*IF(Skills!H3&gt;0,Skills!I3/Skills!H3,1)+IF(Skills!H3&gt;0,MIN(Skills!I3,MAX(0,MAX(0,Inputs!$B$44-B1353)-((R1311-1)*IF(Inputs!$B$39="pvp",15,MAX(0.1,Skills!D3-IF(Skills!E3=TRUE,Inputs!$B$32,0))))))/Skills!H3,1)))/Inputs!$B$44),G1311*Q1311))*IF(Inputs!$B$39="pvp",1,1+(Inputs!$B$20+((C1335=TRUE)*(F1335-Calc!F27))+Skills!P3+B1349)/100),0)</f>
        <v/>
      </c>
      <c r="U1311">
        <f>INDEX(FactorTable!$B$2:$Y$301, MATCH(ROUND(MIN(300,MAX(1,U1310)),0), FactorTable!$A$2:$A$301,0), 24)</f>
        <v/>
      </c>
      <c r="V1311">
        <f>IF(C1311,(H1311*N1311*IF(AND(Inputs!$B$39&lt;&gt;"pvp",Inputs!$B$44&gt;0),((Skills!G3*((R1311-1)*IF(Skills!H3&gt;0,Skills!I3/Skills!H3,1)+IF(Skills!H3&gt;0,MIN(Skills!I3,MAX(0,MAX(0,Inputs!$B$44-B1353)-((R1311-1)*IF(Inputs!$B$39="pvp",15,MAX(0.1,Skills!D3-IF(Skills!E3=TRUE,Inputs!$B$32,0))))))/Skills!H3,1)))/Inputs!$B$44),G1311*Q1311))*IF(Inputs!$B$39="pvp",1,(1+(Inputs!$B$21+Skills!Q3+B1349)/100)*(MIN(Skills!W3,Inputs!$B$37))),0)</f>
        <v/>
      </c>
    </row>
    <row r="1312">
      <c r="A1312">
        <f>Skills!A4</f>
        <v/>
      </c>
      <c r="B1312">
        <f>Skills!B4</f>
        <v/>
      </c>
      <c r="C1312">
        <f>Inputs!$B$3&gt;=40</f>
        <v/>
      </c>
      <c r="D1312">
        <f>IF(Skills!C4=1,60+Inputs!$B$25+Inputs!$B$29,IF(Skills!C4=2,90+Inputs!$B$26+Inputs!$B$29,IF(Skills!C4=3,120+Inputs!$B$27+Inputs!$B$29,MAX(0,(Inputs!$B$3-100)*3)+Inputs!$B$28+Inputs!$B$29)))</f>
        <v/>
      </c>
      <c r="E1312">
        <f>INDEX(FactorTable!$B$2:$Y$301, MATCH(ROUND(MIN(300,MAX(1,D1312)),0), FactorTable!$A$2:$A$301,0), Skills!M4+1)</f>
        <v/>
      </c>
      <c r="F1312">
        <f>IF(Skills!N4=TRUE,(Skills!L4/10)*(E1312/1000),Skills!L4/10)+Skills!O4</f>
        <v/>
      </c>
      <c r="G1312">
        <f>Calc!G4</f>
        <v/>
      </c>
      <c r="H1312">
        <f>Calc!H4</f>
        <v/>
      </c>
      <c r="I1312">
        <f>IF(Skills!AA4&lt;&gt;"",1+(Skills!AA4/10)*(U1311/1000)/100,1)</f>
        <v/>
      </c>
      <c r="J1312">
        <f>((Inputs!$B$6*(1+Inputs!$B$7/100))+(((Inputs!$B$12*(1+Inputs!$B$13/100))-(Inputs!$B$12*(1+Inputs!$B$13/100)))+0.25*(Inputs!$B$14-Inputs!$B$14))*(1+Inputs!$B$7/100))*(F1312/100)</f>
        <v/>
      </c>
      <c r="K1312">
        <f>J1312*(1+((Inputs!$B$12*(1+Inputs!$B$13/100))*0.01+Inputs!$B$14*0.0025)/100)*(1+Inputs!$B$15/100)*(1+Inputs!$B$16/100)*(5000/(6000+Inputs!$B$43*(1-Inputs!$B$19/100)))*(1+(Inputs!$B$24+((C1338=TRUE)*(F1338-Calc!F30)))/100)*(1+Skills!R4/100)*(1+(IF(Skills!A4="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1312)</f>
        <v/>
      </c>
      <c r="L1312">
        <f>K1312*(MIN(Inputs!$B$22+((C1332=TRUE)*(F1332-Calc!F24)),Inputs!$B$23)/100+Inputs!$B$23/100)/2</f>
        <v/>
      </c>
      <c r="M1312">
        <f>L1312*(1+(Inputs!$B$10+((C1334=TRUE)*(F1334-Calc!F26))+B1351)/100)</f>
        <v/>
      </c>
      <c r="N1312">
        <f>L1312*(1-MIN((Inputs!$B$9+((C1333=TRUE)*(F1333-Calc!F25))+B1348),100)/100)+M1312*(MIN((Inputs!$B$9+((C1333=TRUE)*(F1333-Calc!F25))+B1348),100)/100)</f>
        <v/>
      </c>
      <c r="O1312">
        <f>(1-Summary!$B$55)*T1312+Summary!$B$55*V1312</f>
        <v/>
      </c>
      <c r="P1312">
        <f>IF(B1352=0,0,O1312/B1352)</f>
        <v/>
      </c>
      <c r="Q1312">
        <f>IFERROR(1/IF(Inputs!$B$39="pvp",15,MAX(0.1,Skills!D4-IF(Skills!E4=TRUE,Inputs!$B$32,0))),0)</f>
        <v/>
      </c>
      <c r="R1312">
        <f>IF(AND(Inputs!$B$39&lt;&gt;"pvp",Inputs!$B$44&gt;0),IF(MAX(0,Inputs!$B$44-B1353)&lt;=0,0,(INT(MAX(0,Inputs!$B$44-B1353)/IF(Inputs!$B$39="pvp",15,MAX(0.1,Skills!D4-IF(Skills!E4=TRUE,Inputs!$B$32,0))))+1)),0)</f>
        <v/>
      </c>
      <c r="S1312">
        <f>IFERROR(O1312/N1312,0)</f>
        <v/>
      </c>
      <c r="T1312">
        <f>IF(C1312,(H1312*N1312*IF(AND(Inputs!$B$39&lt;&gt;"pvp",Inputs!$B$44&gt;0),((Skills!G4*((R1312-1)*IF(Skills!H4&gt;0,Skills!I4/Skills!H4,1)+IF(Skills!H4&gt;0,MIN(Skills!I4,MAX(0,MAX(0,Inputs!$B$44-B1353)-((R1312-1)*IF(Inputs!$B$39="pvp",15,MAX(0.1,Skills!D4-IF(Skills!E4=TRUE,Inputs!$B$32,0))))))/Skills!H4,1)))/Inputs!$B$44),G1312*Q1312))*IF(Inputs!$B$39="pvp",1,1+(Inputs!$B$20+((C1335=TRUE)*(F1335-Calc!F27))+Skills!P4+B1349)/100),0)</f>
        <v/>
      </c>
      <c r="U1312">
        <f>MAX(0,(Inputs!$B$3-100)*3)+Inputs!$B$28+Inputs!$B$29</f>
        <v/>
      </c>
      <c r="V1312">
        <f>IF(C1312,(H1312*N1312*IF(AND(Inputs!$B$39&lt;&gt;"pvp",Inputs!$B$44&gt;0),((Skills!G4*((R1312-1)*IF(Skills!H4&gt;0,Skills!I4/Skills!H4,1)+IF(Skills!H4&gt;0,MIN(Skills!I4,MAX(0,MAX(0,Inputs!$B$44-B1353)-((R1312-1)*IF(Inputs!$B$39="pvp",15,MAX(0.1,Skills!D4-IF(Skills!E4=TRUE,Inputs!$B$32,0))))))/Skills!H4,1)))/Inputs!$B$44),G1312*Q1312))*IF(Inputs!$B$39="pvp",1,(1+(Inputs!$B$21+Skills!Q4+B1349)/100)*(MIN(Skills!W4,Inputs!$B$37))),0)</f>
        <v/>
      </c>
    </row>
    <row r="1313">
      <c r="A1313">
        <f>Skills!A5</f>
        <v/>
      </c>
      <c r="B1313">
        <f>Skills!B5</f>
        <v/>
      </c>
      <c r="C1313">
        <f>Inputs!$B$3&gt;=63</f>
        <v/>
      </c>
      <c r="D1313">
        <f>IF(Skills!C5=1,60+Inputs!$B$25+Inputs!$B$29,IF(Skills!C5=2,90+Inputs!$B$26+Inputs!$B$29,IF(Skills!C5=3,120+Inputs!$B$27+Inputs!$B$29,MAX(0,(Inputs!$B$3-100)*3)+Inputs!$B$28+Inputs!$B$29)))</f>
        <v/>
      </c>
      <c r="E1313">
        <f>INDEX(FactorTable!$B$2:$Y$301, MATCH(ROUND(MIN(300,MAX(1,D1313)),0), FactorTable!$A$2:$A$301,0), Skills!M5+1)</f>
        <v/>
      </c>
      <c r="F1313">
        <f>IF(Skills!N5=TRUE,(Skills!L5/10)*(E1313/1000),Skills!L5/10)+Skills!O5</f>
        <v/>
      </c>
      <c r="G1313">
        <f>Calc!G5</f>
        <v/>
      </c>
      <c r="H1313">
        <f>Calc!H5</f>
        <v/>
      </c>
      <c r="I1313">
        <f>IF(Skills!AA5&lt;&gt;"",1+(Skills!AA5/10)*(U1311/1000)/100,1)</f>
        <v/>
      </c>
      <c r="J1313">
        <f>((Inputs!$B$6*(1+Inputs!$B$7/100))+(((Inputs!$B$12*(1+Inputs!$B$13/100))-(Inputs!$B$12*(1+Inputs!$B$13/100)))+0.25*(Inputs!$B$14-Inputs!$B$14))*(1+Inputs!$B$7/100))*(F1313/100)</f>
        <v/>
      </c>
      <c r="K1313">
        <f>J1313*(1+((Inputs!$B$12*(1+Inputs!$B$13/100))*0.01+Inputs!$B$14*0.0025)/100)*(1+Inputs!$B$15/100)*(1+Inputs!$B$16/100)*(5000/(6000+Inputs!$B$43*(1-Inputs!$B$19/100)))*(1+(Inputs!$B$24+((C1338=TRUE)*(F1338-Calc!F30)))/100)*(1+Skills!R5/100)*(1+(IF(Skills!A5="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1313)</f>
        <v/>
      </c>
      <c r="L1313">
        <f>K1313*(MIN(Inputs!$B$22+((C1332=TRUE)*(F1332-Calc!F24)),Inputs!$B$23)/100+Inputs!$B$23/100)/2</f>
        <v/>
      </c>
      <c r="M1313">
        <f>L1313*(1+(Inputs!$B$10+((C1334=TRUE)*(F1334-Calc!F26))+B1351)/100)</f>
        <v/>
      </c>
      <c r="N1313">
        <f>L1313*(1-MIN((Inputs!$B$9+((C1333=TRUE)*(F1333-Calc!F25))+B1348),100)/100)+M1313*(MIN((Inputs!$B$9+((C1333=TRUE)*(F1333-Calc!F25))+B1348),100)/100)</f>
        <v/>
      </c>
      <c r="O1313">
        <f>(1-Summary!$B$55)*T1313+Summary!$B$55*V1313</f>
        <v/>
      </c>
      <c r="P1313">
        <f>IF(B1352=0,0,O1313/B1352)</f>
        <v/>
      </c>
      <c r="Q1313">
        <f>IFERROR(1/IF(Inputs!$B$39="pvp",15,MAX(0.1,Skills!D5-IF(Skills!E5=TRUE,Inputs!$B$32,0))),0)</f>
        <v/>
      </c>
      <c r="R1313">
        <f>IF(AND(Inputs!$B$39&lt;&gt;"pvp",Inputs!$B$44&gt;0),IF(MAX(0,Inputs!$B$44-B1353)&lt;=0,0,(INT(MAX(0,Inputs!$B$44-B1353)/IF(Inputs!$B$39="pvp",15,MAX(0.1,Skills!D5-IF(Skills!E5=TRUE,Inputs!$B$32,0))))+1)),0)</f>
        <v/>
      </c>
      <c r="S1313">
        <f>IFERROR(O1313/N1313,0)</f>
        <v/>
      </c>
      <c r="T1313">
        <f>IF(C1313,(H1313*N1313*IF(AND(Inputs!$B$39&lt;&gt;"pvp",Inputs!$B$44&gt;0),((Skills!G5*((R1313-1)*IF(Skills!H5&gt;0,Skills!I5/Skills!H5,1)+IF(Skills!H5&gt;0,MIN(Skills!I5,MAX(0,MAX(0,Inputs!$B$44-B1353)-((R1313-1)*IF(Inputs!$B$39="pvp",15,MAX(0.1,Skills!D5-IF(Skills!E5=TRUE,Inputs!$B$32,0))))))/Skills!H5,1)))/Inputs!$B$44),G1313*Q1313))*IF(Inputs!$B$39="pvp",1,1+(Inputs!$B$20+((C1335=TRUE)*(F1335-Calc!F27))+Skills!P5+B1349)/100),0)</f>
        <v/>
      </c>
      <c r="U1313">
        <f>INDEX(FactorTable!$B$2:$Y$301, MATCH(ROUND(MIN(300,MAX(1,U1312)),0), FactorTable!$A$2:$A$301,0), 22)</f>
        <v/>
      </c>
      <c r="V1313">
        <f>IF(C1313,(H1313*N1313*IF(AND(Inputs!$B$39&lt;&gt;"pvp",Inputs!$B$44&gt;0),((Skills!G5*((R1313-1)*IF(Skills!H5&gt;0,Skills!I5/Skills!H5,1)+IF(Skills!H5&gt;0,MIN(Skills!I5,MAX(0,MAX(0,Inputs!$B$44-B1353)-((R1313-1)*IF(Inputs!$B$39="pvp",15,MAX(0.1,Skills!D5-IF(Skills!E5=TRUE,Inputs!$B$32,0))))))/Skills!H5,1)))/Inputs!$B$44),G1313*Q1313))*IF(Inputs!$B$39="pvp",1,(1+(Inputs!$B$21+Skills!Q5+B1349)/100)*(MIN(Skills!W5,Inputs!$B$37))),0)</f>
        <v/>
      </c>
    </row>
    <row r="1314">
      <c r="A1314">
        <f>Skills!A6</f>
        <v/>
      </c>
      <c r="B1314">
        <f>Skills!B6</f>
        <v/>
      </c>
      <c r="C1314">
        <f>Inputs!$B$3&gt;=66</f>
        <v/>
      </c>
      <c r="D1314">
        <f>IF(Skills!C6=1,60+Inputs!$B$25+Inputs!$B$29,IF(Skills!C6=2,90+Inputs!$B$26+Inputs!$B$29,IF(Skills!C6=3,120+Inputs!$B$27+Inputs!$B$29,MAX(0,(Inputs!$B$3-100)*3)+Inputs!$B$28+Inputs!$B$29)))</f>
        <v/>
      </c>
      <c r="E1314">
        <f>INDEX(FactorTable!$B$2:$Y$301, MATCH(ROUND(MIN(300,MAX(1,D1314)),0), FactorTable!$A$2:$A$301,0), Skills!M6+1)</f>
        <v/>
      </c>
      <c r="F1314">
        <f>IF(Skills!N6=TRUE,(Skills!L6/10)*(E1314/1000),Skills!L6/10)+Skills!O6</f>
        <v/>
      </c>
      <c r="G1314">
        <f>Calc!G6</f>
        <v/>
      </c>
      <c r="H1314">
        <f>Calc!H6</f>
        <v/>
      </c>
      <c r="I1314">
        <f>IF(Skills!AA6&lt;&gt;"",1+(Skills!AA6/10)*(U1311/1000)/100,1)</f>
        <v/>
      </c>
      <c r="J1314" t="inlineStr"/>
      <c r="K1314" t="inlineStr"/>
      <c r="L1314" t="inlineStr"/>
      <c r="M1314" t="inlineStr"/>
      <c r="N1314" t="inlineStr"/>
      <c r="O1314">
        <f>(1-Summary!$B$55)*T1314+Summary!$B$55*V1314</f>
        <v/>
      </c>
      <c r="P1314">
        <f>IF(B1352=0,0,O1314/B1352)</f>
        <v/>
      </c>
      <c r="Q1314" t="n">
        <v>0</v>
      </c>
      <c r="R1314" t="n">
        <v>0</v>
      </c>
      <c r="S1314">
        <f>IFERROR(O1314/N1314,0)</f>
        <v/>
      </c>
      <c r="T1314" t="n">
        <v>0</v>
      </c>
      <c r="U1314">
        <f>290*U1313/1000</f>
        <v/>
      </c>
      <c r="V1314" t="n">
        <v>0</v>
      </c>
    </row>
    <row r="1315">
      <c r="A1315">
        <f>Skills!A7</f>
        <v/>
      </c>
      <c r="B1315">
        <f>Skills!B7</f>
        <v/>
      </c>
      <c r="C1315">
        <f>Inputs!$B$3&gt;=66</f>
        <v/>
      </c>
      <c r="D1315">
        <f>IF(Skills!C7=1,60+Inputs!$B$25+Inputs!$B$29,IF(Skills!C7=2,90+Inputs!$B$26+Inputs!$B$29,IF(Skills!C7=3,120+Inputs!$B$27+Inputs!$B$29,MAX(0,(Inputs!$B$3-100)*3)+Inputs!$B$28+Inputs!$B$29)))</f>
        <v/>
      </c>
      <c r="E1315">
        <f>INDEX(FactorTable!$B$2:$Y$301, MATCH(ROUND(MIN(300,MAX(1,D1315)),0), FactorTable!$A$2:$A$301,0), Skills!M7+1)</f>
        <v/>
      </c>
      <c r="F1315">
        <f>IF(Skills!N7=TRUE,(Skills!L7/10)*(E1315/1000),Skills!L7/10)+Skills!O7</f>
        <v/>
      </c>
      <c r="G1315">
        <f>Calc!G7</f>
        <v/>
      </c>
      <c r="H1315">
        <f>Calc!H7</f>
        <v/>
      </c>
      <c r="I1315">
        <f>IF(Skills!AA7&lt;&gt;"",1+(Skills!AA7/10)*(U1311/1000)/100,1)</f>
        <v/>
      </c>
      <c r="J1315" t="inlineStr"/>
      <c r="K1315" t="inlineStr"/>
      <c r="L1315" t="inlineStr"/>
      <c r="M1315" t="inlineStr"/>
      <c r="N1315" t="inlineStr"/>
      <c r="O1315">
        <f>(1-Summary!$B$55)*T1315+Summary!$B$55*V1315</f>
        <v/>
      </c>
      <c r="P1315">
        <f>IF(B1352=0,0,O1315/B1352)</f>
        <v/>
      </c>
      <c r="Q1315" t="n">
        <v>0</v>
      </c>
      <c r="R1315" t="n">
        <v>0</v>
      </c>
      <c r="S1315">
        <f>IFERROR(O1315/N1315,0)</f>
        <v/>
      </c>
      <c r="T1315" t="n">
        <v>0</v>
      </c>
      <c r="V1315" t="n">
        <v>0</v>
      </c>
    </row>
    <row r="1316">
      <c r="A1316">
        <f>Skills!A8</f>
        <v/>
      </c>
      <c r="B1316">
        <f>Skills!B8</f>
        <v/>
      </c>
      <c r="C1316">
        <f>Inputs!$B$3&gt;=69</f>
        <v/>
      </c>
      <c r="D1316">
        <f>IF(Skills!C8=1,60+Inputs!$B$25+Inputs!$B$29,IF(Skills!C8=2,90+Inputs!$B$26+Inputs!$B$29,IF(Skills!C8=3,120+Inputs!$B$27+Inputs!$B$29,MAX(0,(Inputs!$B$3-100)*3)+Inputs!$B$28+Inputs!$B$29)))</f>
        <v/>
      </c>
      <c r="E1316">
        <f>INDEX(FactorTable!$B$2:$Y$301, MATCH(ROUND(MIN(300,MAX(1,D1316)),0), FactorTable!$A$2:$A$301,0), Skills!M8+1)</f>
        <v/>
      </c>
      <c r="F1316">
        <f>IF(Skills!N8=TRUE,(Skills!L8/10)*(E1316/1000),Skills!L8/10)+Skills!O8</f>
        <v/>
      </c>
      <c r="G1316">
        <f>Calc!G8</f>
        <v/>
      </c>
      <c r="H1316">
        <f>Calc!H8</f>
        <v/>
      </c>
      <c r="I1316">
        <f>IF(Skills!AA8&lt;&gt;"",1+(Skills!AA8/10)*(U1311/1000)/100,1)</f>
        <v/>
      </c>
      <c r="J1316">
        <f>((Inputs!$B$6*(1+Inputs!$B$7/100))+(((Inputs!$B$12*(1+Inputs!$B$13/100))-(Inputs!$B$12*(1+Inputs!$B$13/100)))+0.25*(Inputs!$B$14-Inputs!$B$14))*(1+Inputs!$B$7/100))*(F1316/100)</f>
        <v/>
      </c>
      <c r="K1316">
        <f>J1316*(1+((Inputs!$B$12*(1+Inputs!$B$13/100))*0.01+Inputs!$B$14*0.0025)/100)*(1+Inputs!$B$15/100)*(1+Inputs!$B$16/100)*(5000/(6000+Inputs!$B$43*(1-Inputs!$B$19/100)))*(1+(Inputs!$B$24+((C1338=TRUE)*(F1338-Calc!F30)))/100)*(1+Skills!R8/100)*(1+(IF(Skills!A8="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1316)</f>
        <v/>
      </c>
      <c r="L1316">
        <f>K1316*(MIN(Inputs!$B$22+((C1332=TRUE)*(F1332-Calc!F24)),Inputs!$B$23)/100+Inputs!$B$23/100)/2</f>
        <v/>
      </c>
      <c r="M1316">
        <f>L1316*(1+(Inputs!$B$10+((C1334=TRUE)*(F1334-Calc!F26))+B1351)/100)</f>
        <v/>
      </c>
      <c r="N1316">
        <f>L1316*(1-MIN((Inputs!$B$9+((C1333=TRUE)*(F1333-Calc!F25))+B1348),100)/100)+M1316*(MIN((Inputs!$B$9+((C1333=TRUE)*(F1333-Calc!F25))+B1348),100)/100)</f>
        <v/>
      </c>
      <c r="O1316">
        <f>(1-Summary!$B$55)*T1316+Summary!$B$55*V1316</f>
        <v/>
      </c>
      <c r="P1316">
        <f>IF(B1352=0,0,O1316/B1352)</f>
        <v/>
      </c>
      <c r="Q1316">
        <f>IFERROR(1/IF(Inputs!$B$39="pvp",15,MAX(0.1,Skills!D8-IF(Skills!E8=TRUE,Inputs!$B$32,0))),0)</f>
        <v/>
      </c>
      <c r="R1316">
        <f>IF(AND(Inputs!$B$39&lt;&gt;"pvp",Inputs!$B$44&gt;0),IF(MAX(0,Inputs!$B$44-B1353)&lt;=0,0,(INT(MAX(0,Inputs!$B$44-B1353)/IF(Inputs!$B$39="pvp",15,MAX(0.1,Skills!D8-IF(Skills!E8=TRUE,Inputs!$B$32,0))))+1)),0)</f>
        <v/>
      </c>
      <c r="S1316">
        <f>IFERROR(O1316/N1316,0)</f>
        <v/>
      </c>
      <c r="T1316">
        <f>IF(C1316,(H1316*N1316*IF(AND(Inputs!$B$39&lt;&gt;"pvp",Inputs!$B$44&gt;0),((Skills!G8*((R1316-1)*IF(Skills!H8&gt;0,Skills!I8/Skills!H8,1)+IF(Skills!H8&gt;0,MIN(Skills!I8,MAX(0,MAX(0,Inputs!$B$44-B1353)-((R1316-1)*IF(Inputs!$B$39="pvp",15,MAX(0.1,Skills!D8-IF(Skills!E8=TRUE,Inputs!$B$32,0))))))/Skills!H8,1)))/Inputs!$B$44),G1316*Q1316))*IF(Inputs!$B$39="pvp",1,1+(Inputs!$B$20+((C1335=TRUE)*(F1335-Calc!F27))+Skills!P8+B1349)/100),0)</f>
        <v/>
      </c>
      <c r="V1316">
        <f>IF(C1316,(H1316*N1316*IF(AND(Inputs!$B$39&lt;&gt;"pvp",Inputs!$B$44&gt;0),((Skills!G8*((R1316-1)*IF(Skills!H8&gt;0,Skills!I8/Skills!H8,1)+IF(Skills!H8&gt;0,MIN(Skills!I8,MAX(0,MAX(0,Inputs!$B$44-B1353)-((R1316-1)*IF(Inputs!$B$39="pvp",15,MAX(0.1,Skills!D8-IF(Skills!E8=TRUE,Inputs!$B$32,0))))))/Skills!H8,1)))/Inputs!$B$44),G1316*Q1316))*IF(Inputs!$B$39="pvp",1,(1+(Inputs!$B$21+Skills!Q8+B1349)/100)*(MIN(Skills!W8,Inputs!$B$37))),0)</f>
        <v/>
      </c>
    </row>
    <row r="1317">
      <c r="A1317">
        <f>Skills!A9</f>
        <v/>
      </c>
      <c r="B1317">
        <f>Skills!B9</f>
        <v/>
      </c>
      <c r="C1317">
        <f>Inputs!$B$3&gt;=72</f>
        <v/>
      </c>
      <c r="D1317">
        <f>IF(Skills!C9=1,60+Inputs!$B$25+Inputs!$B$29,IF(Skills!C9=2,90+Inputs!$B$26+Inputs!$B$29,IF(Skills!C9=3,120+Inputs!$B$27+Inputs!$B$29,MAX(0,(Inputs!$B$3-100)*3)+Inputs!$B$28+Inputs!$B$29)))</f>
        <v/>
      </c>
      <c r="E1317">
        <f>INDEX(FactorTable!$B$2:$Y$301, MATCH(ROUND(MIN(300,MAX(1,D1317)),0), FactorTable!$A$2:$A$301,0), Skills!M9+1)</f>
        <v/>
      </c>
      <c r="F1317">
        <f>IF(Skills!N9=TRUE,(Skills!L9/10)*(E1317/1000),Skills!L9/10)+Skills!O9</f>
        <v/>
      </c>
      <c r="G1317">
        <f>Calc!G9</f>
        <v/>
      </c>
      <c r="H1317">
        <f>Calc!H9</f>
        <v/>
      </c>
      <c r="I1317">
        <f>IF(Skills!AA9&lt;&gt;"",1+(Skills!AA9/10)*(U1311/1000)/100,1)</f>
        <v/>
      </c>
      <c r="J1317">
        <f>((Inputs!$B$6*(1+Inputs!$B$7/100))+(((Inputs!$B$12*(1+Inputs!$B$13/100))-(Inputs!$B$12*(1+Inputs!$B$13/100)))+0.25*(Inputs!$B$14-Inputs!$B$14))*(1+Inputs!$B$7/100))*(F1317/100)</f>
        <v/>
      </c>
      <c r="K1317">
        <f>J1317*(1+((Inputs!$B$12*(1+Inputs!$B$13/100))*0.01+Inputs!$B$14*0.0025)/100)*(1+Inputs!$B$15/100)*(1+Inputs!$B$16/100)*(5000/(6000+Inputs!$B$43*(1-Inputs!$B$19/100)))*(1+(Inputs!$B$24+((C1338=TRUE)*(F1338-Calc!F30)))/100)*(1+Skills!R9/100)*(1+(IF(Skills!A9="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1317)</f>
        <v/>
      </c>
      <c r="L1317">
        <f>K1317*(MIN(Inputs!$B$22+((C1332=TRUE)*(F1332-Calc!F24)),Inputs!$B$23)/100+Inputs!$B$23/100)/2</f>
        <v/>
      </c>
      <c r="M1317">
        <f>L1317*(1+(Inputs!$B$10+((C1334=TRUE)*(F1334-Calc!F26))+B1351)/100)</f>
        <v/>
      </c>
      <c r="N1317">
        <f>L1317*(1-MIN((Inputs!$B$9+((C1333=TRUE)*(F1333-Calc!F25))+B1348),100)/100)+M1317*(MIN((Inputs!$B$9+((C1333=TRUE)*(F1333-Calc!F25))+B1348),100)/100)</f>
        <v/>
      </c>
      <c r="O1317">
        <f>(1-Summary!$B$55)*T1317+Summary!$B$55*V1317</f>
        <v/>
      </c>
      <c r="P1317">
        <f>IF(B1352=0,0,O1317/B1352)</f>
        <v/>
      </c>
      <c r="Q1317">
        <f>IFERROR(1/IF(Inputs!$B$39="pvp",15,MAX(0.1,Skills!D9-IF(Skills!E9=TRUE,Inputs!$B$32,0))),0)</f>
        <v/>
      </c>
      <c r="R1317">
        <f>IF(AND(Inputs!$B$39&lt;&gt;"pvp",Inputs!$B$44&gt;0),IF(MAX(0,Inputs!$B$44-B1353)&lt;=0,0,(INT(MAX(0,Inputs!$B$44-B1353)/IF(Inputs!$B$39="pvp",15,MAX(0.1,Skills!D9-IF(Skills!E9=TRUE,Inputs!$B$32,0))))+1)),0)</f>
        <v/>
      </c>
      <c r="S1317">
        <f>IFERROR(O1317/N1317,0)</f>
        <v/>
      </c>
      <c r="T1317">
        <f>IF(C1317,(H1317*N1317*IF(AND(Inputs!$B$39&lt;&gt;"pvp",Inputs!$B$44&gt;0),((Skills!G9*((R1317-1)*IF(Skills!H9&gt;0,Skills!I9/Skills!H9,1)+IF(Skills!H9&gt;0,MIN(Skills!I9,MAX(0,MAX(0,Inputs!$B$44-B1353)-((R1317-1)*IF(Inputs!$B$39="pvp",15,MAX(0.1,Skills!D9-IF(Skills!E9=TRUE,Inputs!$B$32,0))))))/Skills!H9,1)))/Inputs!$B$44),G1317*Q1317))*IF(Inputs!$B$39="pvp",1,1+(Inputs!$B$20+((C1335=TRUE)*(F1335-Calc!F27))+Skills!P9+B1349)/100),0)</f>
        <v/>
      </c>
      <c r="V1317">
        <f>IF(C1317,(H1317*N1317*IF(AND(Inputs!$B$39&lt;&gt;"pvp",Inputs!$B$44&gt;0),((Skills!G9*((R1317-1)*IF(Skills!H9&gt;0,Skills!I9/Skills!H9,1)+IF(Skills!H9&gt;0,MIN(Skills!I9,MAX(0,MAX(0,Inputs!$B$44-B1353)-((R1317-1)*IF(Inputs!$B$39="pvp",15,MAX(0.1,Skills!D9-IF(Skills!E9=TRUE,Inputs!$B$32,0))))))/Skills!H9,1)))/Inputs!$B$44),G1317*Q1317))*IF(Inputs!$B$39="pvp",1,(1+(Inputs!$B$21+Skills!Q9+B1349)/100)*(MIN(Skills!W9,Inputs!$B$37))),0)</f>
        <v/>
      </c>
    </row>
    <row r="1318">
      <c r="A1318">
        <f>Skills!A10</f>
        <v/>
      </c>
      <c r="B1318">
        <f>Skills!B10</f>
        <v/>
      </c>
      <c r="C1318">
        <f>Inputs!$B$3&gt;=117</f>
        <v/>
      </c>
      <c r="D1318">
        <f>IF(Skills!C10=1,60+Inputs!$B$25+Inputs!$B$29,IF(Skills!C10=2,90+Inputs!$B$26+Inputs!$B$29,IF(Skills!C10=3,120+Inputs!$B$27+Inputs!$B$29,MAX(0,(Inputs!$B$3-100)*3)+Inputs!$B$28+Inputs!$B$29)))</f>
        <v/>
      </c>
      <c r="E1318">
        <f>INDEX(FactorTable!$B$2:$Y$301, MATCH(ROUND(MIN(300,MAX(1,D1318)),0), FactorTable!$A$2:$A$301,0), Skills!M10+1)</f>
        <v/>
      </c>
      <c r="F1318">
        <f>IF(Skills!N10=TRUE,(Skills!L10/10)*(E1318/1000),Skills!L10/10)+Skills!O10</f>
        <v/>
      </c>
      <c r="G1318">
        <f>Calc!G10</f>
        <v/>
      </c>
      <c r="H1318">
        <f>Calc!H10</f>
        <v/>
      </c>
      <c r="I1318">
        <f>IF(Skills!AA10&lt;&gt;"",1+(Skills!AA10/10)*(U1311/1000)/100,1)</f>
        <v/>
      </c>
      <c r="J1318">
        <f>((Inputs!$B$6*(1+Inputs!$B$7/100))+(((Inputs!$B$12*(1+Inputs!$B$13/100))-(Inputs!$B$12*(1+Inputs!$B$13/100)))+0.25*(Inputs!$B$14-Inputs!$B$14))*(1+Inputs!$B$7/100))*(F1318/100)</f>
        <v/>
      </c>
      <c r="K1318">
        <f>J1318*(1+((Inputs!$B$12*(1+Inputs!$B$13/100))*0.01+Inputs!$B$14*0.0025)/100)*(1+Inputs!$B$15/100)*(1+Inputs!$B$16/100)*(5000/(6000+Inputs!$B$43*(1-Inputs!$B$19/100)))*(1+(Inputs!$B$24+((C1338=TRUE)*(F1338-Calc!F30)))/100)*(1+Skills!R10/100)*(1+(IF(Skills!A10="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1318)</f>
        <v/>
      </c>
      <c r="L1318">
        <f>K1318*(MIN(Inputs!$B$22+((C1332=TRUE)*(F1332-Calc!F24)),Inputs!$B$23)/100+Inputs!$B$23/100)/2</f>
        <v/>
      </c>
      <c r="M1318">
        <f>L1318*(1+(Inputs!$B$10+((C1334=TRUE)*(F1334-Calc!F26))+B1351)/100)</f>
        <v/>
      </c>
      <c r="N1318">
        <f>L1318*(1-MIN((Inputs!$B$9+((C1333=TRUE)*(F1333-Calc!F25))+B1348),100)/100)+M1318*(MIN((Inputs!$B$9+((C1333=TRUE)*(F1333-Calc!F25))+B1348),100)/100)</f>
        <v/>
      </c>
      <c r="O1318">
        <f>(1-Summary!$B$55)*T1318+Summary!$B$55*V1318</f>
        <v/>
      </c>
      <c r="P1318">
        <f>IF(B1352=0,0,O1318/B1352)</f>
        <v/>
      </c>
      <c r="Q1318" t="n">
        <v>0</v>
      </c>
      <c r="R1318" t="n">
        <v>0</v>
      </c>
      <c r="S1318" t="n">
        <v>0</v>
      </c>
      <c r="T1318">
        <f>IF(C1318,(0.2*SUMPRODUCT((Skills!Z2:Z31=TRUE)*(C1310:C1339=TRUE)*S1310:S1339)*N1318)*IF(Inputs!$B$39="pvp",1,1+(Inputs!$B$20+((C1335=TRUE)*(F1335-Calc!F27))+Skills!P10+B1349)/100),0)</f>
        <v/>
      </c>
      <c r="V1318">
        <f>IF(C1318,(0.2*SUMPRODUCT((Skills!Z2:Z31=TRUE)*(C1310:C1339=TRUE)*S1310:S1339)*N1318)*IF(Inputs!$B$39="pvp",1,(1+(Inputs!$B$21+Skills!Q10+B1349)/100)*(MIN(Skills!W10,Inputs!$B$37))),0)</f>
        <v/>
      </c>
    </row>
    <row r="1319">
      <c r="A1319">
        <f>Skills!A11</f>
        <v/>
      </c>
      <c r="B1319">
        <f>Skills!B11</f>
        <v/>
      </c>
      <c r="C1319">
        <f>Inputs!$B$3&gt;=60</f>
        <v/>
      </c>
      <c r="D1319">
        <f>IF(Skills!C11=1,60+Inputs!$B$25+Inputs!$B$29,IF(Skills!C11=2,90+Inputs!$B$26+Inputs!$B$29,IF(Skills!C11=3,120+Inputs!$B$27+Inputs!$B$29,MAX(0,(Inputs!$B$3-100)*3)+Inputs!$B$28+Inputs!$B$29)))</f>
        <v/>
      </c>
      <c r="E1319">
        <f>INDEX(FactorTable!$B$2:$Y$301, MATCH(ROUND(MIN(300,MAX(1,D1319)),0), FactorTable!$A$2:$A$301,0), Skills!M11+1)</f>
        <v/>
      </c>
      <c r="F1319">
        <f>IF(Skills!N11=TRUE,(Skills!L11/10)*(E1319/1000),Skills!L11/10)+Skills!O11</f>
        <v/>
      </c>
      <c r="G1319">
        <f>Calc!G11</f>
        <v/>
      </c>
      <c r="H1319">
        <f>Calc!H11</f>
        <v/>
      </c>
      <c r="I1319">
        <f>IF(Skills!AA11&lt;&gt;"",1+(Skills!AA11/10)*(U1311/1000)/100,1)</f>
        <v/>
      </c>
      <c r="J1319" t="inlineStr"/>
      <c r="K1319" t="inlineStr"/>
      <c r="L1319" t="inlineStr"/>
      <c r="M1319" t="inlineStr"/>
      <c r="N1319" t="inlineStr"/>
      <c r="O1319">
        <f>(1-Summary!$B$55)*T1319+Summary!$B$55*V1319</f>
        <v/>
      </c>
      <c r="P1319">
        <f>IF(B1352=0,0,O1319/B1352)</f>
        <v/>
      </c>
      <c r="Q1319" t="n">
        <v>0</v>
      </c>
      <c r="R1319" t="n">
        <v>0</v>
      </c>
      <c r="S1319">
        <f>IFERROR(O1319/N1319,0)</f>
        <v/>
      </c>
      <c r="T1319" t="n">
        <v>0</v>
      </c>
      <c r="V1319" t="n">
        <v>0</v>
      </c>
    </row>
    <row r="1320">
      <c r="A1320">
        <f>Skills!A12</f>
        <v/>
      </c>
      <c r="B1320">
        <f>Skills!B12</f>
        <v/>
      </c>
      <c r="C1320">
        <f>Inputs!$B$3&gt;=103</f>
        <v/>
      </c>
      <c r="D1320">
        <f>IF(Skills!C12=1,60+Inputs!$B$25+Inputs!$B$29,IF(Skills!C12=2,90+Inputs!$B$26+Inputs!$B$29,IF(Skills!C12=3,120+Inputs!$B$27+Inputs!$B$29,MAX(0,(Inputs!$B$3-100)*3)+Inputs!$B$28+Inputs!$B$29)))</f>
        <v/>
      </c>
      <c r="E1320">
        <f>INDEX(FactorTable!$B$2:$Y$301, MATCH(ROUND(MIN(300,MAX(1,D1320)),0), FactorTable!$A$2:$A$301,0), Skills!M12+1)</f>
        <v/>
      </c>
      <c r="F1320">
        <f>IF(Skills!N12=TRUE,(Skills!L12/10)*(E1320/1000),Skills!L12/10)+Skills!O12</f>
        <v/>
      </c>
      <c r="G1320">
        <f>Calc!G12</f>
        <v/>
      </c>
      <c r="H1320">
        <f>Calc!H12</f>
        <v/>
      </c>
      <c r="I1320">
        <f>IF(Skills!AA12&lt;&gt;"",1+(Skills!AA12/10)*(U1311/1000)/100,1)</f>
        <v/>
      </c>
      <c r="J1320">
        <f>((Inputs!$B$6*(1+Inputs!$B$7/100))+(((Inputs!$B$12*(1+Inputs!$B$13/100))-(Inputs!$B$12*(1+Inputs!$B$13/100)))+0.25*(Inputs!$B$14-Inputs!$B$14))*(1+Inputs!$B$7/100))*(F1320/100)</f>
        <v/>
      </c>
      <c r="K1320">
        <f>J1320*(1+((Inputs!$B$12*(1+Inputs!$B$13/100))*0.01+Inputs!$B$14*0.0025)/100)*(1+Inputs!$B$15/100)*(1+Inputs!$B$16/100)*(5000/(6000+Inputs!$B$43*(1-Inputs!$B$19/100)))*(1+(Inputs!$B$24+((C1338=TRUE)*(F1338-Calc!F30)))/100)*(1+Skills!R12/100)*(1+(IF(Skills!A12="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1320)</f>
        <v/>
      </c>
      <c r="L1320">
        <f>K1320*(MIN(Inputs!$B$22+((C1332=TRUE)*(F1332-Calc!F24)),Inputs!$B$23)/100+Inputs!$B$23/100)/2</f>
        <v/>
      </c>
      <c r="M1320">
        <f>L1320*(1+(Inputs!$B$10+((C1334=TRUE)*(F1334-Calc!F26))+B1351)/100)</f>
        <v/>
      </c>
      <c r="N1320">
        <f>L1320*(1-MIN((Inputs!$B$9+((C1333=TRUE)*(F1333-Calc!F25))+B1348),100)/100)+M1320*(MIN((Inputs!$B$9+((C1333=TRUE)*(F1333-Calc!F25))+B1348),100)/100)</f>
        <v/>
      </c>
      <c r="O1320">
        <f>(1-Summary!$B$55)*T1320+Summary!$B$55*V1320</f>
        <v/>
      </c>
      <c r="P1320">
        <f>IF(B1352=0,0,O1320/B1352)</f>
        <v/>
      </c>
      <c r="Q1320">
        <f>IFERROR(1/IF(Inputs!$B$39="pvp",15,MAX(0.1,Skills!D12-IF(Skills!E12=TRUE,Inputs!$B$32,0))),0)</f>
        <v/>
      </c>
      <c r="R1320">
        <f>IF(AND(Inputs!$B$39&lt;&gt;"pvp",Inputs!$B$44&gt;0),IF(MAX(0,Inputs!$B$44-B1353)&lt;=0,0,(INT(MAX(0,Inputs!$B$44-B1353)/IF(Inputs!$B$39="pvp",15,MAX(0.1,Skills!D12-IF(Skills!E12=TRUE,Inputs!$B$32,0))))+1)),0)</f>
        <v/>
      </c>
      <c r="S1320">
        <f>IFERROR(O1320/N1320,0)</f>
        <v/>
      </c>
      <c r="T1320">
        <f>IF(C1320,(H1320*N1320*IF(AND(Inputs!$B$39&lt;&gt;"pvp",Inputs!$B$44&gt;0),((Skills!G12*((R1320-1)*IF(Skills!H12&gt;0,Skills!I12/Skills!H12,1)+IF(Skills!H12&gt;0,MIN(Skills!I12,MAX(0,MAX(0,Inputs!$B$44-B1353)-((R1320-1)*IF(Inputs!$B$39="pvp",15,MAX(0.1,Skills!D12-IF(Skills!E12=TRUE,Inputs!$B$32,0))))))/Skills!H12,1)))/Inputs!$B$44),G1320*Q1320))*IF(Inputs!$B$39="pvp",1,1+(Inputs!$B$20+((C1335=TRUE)*(F1335-Calc!F27))+Skills!P12+B1349)/100),0)</f>
        <v/>
      </c>
      <c r="V1320">
        <f>IF(C1320,(H1320*N1320*IF(AND(Inputs!$B$39&lt;&gt;"pvp",Inputs!$B$44&gt;0),((Skills!G12*((R1320-1)*IF(Skills!H12&gt;0,Skills!I12/Skills!H12,1)+IF(Skills!H12&gt;0,MIN(Skills!I12,MAX(0,MAX(0,Inputs!$B$44-B1353)-((R1320-1)*IF(Inputs!$B$39="pvp",15,MAX(0.1,Skills!D12-IF(Skills!E12=TRUE,Inputs!$B$32,0))))))/Skills!H12,1)))/Inputs!$B$44),G1320*Q1320))*IF(Inputs!$B$39="pvp",1,(1+(Inputs!$B$21+Skills!Q12+B1349)/100)*(MIN(Skills!W12,Inputs!$B$37))),0)</f>
        <v/>
      </c>
    </row>
    <row r="1321">
      <c r="A1321">
        <f>Skills!A13</f>
        <v/>
      </c>
      <c r="B1321">
        <f>Skills!B13</f>
        <v/>
      </c>
      <c r="C1321">
        <f>Inputs!$B$3&gt;=105</f>
        <v/>
      </c>
      <c r="D1321">
        <f>IF(Skills!C13=1,60+Inputs!$B$25+Inputs!$B$29,IF(Skills!C13=2,90+Inputs!$B$26+Inputs!$B$29,IF(Skills!C13=3,120+Inputs!$B$27+Inputs!$B$29,MAX(0,(Inputs!$B$3-100)*3)+Inputs!$B$28+Inputs!$B$29)))</f>
        <v/>
      </c>
      <c r="E1321">
        <f>INDEX(FactorTable!$B$2:$Y$301, MATCH(ROUND(MIN(300,MAX(1,D1321)),0), FactorTable!$A$2:$A$301,0), Skills!M13+1)</f>
        <v/>
      </c>
      <c r="F1321">
        <f>IF(Skills!N13=TRUE,(Skills!L13/10)*(E1321/1000),Skills!L13/10)+Skills!O13</f>
        <v/>
      </c>
      <c r="G1321">
        <f>Calc!G13</f>
        <v/>
      </c>
      <c r="H1321">
        <f>Calc!H13</f>
        <v/>
      </c>
      <c r="I1321">
        <f>IF(Skills!AA13&lt;&gt;"",1+(Skills!AA13/10)*(U1311/1000)/100,1)</f>
        <v/>
      </c>
      <c r="J1321">
        <f>((Inputs!$B$6*(1+Inputs!$B$7/100))+(((Inputs!$B$12*(1+Inputs!$B$13/100))-(Inputs!$B$12*(1+Inputs!$B$13/100)))+0.25*(Inputs!$B$14-Inputs!$B$14))*(1+Inputs!$B$7/100))*(F1321/100)</f>
        <v/>
      </c>
      <c r="K1321">
        <f>J1321*(1+((Inputs!$B$12*(1+Inputs!$B$13/100))*0.01+Inputs!$B$14*0.0025)/100)*(1+Inputs!$B$15/100)*(1+Inputs!$B$16/100)*(5000/(6000+Inputs!$B$43*(1-Inputs!$B$19/100)))*(1+(Inputs!$B$24+((C1338=TRUE)*(F1338-Calc!F30)))/100)*(1+Skills!R13/100)*(1+(IF(Skills!A13="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1321)</f>
        <v/>
      </c>
      <c r="L1321">
        <f>K1321*(MIN(Inputs!$B$22+((C1332=TRUE)*(F1332-Calc!F24)),Inputs!$B$23)/100+Inputs!$B$23/100)/2</f>
        <v/>
      </c>
      <c r="M1321">
        <f>L1321*(1+(Inputs!$B$10+((C1334=TRUE)*(F1334-Calc!F26))+B1351)/100)</f>
        <v/>
      </c>
      <c r="N1321">
        <f>L1321*(1-MIN((Inputs!$B$9+((C1333=TRUE)*(F1333-Calc!F25))+B1348),100)/100)+M1321*(MIN((Inputs!$B$9+((C1333=TRUE)*(F1333-Calc!F25))+B1348),100)/100)</f>
        <v/>
      </c>
      <c r="O1321">
        <f>(1-Summary!$B$55)*T1321+Summary!$B$55*V1321</f>
        <v/>
      </c>
      <c r="P1321">
        <f>IF(B1352=0,0,O1321/B1352)</f>
        <v/>
      </c>
      <c r="Q1321">
        <f>IFERROR(1/IF(Inputs!$B$39="pvp",15,MAX(0.1,Skills!D13-IF(Skills!E13=TRUE,Inputs!$B$32,0))),0)</f>
        <v/>
      </c>
      <c r="R1321">
        <f>IF(AND(Inputs!$B$39&lt;&gt;"pvp",Inputs!$B$44&gt;0),IF(MAX(0,Inputs!$B$44-B1353)&lt;=0,0,(INT(MAX(0,Inputs!$B$44-B1353)/IF(Inputs!$B$39="pvp",15,MAX(0.1,Skills!D13-IF(Skills!E13=TRUE,Inputs!$B$32,0))))+1)),0)</f>
        <v/>
      </c>
      <c r="S1321">
        <f>IFERROR(O1321/N1321,0)</f>
        <v/>
      </c>
      <c r="T1321">
        <f>IF(C1321,(H1321*N1321*IF(AND(Inputs!$B$39&lt;&gt;"pvp",Inputs!$B$44&gt;0),((Skills!G13*((R1321-1)*IF(Skills!H13&gt;0,Skills!I13/Skills!H13,1)+IF(Skills!H13&gt;0,MIN(Skills!I13,MAX(0,MAX(0,Inputs!$B$44-B1353)-((R1321-1)*IF(Inputs!$B$39="pvp",15,MAX(0.1,Skills!D13-IF(Skills!E13=TRUE,Inputs!$B$32,0))))))/Skills!H13,1)))/Inputs!$B$44),G1321*Q1321))*IF(Inputs!$B$39="pvp",1,1+(Inputs!$B$20+((C1335=TRUE)*(F1335-Calc!F27))+Skills!P13+B1349)/100),0)</f>
        <v/>
      </c>
      <c r="V1321">
        <f>IF(C1321,(H1321*N1321*IF(AND(Inputs!$B$39&lt;&gt;"pvp",Inputs!$B$44&gt;0),((Skills!G13*((R1321-1)*IF(Skills!H13&gt;0,Skills!I13/Skills!H13,1)+IF(Skills!H13&gt;0,MIN(Skills!I13,MAX(0,MAX(0,Inputs!$B$44-B1353)-((R1321-1)*IF(Inputs!$B$39="pvp",15,MAX(0.1,Skills!D13-IF(Skills!E13=TRUE,Inputs!$B$32,0))))))/Skills!H13,1)))/Inputs!$B$44),G1321*Q1321))*IF(Inputs!$B$39="pvp",1,(1+(Inputs!$B$21+Skills!Q13+B1349)/100)*(MIN(Skills!W13,Inputs!$B$37))),0)</f>
        <v/>
      </c>
    </row>
    <row r="1322">
      <c r="A1322">
        <f>Skills!A14</f>
        <v/>
      </c>
      <c r="B1322">
        <f>Skills!B14</f>
        <v/>
      </c>
      <c r="C1322">
        <f>Inputs!$B$3&gt;=105</f>
        <v/>
      </c>
      <c r="D1322">
        <f>IF(Skills!C14=1,60+Inputs!$B$25+Inputs!$B$29,IF(Skills!C14=2,90+Inputs!$B$26+Inputs!$B$29,IF(Skills!C14=3,120+Inputs!$B$27+Inputs!$B$29,MAX(0,(Inputs!$B$3-100)*3)+Inputs!$B$28+Inputs!$B$29)))</f>
        <v/>
      </c>
      <c r="E1322">
        <f>INDEX(FactorTable!$B$2:$Y$301, MATCH(ROUND(MIN(300,MAX(1,D1322)),0), FactorTable!$A$2:$A$301,0), Skills!M14+1)</f>
        <v/>
      </c>
      <c r="F1322">
        <f>IF(Skills!N14=TRUE,(Skills!L14/10)*(E1322/1000),Skills!L14/10)+Skills!O14</f>
        <v/>
      </c>
      <c r="G1322">
        <f>Calc!G14</f>
        <v/>
      </c>
      <c r="H1322">
        <f>Calc!H14</f>
        <v/>
      </c>
      <c r="I1322">
        <f>IF(Skills!AA14&lt;&gt;"",1+(Skills!AA14/10)*(U1311/1000)/100,1)</f>
        <v/>
      </c>
      <c r="J1322">
        <f>((Inputs!$B$6*(1+Inputs!$B$7/100))+(((Inputs!$B$12*(1+Inputs!$B$13/100))-(Inputs!$B$12*(1+Inputs!$B$13/100)))+0.25*(Inputs!$B$14-Inputs!$B$14))*(1+Inputs!$B$7/100))*(F1322/100)</f>
        <v/>
      </c>
      <c r="K1322">
        <f>J1322*(1+((Inputs!$B$12*(1+Inputs!$B$13/100))*0.01+Inputs!$B$14*0.0025)/100)*(1+Inputs!$B$15/100)*(1+Inputs!$B$16/100)*(5000/(6000+Inputs!$B$43*(1-Inputs!$B$19/100)))*(1+(Inputs!$B$24+((C1338=TRUE)*(F1338-Calc!F30)))/100)*(1+Skills!R14/100)*(1+(IF(Skills!A14="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1322)</f>
        <v/>
      </c>
      <c r="L1322">
        <f>K1322*(MIN(Inputs!$B$22+((C1332=TRUE)*(F1332-Calc!F24)),Inputs!$B$23)/100+Inputs!$B$23/100)/2</f>
        <v/>
      </c>
      <c r="M1322">
        <f>L1322*(1+(Inputs!$B$10+((C1334=TRUE)*(F1334-Calc!F26))+B1351)/100)</f>
        <v/>
      </c>
      <c r="N1322">
        <f>L1322*(1-MIN((Inputs!$B$9+((C1333=TRUE)*(F1333-Calc!F25))+B1348),100)/100)+M1322*(MIN((Inputs!$B$9+((C1333=TRUE)*(F1333-Calc!F25))+B1348),100)/100)</f>
        <v/>
      </c>
      <c r="O1322">
        <f>(1-Summary!$B$55)*T1322+Summary!$B$55*V1322</f>
        <v/>
      </c>
      <c r="P1322">
        <f>IF(B1352=0,0,O1322/B1352)</f>
        <v/>
      </c>
      <c r="Q1322">
        <f>IFERROR(1/IF(Inputs!$B$39="pvp",15,MAX(0.1,Skills!D14-IF(Skills!E14=TRUE,Inputs!$B$32,0))),0)</f>
        <v/>
      </c>
      <c r="R1322">
        <f>IF(AND(Inputs!$B$39&lt;&gt;"pvp",Inputs!$B$44&gt;0),IF(MAX(0,Inputs!$B$44-B1353)&lt;=0,0,(INT(MAX(0,Inputs!$B$44-B1353)/IF(Inputs!$B$39="pvp",15,MAX(0.1,Skills!D14-IF(Skills!E14=TRUE,Inputs!$B$32,0))))+1)),0)</f>
        <v/>
      </c>
      <c r="S1322">
        <f>IFERROR(O1322/N1322,0)</f>
        <v/>
      </c>
      <c r="T1322">
        <f>IF(C1322,(H1322*N1322*IF(AND(Inputs!$B$39&lt;&gt;"pvp",Inputs!$B$44&gt;0),((Skills!G14*((R1322-1)*IF(Skills!H14&gt;0,Skills!I14/Skills!H14,1)+IF(Skills!H14&gt;0,MIN(Skills!I14,MAX(0,MAX(0,Inputs!$B$44-B1353)-((R1322-1)*IF(Inputs!$B$39="pvp",15,MAX(0.1,Skills!D14-IF(Skills!E14=TRUE,Inputs!$B$32,0))))))/Skills!H14,1)))/Inputs!$B$44),G1322*Q1322))*IF(Inputs!$B$39="pvp",1,1+(Inputs!$B$20+((C1335=TRUE)*(F1335-Calc!F27))+Skills!P14+B1349)/100),0)</f>
        <v/>
      </c>
      <c r="V1322">
        <f>IF(C1322,(H1322*N1322*IF(AND(Inputs!$B$39&lt;&gt;"pvp",Inputs!$B$44&gt;0),((Skills!G14*((R1322-1)*IF(Skills!H14&gt;0,Skills!I14/Skills!H14,1)+IF(Skills!H14&gt;0,MIN(Skills!I14,MAX(0,MAX(0,Inputs!$B$44-B1353)-((R1322-1)*IF(Inputs!$B$39="pvp",15,MAX(0.1,Skills!D14-IF(Skills!E14=TRUE,Inputs!$B$32,0))))))/Skills!H14,1)))/Inputs!$B$44),G1322*Q1322))*IF(Inputs!$B$39="pvp",1,(1+(Inputs!$B$21+Skills!Q14+B1349)/100)*(MIN(Skills!W14,Inputs!$B$37))),0)</f>
        <v/>
      </c>
    </row>
    <row r="1323">
      <c r="A1323">
        <f>Skills!A15</f>
        <v/>
      </c>
      <c r="B1323">
        <f>Skills!B15</f>
        <v/>
      </c>
      <c r="C1323">
        <f>Inputs!$B$3&gt;=110</f>
        <v/>
      </c>
      <c r="D1323">
        <f>IF(Skills!C15=1,60+Inputs!$B$25+Inputs!$B$29,IF(Skills!C15=2,90+Inputs!$B$26+Inputs!$B$29,IF(Skills!C15=3,120+Inputs!$B$27+Inputs!$B$29,MAX(0,(Inputs!$B$3-100)*3)+Inputs!$B$28+Inputs!$B$29)))</f>
        <v/>
      </c>
      <c r="E1323">
        <f>INDEX(FactorTable!$B$2:$Y$301, MATCH(ROUND(MIN(300,MAX(1,D1323)),0), FactorTable!$A$2:$A$301,0), Skills!M15+1)</f>
        <v/>
      </c>
      <c r="F1323">
        <f>IF(Skills!N15=TRUE,(Skills!L15/10)*(E1323/1000),Skills!L15/10)+Skills!O15</f>
        <v/>
      </c>
      <c r="G1323">
        <f>Calc!G15</f>
        <v/>
      </c>
      <c r="H1323">
        <f>Calc!H15</f>
        <v/>
      </c>
      <c r="I1323">
        <f>IF(Skills!AA15&lt;&gt;"",1+(Skills!AA15/10)*(U1311/1000)/100,1)</f>
        <v/>
      </c>
      <c r="J1323" t="inlineStr"/>
      <c r="K1323" t="inlineStr"/>
      <c r="L1323" t="inlineStr"/>
      <c r="M1323" t="inlineStr"/>
      <c r="N1323" t="inlineStr"/>
      <c r="O1323">
        <f>(1-Summary!$B$55)*T1323+Summary!$B$55*V1323</f>
        <v/>
      </c>
      <c r="P1323">
        <f>IF(B1352=0,0,O1323/B1352)</f>
        <v/>
      </c>
      <c r="Q1323">
        <f>IFERROR(1/IF(Inputs!$B$39="pvp",15,MAX(0.1,Skills!D15-IF(Skills!E15=TRUE,Inputs!$B$32,0))),0)</f>
        <v/>
      </c>
      <c r="R1323">
        <f>IF(AND(Inputs!$B$39&lt;&gt;"pvp",Inputs!$B$44&gt;0),IF(Inputs!$B$44&lt;=0,0,(INT(Inputs!$B$44/IF(Inputs!$B$39="pvp",15,MAX(0.1,Skills!D15-IF(Skills!E15=TRUE,Inputs!$B$32,0))))+1)),0)</f>
        <v/>
      </c>
      <c r="S1323">
        <f>IFERROR(O1323/N1323,0)</f>
        <v/>
      </c>
      <c r="T1323" t="n">
        <v>0</v>
      </c>
      <c r="V1323" t="n">
        <v>0</v>
      </c>
    </row>
    <row r="1324">
      <c r="A1324">
        <f>Skills!A16</f>
        <v/>
      </c>
      <c r="B1324">
        <f>Skills!B16</f>
        <v/>
      </c>
      <c r="C1324">
        <f>Inputs!$B$3&gt;=110</f>
        <v/>
      </c>
      <c r="D1324">
        <f>IF(Skills!C16=1,60+Inputs!$B$25+Inputs!$B$29,IF(Skills!C16=2,90+Inputs!$B$26+Inputs!$B$29,IF(Skills!C16=3,120+Inputs!$B$27+Inputs!$B$29,MAX(0,(Inputs!$B$3-100)*3)+Inputs!$B$28+Inputs!$B$29)))</f>
        <v/>
      </c>
      <c r="E1324">
        <f>INDEX(FactorTable!$B$2:$Y$301, MATCH(ROUND(MIN(300,MAX(1,D1324)),0), FactorTable!$A$2:$A$301,0), Skills!M16+1)</f>
        <v/>
      </c>
      <c r="F1324">
        <f>IF(Skills!N16=TRUE,(Skills!L16/10)*(E1324/1000),Skills!L16/10)+Skills!O16</f>
        <v/>
      </c>
      <c r="G1324">
        <f>Calc!G16</f>
        <v/>
      </c>
      <c r="H1324">
        <f>Calc!H16</f>
        <v/>
      </c>
      <c r="I1324">
        <f>IF(Skills!AA16&lt;&gt;"",1+(Skills!AA16/10)*(U1311/1000)/100,1)</f>
        <v/>
      </c>
      <c r="J1324" t="inlineStr"/>
      <c r="K1324" t="inlineStr"/>
      <c r="L1324" t="inlineStr"/>
      <c r="M1324" t="inlineStr"/>
      <c r="N1324" t="inlineStr"/>
      <c r="O1324">
        <f>(1-Summary!$B$55)*T1324+Summary!$B$55*V1324</f>
        <v/>
      </c>
      <c r="P1324">
        <f>IF(B1352=0,0,O1324/B1352)</f>
        <v/>
      </c>
      <c r="Q1324">
        <f>IFERROR(1/IF(Inputs!$B$39="pvp",15,MAX(0.1,Skills!D16-IF(Skills!E16=TRUE,Inputs!$B$32,0))),0)</f>
        <v/>
      </c>
      <c r="R1324">
        <f>IF(AND(Inputs!$B$39&lt;&gt;"pvp",Inputs!$B$44&gt;0),IF(Inputs!$B$44&lt;=0,0,(INT(Inputs!$B$44/IF(Inputs!$B$39="pvp",15,MAX(0.1,Skills!D16-IF(Skills!E16=TRUE,Inputs!$B$32,0))))+1)),0)</f>
        <v/>
      </c>
      <c r="S1324">
        <f>IFERROR(O1324/N1324,0)</f>
        <v/>
      </c>
      <c r="T1324" t="n">
        <v>0</v>
      </c>
      <c r="V1324" t="n">
        <v>0</v>
      </c>
    </row>
    <row r="1325">
      <c r="A1325">
        <f>Skills!A17</f>
        <v/>
      </c>
      <c r="B1325">
        <f>Skills!B17</f>
        <v/>
      </c>
      <c r="C1325">
        <f>Inputs!$B$3&gt;=115</f>
        <v/>
      </c>
      <c r="D1325">
        <f>IF(Skills!C17=1,60+Inputs!$B$25+Inputs!$B$29,IF(Skills!C17=2,90+Inputs!$B$26+Inputs!$B$29,IF(Skills!C17=3,120+Inputs!$B$27+Inputs!$B$29,MAX(0,(Inputs!$B$3-100)*3)+Inputs!$B$28+Inputs!$B$29)))</f>
        <v/>
      </c>
      <c r="E1325">
        <f>INDEX(FactorTable!$B$2:$Y$301, MATCH(ROUND(MIN(300,MAX(1,D1325)),0), FactorTable!$A$2:$A$301,0), Skills!M17+1)</f>
        <v/>
      </c>
      <c r="F1325">
        <f>IF(Skills!N17=TRUE,(Skills!L17/10)*(E1325/1000),Skills!L17/10)+Skills!O17</f>
        <v/>
      </c>
      <c r="G1325">
        <f>Calc!G17</f>
        <v/>
      </c>
      <c r="H1325">
        <f>Calc!H17</f>
        <v/>
      </c>
      <c r="I1325">
        <f>IF(Skills!AA17&lt;&gt;"",1+(Skills!AA17/10)*(U1311/1000)/100,1)</f>
        <v/>
      </c>
      <c r="J1325">
        <f>((Inputs!$B$6*(1+Inputs!$B$7/100))+(((Inputs!$B$12*(1+Inputs!$B$13/100))-(Inputs!$B$12*(1+Inputs!$B$13/100)))+0.25*(Inputs!$B$14-Inputs!$B$14))*(1+Inputs!$B$7/100))*(F1325/100)</f>
        <v/>
      </c>
      <c r="K1325">
        <f>J1325*(1+((Inputs!$B$12*(1+Inputs!$B$13/100))*0.01+Inputs!$B$14*0.0025)/100)*(1+Inputs!$B$15/100)*(1+Inputs!$B$16/100)*(5000/(6000+Inputs!$B$43*(1-Inputs!$B$19/100)))*(1+(Inputs!$B$24+((C1338=TRUE)*(F1338-Calc!F30)))/100)*(1+Skills!R17/100)*(1+(IF(Skills!A17="SHOWDOWN",Inputs!$B$17+((C1331=TRUE)*(F1331-Calc!F23)),Inputs!$B$18+((C1337=TRUE)*(F1337-Calc!F29))))/100)*(((1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B1350*I1325)</f>
        <v/>
      </c>
      <c r="L1325">
        <f>K1325*(MIN(Inputs!$B$22+((C1332=TRUE)*(F1332-Calc!F24)),Inputs!$B$23)/100+Inputs!$B$23/100)/2</f>
        <v/>
      </c>
      <c r="M1325">
        <f>L1325*(1+(Inputs!$B$10+((C1334=TRUE)*(F1334-Calc!F26))+B1351)/100)</f>
        <v/>
      </c>
      <c r="N1325">
        <f>L1325*(1-MIN((Inputs!$B$9+((C1333=TRUE)*(F1333-Calc!F25))+B1348),100)/100)+M1325*(MIN((Inputs!$B$9+((C1333=TRUE)*(F1333-Calc!F25))+B1348),100)/100)</f>
        <v/>
      </c>
      <c r="O1325">
        <f>(1-Summary!$B$55)*T1325+Summary!$B$55*V1325</f>
        <v/>
      </c>
      <c r="P1325">
        <f>IF(B1352=0,0,O1325/B1352)</f>
        <v/>
      </c>
      <c r="Q1325" t="n">
        <v>0</v>
      </c>
      <c r="R1325" t="n">
        <v>0</v>
      </c>
      <c r="S1325">
        <f>IFERROR(O1325/N1325,0)</f>
        <v/>
      </c>
      <c r="T1325">
        <f>IF(C1325,((Inputs!$B$38+1)*0.2*N1325)*IF(Inputs!$B$39="pvp",1,1+(Inputs!$B$20+((C1335=TRUE)*(F1335-Calc!F27))+Skills!P17+B1349)/100),0)</f>
        <v/>
      </c>
      <c r="V1325">
        <f>IF(C1325,((Inputs!$B$38+1)*0.2*N1325)*IF(Inputs!$B$39="pvp",1,(1+(Inputs!$B$21+Skills!Q17+B1349)/100)*(MIN(Skills!W17,Inputs!$B$37))),0)</f>
        <v/>
      </c>
    </row>
    <row r="1326">
      <c r="A1326">
        <f>Skills!A18</f>
        <v/>
      </c>
      <c r="B1326">
        <f>Skills!B18</f>
        <v/>
      </c>
      <c r="C1326">
        <f>Inputs!$B$3&gt;=115</f>
        <v/>
      </c>
      <c r="D1326">
        <f>IF(Skills!C18=1,60+Inputs!$B$25+Inputs!$B$29,IF(Skills!C18=2,90+Inputs!$B$26+Inputs!$B$29,IF(Skills!C18=3,120+Inputs!$B$27+Inputs!$B$29,MAX(0,(Inputs!$B$3-100)*3)+Inputs!$B$28+Inputs!$B$29)))</f>
        <v/>
      </c>
      <c r="E1326">
        <f>INDEX(FactorTable!$B$2:$Y$301, MATCH(ROUND(MIN(300,MAX(1,D1326)),0), FactorTable!$A$2:$A$301,0), Skills!M18+1)</f>
        <v/>
      </c>
      <c r="F1326">
        <f>IF(Skills!N18=TRUE,(Skills!L18/10)*(E1326/1000),Skills!L18/10)+Skills!O18</f>
        <v/>
      </c>
      <c r="G1326">
        <f>Calc!G18</f>
        <v/>
      </c>
      <c r="H1326">
        <f>Calc!H18</f>
        <v/>
      </c>
      <c r="I1326">
        <f>IF(Skills!AA18&lt;&gt;"",1+(Skills!AA18/10)*(U1311/1000)/100,1)</f>
        <v/>
      </c>
      <c r="J1326" t="inlineStr"/>
      <c r="K1326" t="inlineStr"/>
      <c r="L1326" t="inlineStr"/>
      <c r="M1326" t="inlineStr"/>
      <c r="N1326" t="inlineStr"/>
      <c r="O1326">
        <f>(1-Summary!$B$55)*T1326+Summary!$B$55*V1326</f>
        <v/>
      </c>
      <c r="P1326">
        <f>IF(B1352=0,0,O1326/B1352)</f>
        <v/>
      </c>
      <c r="Q1326" t="n">
        <v>0</v>
      </c>
      <c r="R1326" t="n">
        <v>0</v>
      </c>
      <c r="S1326">
        <f>IFERROR(O1326/N1326,0)</f>
        <v/>
      </c>
      <c r="T1326" t="n">
        <v>0</v>
      </c>
      <c r="V1326" t="n">
        <v>0</v>
      </c>
    </row>
    <row r="1327">
      <c r="A1327">
        <f>Skills!A19</f>
        <v/>
      </c>
      <c r="B1327">
        <f>Skills!B19</f>
        <v/>
      </c>
      <c r="C1327">
        <f>TRUE</f>
        <v/>
      </c>
      <c r="D1327">
        <f>IF(Skills!C19=1,60+Inputs!$B$25+Inputs!$B$29,IF(Skills!C19=2,90+Inputs!$B$26+Inputs!$B$29,IF(Skills!C19=3,120+Inputs!$B$27+Inputs!$B$29,MAX(0,(Inputs!$B$3-100)*3)+Inputs!$B$28+Inputs!$B$29)))</f>
        <v/>
      </c>
      <c r="E1327">
        <f>INDEX(FactorTable!$B$2:$Y$301, MATCH(ROUND(MIN(300,MAX(1,D1327)),0), FactorTable!$A$2:$A$301,0), Skills!M19+1)</f>
        <v/>
      </c>
      <c r="F1327">
        <f>IF(Skills!N19=TRUE,(Skills!L19/10)*(E1327/1000),Skills!L19/10)+Skills!O19</f>
        <v/>
      </c>
      <c r="G1327">
        <f>Calc!G19</f>
        <v/>
      </c>
      <c r="H1327">
        <f>Calc!H19</f>
        <v/>
      </c>
      <c r="I1327">
        <f>IF(Skills!AA19&lt;&gt;"",1+(Skills!AA19/10)*(U1311/1000)/100,1)</f>
        <v/>
      </c>
      <c r="J1327" t="inlineStr"/>
      <c r="K1327" t="inlineStr"/>
      <c r="L1327" t="inlineStr"/>
      <c r="M1327" t="inlineStr"/>
      <c r="N1327" t="inlineStr"/>
      <c r="O1327">
        <f>(1-Summary!$B$55)*T1327+Summary!$B$55*V1327</f>
        <v/>
      </c>
      <c r="P1327">
        <f>IF(B1352=0,0,O1327/B1352)</f>
        <v/>
      </c>
      <c r="Q1327">
        <f>IFERROR(1/IF(Inputs!$B$39="pvp",15,MAX(0.1,Skills!D19-IF(Skills!E19=TRUE,Inputs!$B$32,0))),0)</f>
        <v/>
      </c>
      <c r="R1327">
        <f>IF(AND(Inputs!$B$39&lt;&gt;"pvp",Inputs!$B$44&gt;0),IF(Inputs!$B$44&lt;=0,0,(INT(Inputs!$B$44/IF(Inputs!$B$39="pvp",15,MAX(0.1,Skills!D19-IF(Skills!E19=TRUE,Inputs!$B$32,0))))+1)),0)</f>
        <v/>
      </c>
      <c r="S1327">
        <f>IFERROR(O1327/N1327,0)</f>
        <v/>
      </c>
      <c r="T1327" t="n">
        <v>0</v>
      </c>
      <c r="V1327" t="n">
        <v>0</v>
      </c>
    </row>
    <row r="1328">
      <c r="A1328">
        <f>Skills!A20</f>
        <v/>
      </c>
      <c r="B1328">
        <f>Skills!B20</f>
        <v/>
      </c>
      <c r="C1328">
        <f>Inputs!$B$3&gt;=15</f>
        <v/>
      </c>
      <c r="D1328">
        <f>IF(Skills!C20=1,60+Inputs!$B$25+Inputs!$B$29,IF(Skills!C20=2,90+Inputs!$B$26+Inputs!$B$29,IF(Skills!C20=3,120+Inputs!$B$27+Inputs!$B$29,MAX(0,(Inputs!$B$3-100)*3)+Inputs!$B$28+Inputs!$B$29)))</f>
        <v/>
      </c>
      <c r="E1328">
        <f>INDEX(FactorTable!$B$2:$Y$301, MATCH(ROUND(MIN(300,MAX(1,D1328)),0), FactorTable!$A$2:$A$301,0), Skills!M20+1)</f>
        <v/>
      </c>
      <c r="F1328">
        <f>IF(Skills!N20=TRUE,(Skills!L20/10)*(E1328/1000),Skills!L20/10)+Skills!O20</f>
        <v/>
      </c>
      <c r="G1328">
        <f>Calc!G20</f>
        <v/>
      </c>
      <c r="H1328">
        <f>Calc!H20</f>
        <v/>
      </c>
      <c r="I1328">
        <f>IF(Skills!AA20&lt;&gt;"",1+(Skills!AA20/10)*(U1311/1000)/100,1)</f>
        <v/>
      </c>
      <c r="J1328" t="inlineStr"/>
      <c r="K1328" t="inlineStr"/>
      <c r="L1328" t="inlineStr"/>
      <c r="M1328" t="inlineStr"/>
      <c r="N1328" t="inlineStr"/>
      <c r="O1328">
        <f>(1-Summary!$B$55)*T1328+Summary!$B$55*V1328</f>
        <v/>
      </c>
      <c r="P1328">
        <f>IF(B1352=0,0,O1328/B1352)</f>
        <v/>
      </c>
      <c r="Q1328">
        <f>IFERROR(1/IF(Inputs!$B$39="pvp",15,MAX(0.1,Skills!D20-IF(Skills!E20=TRUE,Inputs!$B$32,0))),0)</f>
        <v/>
      </c>
      <c r="R1328">
        <f>IF(AND(Inputs!$B$39&lt;&gt;"pvp",Inputs!$B$44&gt;0),IF(Inputs!$B$44&lt;=0,0,(INT(Inputs!$B$44/IF(Inputs!$B$39="pvp",15,MAX(0.1,Skills!D20-IF(Skills!E20=TRUE,Inputs!$B$32,0))))+1)),0)</f>
        <v/>
      </c>
      <c r="S1328">
        <f>IFERROR(O1328/N1328,0)</f>
        <v/>
      </c>
      <c r="T1328" t="n">
        <v>0</v>
      </c>
      <c r="V1328" t="n">
        <v>0</v>
      </c>
    </row>
    <row r="1329">
      <c r="A1329">
        <f>Skills!A21</f>
        <v/>
      </c>
      <c r="B1329">
        <f>Skills!B21</f>
        <v/>
      </c>
      <c r="C1329">
        <f>Inputs!$B$3&gt;=15</f>
        <v/>
      </c>
      <c r="D1329">
        <f>IF(Skills!C21=1,60+Inputs!$B$25+Inputs!$B$29,IF(Skills!C21=2,90+Inputs!$B$26+Inputs!$B$29,IF(Skills!C21=3,120+Inputs!$B$27+Inputs!$B$29,MAX(0,(Inputs!$B$3-100)*3)+Inputs!$B$28+Inputs!$B$29)))</f>
        <v/>
      </c>
      <c r="E1329">
        <f>INDEX(FactorTable!$B$2:$Y$301, MATCH(ROUND(MIN(300,MAX(1,D1329)),0), FactorTable!$A$2:$A$301,0), Skills!M21+1)</f>
        <v/>
      </c>
      <c r="F1329">
        <f>IF(Skills!N21=TRUE,(Skills!L21/10)*(E1329/1000),Skills!L21/10)+Skills!O21</f>
        <v/>
      </c>
      <c r="G1329">
        <f>Calc!G21</f>
        <v/>
      </c>
      <c r="H1329">
        <f>Calc!H21</f>
        <v/>
      </c>
      <c r="I1329">
        <f>IF(Skills!AA21&lt;&gt;"",1+(Skills!AA21/10)*(U1311/1000)/100,1)</f>
        <v/>
      </c>
      <c r="J1329" t="inlineStr"/>
      <c r="K1329" t="inlineStr"/>
      <c r="L1329" t="inlineStr"/>
      <c r="M1329" t="inlineStr"/>
      <c r="N1329" t="inlineStr"/>
      <c r="O1329">
        <f>(1-Summary!$B$55)*T1329+Summary!$B$55*V1329</f>
        <v/>
      </c>
      <c r="P1329">
        <f>IF(B1352=0,0,O1329/B1352)</f>
        <v/>
      </c>
      <c r="Q1329">
        <f>IFERROR(1/IF(Inputs!$B$39="pvp",15,MAX(0.1,Skills!D21-IF(Skills!E21=TRUE,Inputs!$B$32,0))),0)</f>
        <v/>
      </c>
      <c r="R1329">
        <f>IF(AND(Inputs!$B$39&lt;&gt;"pvp",Inputs!$B$44&gt;0),IF(Inputs!$B$44&lt;=0,0,(INT(Inputs!$B$44/IF(Inputs!$B$39="pvp",15,MAX(0.1,Skills!D21-IF(Skills!E21=TRUE,Inputs!$B$32,0))))+1)),0)</f>
        <v/>
      </c>
      <c r="S1329">
        <f>IFERROR(O1329/N1329,0)</f>
        <v/>
      </c>
      <c r="T1329" t="n">
        <v>0</v>
      </c>
      <c r="V1329" t="n">
        <v>0</v>
      </c>
    </row>
    <row r="1330">
      <c r="A1330">
        <f>Skills!A22</f>
        <v/>
      </c>
      <c r="B1330">
        <f>Skills!B22</f>
        <v/>
      </c>
      <c r="C1330">
        <f>Inputs!$B$3&gt;=33</f>
        <v/>
      </c>
      <c r="D1330">
        <f>IF(Skills!C22=1,60+Inputs!$B$25+Inputs!$B$29,IF(Skills!C22=2,90+Inputs!$B$26+Inputs!$B$29,IF(Skills!C22=3,120+Inputs!$B$27+Inputs!$B$29,MAX(0,(Inputs!$B$3-100)*3)+Inputs!$B$28+Inputs!$B$29)))</f>
        <v/>
      </c>
      <c r="E1330">
        <f>INDEX(FactorTable!$B$2:$Y$301, MATCH(ROUND(MIN(300,MAX(1,D1330)),0), FactorTable!$A$2:$A$301,0), Skills!M22+1)</f>
        <v/>
      </c>
      <c r="F1330">
        <f>IF(Skills!N22=TRUE,(Skills!L22/10)*(E1330/1000),Skills!L22/10)+Skills!O22</f>
        <v/>
      </c>
      <c r="G1330">
        <f>Calc!G22</f>
        <v/>
      </c>
      <c r="H1330">
        <f>Calc!H22</f>
        <v/>
      </c>
      <c r="I1330">
        <f>IF(Skills!AA22&lt;&gt;"",1+(Skills!AA22/10)*(U1311/1000)/100,1)</f>
        <v/>
      </c>
      <c r="J1330" t="inlineStr"/>
      <c r="K1330" t="inlineStr"/>
      <c r="L1330" t="inlineStr"/>
      <c r="M1330" t="inlineStr"/>
      <c r="N1330" t="inlineStr"/>
      <c r="O1330">
        <f>(1-Summary!$B$55)*T1330+Summary!$B$55*V1330</f>
        <v/>
      </c>
      <c r="P1330">
        <f>IF(B1352=0,0,O1330/B1352)</f>
        <v/>
      </c>
      <c r="Q1330" t="n">
        <v>0</v>
      </c>
      <c r="R1330" t="n">
        <v>0</v>
      </c>
      <c r="S1330">
        <f>IFERROR(O1330/N1330,0)</f>
        <v/>
      </c>
      <c r="T1330" t="n">
        <v>0</v>
      </c>
      <c r="V1330" t="n">
        <v>0</v>
      </c>
    </row>
    <row r="1331">
      <c r="A1331">
        <f>Skills!A23</f>
        <v/>
      </c>
      <c r="B1331">
        <f>Skills!B23</f>
        <v/>
      </c>
      <c r="C1331">
        <f>Inputs!$B$3&gt;=38</f>
        <v/>
      </c>
      <c r="D1331">
        <f>IF(Skills!C23=1,60+Inputs!$B$25+Inputs!$B$29,IF(Skills!C23=2,90+Inputs!$B$26+Inputs!$B$29,IF(Skills!C23=3,120+Inputs!$B$27+Inputs!$B$29,MAX(0,(Inputs!$B$3-100)*3)+Inputs!$B$28+Inputs!$B$29)))</f>
        <v/>
      </c>
      <c r="E1331">
        <f>INDEX(FactorTable!$B$2:$Y$301, MATCH(ROUND(MIN(300,MAX(1,D1331)),0), FactorTable!$A$2:$A$301,0), Skills!M23+1)</f>
        <v/>
      </c>
      <c r="F1331">
        <f>IF(Skills!N23=TRUE,(Skills!L23/10)*(E1331/1000),Skills!L23/10)+Skills!O23</f>
        <v/>
      </c>
      <c r="G1331">
        <f>Calc!G23</f>
        <v/>
      </c>
      <c r="H1331">
        <f>Calc!H23</f>
        <v/>
      </c>
      <c r="I1331">
        <f>IF(Skills!AA23&lt;&gt;"",1+(Skills!AA23/10)*(U1311/1000)/100,1)</f>
        <v/>
      </c>
      <c r="J1331" t="inlineStr"/>
      <c r="K1331" t="inlineStr"/>
      <c r="L1331" t="inlineStr"/>
      <c r="M1331" t="inlineStr"/>
      <c r="N1331" t="inlineStr"/>
      <c r="O1331">
        <f>(1-Summary!$B$55)*T1331+Summary!$B$55*V1331</f>
        <v/>
      </c>
      <c r="P1331">
        <f>IF(B1352=0,0,O1331/B1352)</f>
        <v/>
      </c>
      <c r="Q1331" t="n">
        <v>0</v>
      </c>
      <c r="R1331" t="n">
        <v>0</v>
      </c>
      <c r="S1331">
        <f>IFERROR(O1331/N1331,0)</f>
        <v/>
      </c>
      <c r="T1331" t="n">
        <v>0</v>
      </c>
      <c r="V1331" t="n">
        <v>0</v>
      </c>
    </row>
    <row r="1332">
      <c r="A1332">
        <f>Skills!A24</f>
        <v/>
      </c>
      <c r="B1332">
        <f>Skills!B24</f>
        <v/>
      </c>
      <c r="C1332">
        <f>Inputs!$B$3&gt;=40</f>
        <v/>
      </c>
      <c r="D1332">
        <f>IF(Skills!C24=1,60+Inputs!$B$25+Inputs!$B$29,IF(Skills!C24=2,90+Inputs!$B$26+Inputs!$B$29,IF(Skills!C24=3,120+Inputs!$B$27+Inputs!$B$29,MAX(0,(Inputs!$B$3-100)*3)+Inputs!$B$28+Inputs!$B$29)))</f>
        <v/>
      </c>
      <c r="E1332">
        <f>INDEX(FactorTable!$B$2:$Y$301, MATCH(ROUND(MIN(300,MAX(1,D1332)),0), FactorTable!$A$2:$A$301,0), Skills!M24+1)</f>
        <v/>
      </c>
      <c r="F1332">
        <f>IF(Skills!N24=TRUE,(Skills!L24/10)*(E1332/1000),Skills!L24/10)+Skills!O24</f>
        <v/>
      </c>
      <c r="G1332">
        <f>Calc!G24</f>
        <v/>
      </c>
      <c r="H1332">
        <f>Calc!H24</f>
        <v/>
      </c>
      <c r="I1332">
        <f>IF(Skills!AA24&lt;&gt;"",1+(Skills!AA24/10)*(U1311/1000)/100,1)</f>
        <v/>
      </c>
      <c r="J1332" t="inlineStr"/>
      <c r="K1332" t="inlineStr"/>
      <c r="L1332" t="inlineStr"/>
      <c r="M1332" t="inlineStr"/>
      <c r="N1332" t="inlineStr"/>
      <c r="O1332">
        <f>(1-Summary!$B$55)*T1332+Summary!$B$55*V1332</f>
        <v/>
      </c>
      <c r="P1332">
        <f>IF(B1352=0,0,O1332/B1352)</f>
        <v/>
      </c>
      <c r="Q1332" t="n">
        <v>0</v>
      </c>
      <c r="R1332" t="n">
        <v>0</v>
      </c>
      <c r="S1332">
        <f>IFERROR(O1332/N1332,0)</f>
        <v/>
      </c>
      <c r="T1332" t="n">
        <v>0</v>
      </c>
      <c r="V1332" t="n">
        <v>0</v>
      </c>
    </row>
    <row r="1333">
      <c r="A1333">
        <f>Skills!A25</f>
        <v/>
      </c>
      <c r="B1333">
        <f>Skills!B25</f>
        <v/>
      </c>
      <c r="C1333">
        <f>Inputs!$B$3&gt;=45</f>
        <v/>
      </c>
      <c r="D1333">
        <f>IF(Skills!C25=1,60+Inputs!$B$25+Inputs!$B$29,IF(Skills!C25=2,90+Inputs!$B$26+Inputs!$B$29,IF(Skills!C25=3,120+Inputs!$B$27+Inputs!$B$29,MAX(0,(Inputs!$B$3-100)*3)+Inputs!$B$28+Inputs!$B$29)))</f>
        <v/>
      </c>
      <c r="E1333">
        <f>INDEX(FactorTable!$B$2:$Y$301, MATCH(ROUND(MIN(300,MAX(1,D1333)),0), FactorTable!$A$2:$A$301,0), Skills!M25+1)</f>
        <v/>
      </c>
      <c r="F1333">
        <f>IF(Skills!N25=TRUE,(Skills!L25/10)*(E1333/1000),Skills!L25/10)+Skills!O25</f>
        <v/>
      </c>
      <c r="G1333">
        <f>Calc!G25</f>
        <v/>
      </c>
      <c r="H1333">
        <f>Calc!H25</f>
        <v/>
      </c>
      <c r="I1333">
        <f>IF(Skills!AA25&lt;&gt;"",1+(Skills!AA25/10)*(U1311/1000)/100,1)</f>
        <v/>
      </c>
      <c r="J1333" t="inlineStr"/>
      <c r="K1333" t="inlineStr"/>
      <c r="L1333" t="inlineStr"/>
      <c r="M1333" t="inlineStr"/>
      <c r="N1333" t="inlineStr"/>
      <c r="O1333">
        <f>(1-Summary!$B$55)*T1333+Summary!$B$55*V1333</f>
        <v/>
      </c>
      <c r="P1333">
        <f>IF(B1352=0,0,O1333/B1352)</f>
        <v/>
      </c>
      <c r="Q1333" t="n">
        <v>0</v>
      </c>
      <c r="R1333" t="n">
        <v>0</v>
      </c>
      <c r="S1333">
        <f>IFERROR(O1333/N1333,0)</f>
        <v/>
      </c>
      <c r="T1333" t="n">
        <v>0</v>
      </c>
      <c r="V1333" t="n">
        <v>0</v>
      </c>
    </row>
    <row r="1334">
      <c r="A1334">
        <f>Skills!A26</f>
        <v/>
      </c>
      <c r="B1334">
        <f>Skills!B26</f>
        <v/>
      </c>
      <c r="C1334">
        <f>Inputs!$B$3&gt;=45</f>
        <v/>
      </c>
      <c r="D1334">
        <f>IF(Skills!C26=1,60+Inputs!$B$25+Inputs!$B$29,IF(Skills!C26=2,90+Inputs!$B$26+Inputs!$B$29,IF(Skills!C26=3,120+Inputs!$B$27+Inputs!$B$29,MAX(0,(Inputs!$B$3-100)*3)+Inputs!$B$28+Inputs!$B$29)))</f>
        <v/>
      </c>
      <c r="E1334">
        <f>INDEX(FactorTable!$B$2:$Y$301, MATCH(ROUND(MIN(300,MAX(1,D1334)),0), FactorTable!$A$2:$A$301,0), Skills!M26+1)</f>
        <v/>
      </c>
      <c r="F1334">
        <f>IF(Skills!N26=TRUE,(Skills!L26/10)*(E1334/1000),Skills!L26/10)+Skills!O26</f>
        <v/>
      </c>
      <c r="G1334">
        <f>Calc!G26</f>
        <v/>
      </c>
      <c r="H1334">
        <f>Calc!H26</f>
        <v/>
      </c>
      <c r="I1334">
        <f>IF(Skills!AA26&lt;&gt;"",1+(Skills!AA26/10)*(U1311/1000)/100,1)</f>
        <v/>
      </c>
      <c r="J1334" t="inlineStr"/>
      <c r="K1334" t="inlineStr"/>
      <c r="L1334" t="inlineStr"/>
      <c r="M1334" t="inlineStr"/>
      <c r="N1334" t="inlineStr"/>
      <c r="O1334">
        <f>(1-Summary!$B$55)*T1334+Summary!$B$55*V1334</f>
        <v/>
      </c>
      <c r="P1334">
        <f>IF(B1352=0,0,O1334/B1352)</f>
        <v/>
      </c>
      <c r="Q1334" t="n">
        <v>0</v>
      </c>
      <c r="R1334" t="n">
        <v>0</v>
      </c>
      <c r="S1334">
        <f>IFERROR(O1334/N1334,0)</f>
        <v/>
      </c>
      <c r="T1334" t="n">
        <v>0</v>
      </c>
      <c r="V1334" t="n">
        <v>0</v>
      </c>
    </row>
    <row r="1335">
      <c r="A1335">
        <f>Skills!A27</f>
        <v/>
      </c>
      <c r="B1335">
        <f>Skills!B27</f>
        <v/>
      </c>
      <c r="C1335">
        <f>Inputs!$B$3&gt;=72</f>
        <v/>
      </c>
      <c r="D1335">
        <f>IF(Skills!C27=1,60+Inputs!$B$25+Inputs!$B$29,IF(Skills!C27=2,90+Inputs!$B$26+Inputs!$B$29,IF(Skills!C27=3,120+Inputs!$B$27+Inputs!$B$29,MAX(0,(Inputs!$B$3-100)*3)+Inputs!$B$28+Inputs!$B$29)))</f>
        <v/>
      </c>
      <c r="E1335">
        <f>INDEX(FactorTable!$B$2:$Y$301, MATCH(ROUND(MIN(300,MAX(1,D1335)),0), FactorTable!$A$2:$A$301,0), Skills!M27+1)</f>
        <v/>
      </c>
      <c r="F1335">
        <f>IF(Skills!N27=TRUE,(Skills!L27/10)*(E1335/1000),Skills!L27/10)+Skills!O27</f>
        <v/>
      </c>
      <c r="G1335">
        <f>Calc!G27</f>
        <v/>
      </c>
      <c r="H1335">
        <f>Calc!H27</f>
        <v/>
      </c>
      <c r="I1335">
        <f>IF(Skills!AA27&lt;&gt;"",1+(Skills!AA27/10)*(U1311/1000)/100,1)</f>
        <v/>
      </c>
      <c r="J1335" t="inlineStr"/>
      <c r="K1335" t="inlineStr"/>
      <c r="L1335" t="inlineStr"/>
      <c r="M1335" t="inlineStr"/>
      <c r="N1335" t="inlineStr"/>
      <c r="O1335">
        <f>(1-Summary!$B$55)*T1335+Summary!$B$55*V1335</f>
        <v/>
      </c>
      <c r="P1335">
        <f>IF(B1352=0,0,O1335/B1352)</f>
        <v/>
      </c>
      <c r="Q1335" t="n">
        <v>0</v>
      </c>
      <c r="R1335" t="n">
        <v>0</v>
      </c>
      <c r="S1335">
        <f>IFERROR(O1335/N1335,0)</f>
        <v/>
      </c>
      <c r="T1335" t="n">
        <v>0</v>
      </c>
      <c r="V1335" t="n">
        <v>0</v>
      </c>
    </row>
    <row r="1336">
      <c r="A1336">
        <f>Skills!A28</f>
        <v/>
      </c>
      <c r="B1336">
        <f>Skills!B28</f>
        <v/>
      </c>
      <c r="C1336">
        <f>Inputs!$B$3&gt;=75</f>
        <v/>
      </c>
      <c r="D1336">
        <f>IF(Skills!C28=1,60+Inputs!$B$25+Inputs!$B$29,IF(Skills!C28=2,90+Inputs!$B$26+Inputs!$B$29,IF(Skills!C28=3,120+Inputs!$B$27+Inputs!$B$29,MAX(0,(Inputs!$B$3-100)*3)+Inputs!$B$28+Inputs!$B$29)))</f>
        <v/>
      </c>
      <c r="E1336">
        <f>INDEX(FactorTable!$B$2:$Y$301, MATCH(ROUND(MIN(300,MAX(1,D1336)),0), FactorTable!$A$2:$A$301,0), Skills!M28+1)</f>
        <v/>
      </c>
      <c r="F1336">
        <f>IF(Skills!N28=TRUE,(Skills!L28/10)*(E1336/1000),Skills!L28/10)+Skills!O28</f>
        <v/>
      </c>
      <c r="G1336">
        <f>Calc!G28</f>
        <v/>
      </c>
      <c r="H1336">
        <f>Calc!H28</f>
        <v/>
      </c>
      <c r="I1336">
        <f>IF(Skills!AA28&lt;&gt;"",1+(Skills!AA28/10)*(U1311/1000)/100,1)</f>
        <v/>
      </c>
      <c r="J1336" t="inlineStr"/>
      <c r="K1336" t="inlineStr"/>
      <c r="L1336" t="inlineStr"/>
      <c r="M1336" t="inlineStr"/>
      <c r="N1336" t="inlineStr"/>
      <c r="O1336">
        <f>(1-Summary!$B$55)*T1336+Summary!$B$55*V1336</f>
        <v/>
      </c>
      <c r="P1336">
        <f>IF(B1352=0,0,O1336/B1352)</f>
        <v/>
      </c>
      <c r="Q1336" t="n">
        <v>0</v>
      </c>
      <c r="R1336" t="n">
        <v>0</v>
      </c>
      <c r="S1336">
        <f>IFERROR(O1336/N1336,0)</f>
        <v/>
      </c>
      <c r="T1336" t="n">
        <v>0</v>
      </c>
      <c r="V1336" t="n">
        <v>0</v>
      </c>
    </row>
    <row r="1337">
      <c r="A1337">
        <f>Skills!A29</f>
        <v/>
      </c>
      <c r="B1337">
        <f>Skills!B29</f>
        <v/>
      </c>
      <c r="C1337">
        <f>Inputs!$B$3&gt;=120</f>
        <v/>
      </c>
      <c r="D1337">
        <f>IF(Skills!C29=1,60+Inputs!$B$25+Inputs!$B$29,IF(Skills!C29=2,90+Inputs!$B$26+Inputs!$B$29,IF(Skills!C29=3,120+Inputs!$B$27+Inputs!$B$29,MAX(0,(Inputs!$B$3-100)*3)+Inputs!$B$28+Inputs!$B$29)))</f>
        <v/>
      </c>
      <c r="E1337">
        <f>INDEX(FactorTable!$B$2:$Y$301, MATCH(ROUND(MIN(300,MAX(1,D1337)),0), FactorTable!$A$2:$A$301,0), Skills!M29+1)</f>
        <v/>
      </c>
      <c r="F1337">
        <f>IF(Skills!N29=TRUE,(Skills!L29/10)*(E1337/1000),Skills!L29/10)+Skills!O29</f>
        <v/>
      </c>
      <c r="G1337">
        <f>Calc!G29</f>
        <v/>
      </c>
      <c r="H1337">
        <f>Calc!H29</f>
        <v/>
      </c>
      <c r="I1337">
        <f>IF(Skills!AA29&lt;&gt;"",1+(Skills!AA29/10)*(U1311/1000)/100,1)</f>
        <v/>
      </c>
      <c r="J1337" t="inlineStr"/>
      <c r="K1337" t="inlineStr"/>
      <c r="L1337" t="inlineStr"/>
      <c r="M1337" t="inlineStr"/>
      <c r="N1337" t="inlineStr"/>
      <c r="O1337">
        <f>(1-Summary!$B$55)*T1337+Summary!$B$55*V1337</f>
        <v/>
      </c>
      <c r="P1337">
        <f>IF(B1352=0,0,O1337/B1352)</f>
        <v/>
      </c>
      <c r="Q1337" t="n">
        <v>0</v>
      </c>
      <c r="R1337" t="n">
        <v>0</v>
      </c>
      <c r="S1337">
        <f>IFERROR(O1337/N1337,0)</f>
        <v/>
      </c>
      <c r="T1337" t="n">
        <v>0</v>
      </c>
      <c r="V1337" t="n">
        <v>0</v>
      </c>
    </row>
    <row r="1338">
      <c r="A1338">
        <f>Skills!A30</f>
        <v/>
      </c>
      <c r="B1338">
        <f>Skills!B30</f>
        <v/>
      </c>
      <c r="C1338">
        <f>Inputs!$B$3&gt;=125</f>
        <v/>
      </c>
      <c r="D1338">
        <f>IF(Skills!C30=1,60+Inputs!$B$25+Inputs!$B$29,IF(Skills!C30=2,90+Inputs!$B$26+Inputs!$B$29,IF(Skills!C30=3,120+Inputs!$B$27+Inputs!$B$29,MAX(0,(Inputs!$B$3-100)*3)+Inputs!$B$28+Inputs!$B$29)))</f>
        <v/>
      </c>
      <c r="E1338">
        <f>INDEX(FactorTable!$B$2:$Y$301, MATCH(ROUND(MIN(300,MAX(1,D1338)),0), FactorTable!$A$2:$A$301,0), Skills!M30+1)</f>
        <v/>
      </c>
      <c r="F1338">
        <f>IF(Skills!N30=TRUE,(Skills!L30/10)*(E1338/1000),Skills!L30/10)+Skills!O30</f>
        <v/>
      </c>
      <c r="G1338">
        <f>Calc!G30</f>
        <v/>
      </c>
      <c r="H1338">
        <f>Calc!H30</f>
        <v/>
      </c>
      <c r="I1338">
        <f>IF(Skills!AA30&lt;&gt;"",1+(Skills!AA30/10)*(U1311/1000)/100,1)</f>
        <v/>
      </c>
      <c r="J1338" t="inlineStr"/>
      <c r="K1338" t="inlineStr"/>
      <c r="L1338" t="inlineStr"/>
      <c r="M1338" t="inlineStr"/>
      <c r="N1338" t="inlineStr"/>
      <c r="O1338">
        <f>(1-Summary!$B$55)*T1338+Summary!$B$55*V1338</f>
        <v/>
      </c>
      <c r="P1338">
        <f>IF(B1352=0,0,O1338/B1352)</f>
        <v/>
      </c>
      <c r="Q1338" t="n">
        <v>0</v>
      </c>
      <c r="R1338" t="n">
        <v>0</v>
      </c>
      <c r="S1338">
        <f>IFERROR(O1338/N1338,0)</f>
        <v/>
      </c>
      <c r="T1338" t="n">
        <v>0</v>
      </c>
      <c r="V1338" t="n">
        <v>0</v>
      </c>
    </row>
    <row r="1339">
      <c r="A1339">
        <f>Skills!A31</f>
        <v/>
      </c>
      <c r="B1339">
        <f>Skills!B31</f>
        <v/>
      </c>
      <c r="C1339">
        <f>Inputs!$B$3&gt;=107</f>
        <v/>
      </c>
      <c r="D1339">
        <f>IF(Skills!C31=1,60+Inputs!$B$25+Inputs!$B$29,IF(Skills!C31=2,90+Inputs!$B$26+Inputs!$B$29,IF(Skills!C31=3,120+Inputs!$B$27+Inputs!$B$29,MAX(0,(Inputs!$B$3-100)*3)+Inputs!$B$28+Inputs!$B$29)))</f>
        <v/>
      </c>
      <c r="E1339">
        <f>INDEX(FactorTable!$B$2:$Y$301, MATCH(ROUND(MIN(300,MAX(1,D1339)),0), FactorTable!$A$2:$A$301,0), Skills!M31+1)</f>
        <v/>
      </c>
      <c r="F1339">
        <f>IF(Skills!N31=TRUE,(Skills!L31/10)*(E1339/1000),Skills!L31/10)+Skills!O31</f>
        <v/>
      </c>
      <c r="G1339">
        <f>Calc!G31</f>
        <v/>
      </c>
      <c r="H1339">
        <f>Calc!H31</f>
        <v/>
      </c>
      <c r="I1339">
        <f>IF(Skills!AA31&lt;&gt;"",1+(Skills!AA31/10)*(U1311/1000)/100,1)</f>
        <v/>
      </c>
      <c r="J1339" t="inlineStr"/>
      <c r="K1339" t="inlineStr"/>
      <c r="L1339" t="inlineStr"/>
      <c r="M1339" t="inlineStr"/>
      <c r="N1339" t="inlineStr"/>
      <c r="O1339">
        <f>(1-Summary!$B$55)*T1339+Summary!$B$55*V1339</f>
        <v/>
      </c>
      <c r="P1339">
        <f>IF(B1352=0,0,O1339/B1352)</f>
        <v/>
      </c>
      <c r="Q1339" t="n">
        <v>0</v>
      </c>
      <c r="R1339" t="n">
        <v>0</v>
      </c>
      <c r="S1339">
        <f>IFERROR(O1339/N1339,0)</f>
        <v/>
      </c>
      <c r="T1339" t="n">
        <v>0</v>
      </c>
      <c r="V1339" t="n">
        <v>0</v>
      </c>
    </row>
    <row r="1341">
      <c r="A1341" t="inlineStr">
        <is>
          <t>Actions Per Second (pre-Adrenalin)</t>
        </is>
      </c>
      <c r="B1341">
        <f>1+MIN(150,150*(1-(1-(Inputs!$B$11+((C1330=TRUE)*(F1330-Calc!F22)))/150)*(1-((C1327=TRUE)*F1327*IF(AND(Inputs!$B$39&lt;&gt;"pvp",Inputs!$B$44&gt;0),(((R1327-1)*(Skills!Y19*(1+Inputs!$B$34/100))+MIN((Skills!Y19*(1+Inputs!$B$34/100)),MAX(0,Inputs!$B$44-((R1327-1)*Skills!D19))))/Inputs!$B$44),IF(Inputs!$B$39="pvp",MIN((Skills!Y19*(1+Inputs!$B$34/100)),15)/15,(Skills!Y19*(1+Inputs!$B$34/100))/Skills!D19)))/150)))/100</f>
        <v/>
      </c>
    </row>
    <row r="1342">
      <c r="A1342" t="inlineStr">
        <is>
          <t>Alchemic Adrenaline Uptime</t>
        </is>
      </c>
      <c r="B1342">
        <f>(Skills!Y6*(1+Inputs!$B$34/100))/((Skills!Y6*(1+Inputs!$B$34/100))+(5/B1341))</f>
        <v/>
      </c>
    </row>
    <row r="1343">
      <c r="A1343" t="inlineStr">
        <is>
          <t>Attack Speed Buff Bonus %</t>
        </is>
      </c>
      <c r="B1343">
        <f>((C1327=TRUE)*F1327*IF(AND(Inputs!$B$39&lt;&gt;"pvp",Inputs!$B$44&gt;0),(((R1327-1)*(Skills!Y19*(1+Inputs!$B$34/100))+MIN((Skills!Y19*(1+Inputs!$B$34/100)),MAX(0,Inputs!$B$44-((R1327-1)*Skills!D19))))/Inputs!$B$44),IF(Inputs!$B$39="pvp",MIN((Skills!Y19*(1+Inputs!$B$34/100)),15)/15,(Skills!Y19*(1+Inputs!$B$34/100))/Skills!D19)))+((C1315=TRUE)*F1315*B1342)</f>
        <v/>
      </c>
    </row>
    <row r="1344">
      <c r="A1344" t="inlineStr">
        <is>
          <t>Actions Per Second (final)</t>
        </is>
      </c>
      <c r="B1344">
        <f>1+MIN(150,150*(1-(1-(Inputs!$B$11+((C1330=TRUE)*(F1330-Calc!F22)))/150)*(1-B1343/150)))/100</f>
        <v/>
      </c>
    </row>
    <row r="1345">
      <c r="A1345" t="inlineStr">
        <is>
          <t>Skill + Buff Cast Rate</t>
        </is>
      </c>
      <c r="B1345">
        <f>IF(AND(Inputs!$B$39&lt;&gt;"pvp",Inputs!$B$44&gt;0),SUMPRODUCT((Skills!E2:E31=TRUE)*(C1310:C1339=TRUE)*R1310:R1339*Skills!F2:F31)/Inputs!$B$44,SUMPRODUCT((Skills!E2:E31=TRUE)*(C1310:C1339=TRUE)*Q1310:Q1339*Skills!F2:F31))</f>
        <v/>
      </c>
    </row>
    <row r="1346">
      <c r="A1346" t="inlineStr">
        <is>
          <t>Showdown Casts Per Second</t>
        </is>
      </c>
      <c r="B1346">
        <f>MAX(0,B1344-B1345)</f>
        <v/>
      </c>
    </row>
    <row r="1347">
      <c r="A1347" t="inlineStr">
        <is>
          <t>Average Buff Multiplier</t>
        </is>
      </c>
      <c r="B1347">
        <f>(1+(((C1329=TRUE)*F1329*IF(AND(Inputs!$B$39&lt;&gt;"pvp",Inputs!$B$44&gt;0),(((R1329-1)*(Skills!Y21*(1+Inputs!$B$34/100))+MIN((Skills!Y21*(1+Inputs!$B$34/100)),MAX(0,Inputs!$B$44-((R1329-1)*Skills!D21))))/Inputs!$B$44),IF(Inputs!$B$39="pvp",MIN((Skills!Y21*(1+Inputs!$B$34/100)),15)/15,(Skills!Y21*(1+Inputs!$B$34/100))/Skills!D21)))+((C1336=TRUE)*(F1336-Calc!F28))+((C1326=TRUE)*(F1326-Calc!F18)))/100)*(1+((C1323=TRUE)*F1323*IF(AND(Inputs!$B$39&lt;&gt;"pvp",Inputs!$B$44&gt;0),(((R1323-1)*(Skills!Y15*(1+Inputs!$B$34/100))+MIN((Skills!Y15*(1+Inputs!$B$34/100)),MAX(0,Inputs!$B$44-((R1323-1)*Skills!D15))))/Inputs!$B$44),IF(Inputs!$B$39="pvp",MIN((Skills!Y15*(1+Inputs!$B$34/100)),15)/15,(Skills!Y15*(1+Inputs!$B$34/100))/Skills!D15)))/100)*(1+((C1314=TRUE)*F1314*B1342)/100)</f>
        <v/>
      </c>
    </row>
    <row r="1348">
      <c r="A1348" t="inlineStr">
        <is>
          <t>Global Crit Rate Bonus %</t>
        </is>
      </c>
      <c r="B1348">
        <f>IF(Inputs!$B$3&gt;=47,8,0)+((C1328=TRUE)*F1328*IF(AND(Inputs!$B$39&lt;&gt;"pvp",Inputs!$B$44&gt;0),(((R1328-1)*(Skills!Y20*(1+Inputs!$B$34/100))+MIN((Skills!Y20*(1+Inputs!$B$34/100)),MAX(0,Inputs!$B$44-((R1328-1)*Skills!D20))))/Inputs!$B$44),IF(Inputs!$B$39="pvp",MIN((Skills!Y20*(1+Inputs!$B$34/100)),15)/15,(Skills!Y20*(1+Inputs!$B$34/100))/Skills!D20)))</f>
        <v/>
      </c>
    </row>
    <row r="1349">
      <c r="A1349" t="inlineStr">
        <is>
          <t>Global Monster Damage-Taken Bonus %</t>
        </is>
      </c>
      <c r="B1349">
        <f>IF(Inputs!$B$3&gt;=82,15,0)+((C1324=TRUE)*F1324*IF(AND(Inputs!$B$39&lt;&gt;"pvp",Inputs!$B$44&gt;0),(((R1324-1)*(Skills!Y16*(1+Inputs!$B$34/100))+MIN((Skills!Y16*(1+Inputs!$B$34/100)),MAX(0,Inputs!$B$44-((R1324-1)*Skills!D16))))/Inputs!$B$44),IF(Inputs!$B$39="pvp",MIN((Skills!Y16*(1+Inputs!$B$34/100)),15)/15,(Skills!Y16*(1+Inputs!$B$34/100))/Skills!D16)))</f>
        <v/>
      </c>
    </row>
    <row r="1350">
      <c r="A1350" t="inlineStr">
        <is>
          <t>Shadow Partner Average Multiplier</t>
        </is>
      </c>
      <c r="B1350">
        <f>1+((C1319=TRUE)*F1319*I1319*Skills!J11/100)/100</f>
        <v/>
      </c>
    </row>
    <row r="1351">
      <c r="A1351" t="inlineStr">
        <is>
          <t>Global Critical Damage Bonus % (Frailty Curse Mastery Lv.111)</t>
        </is>
      </c>
      <c r="B1351">
        <f>IF(Inputs!$B$3&gt;=111,30,0)*IF(AND(Inputs!$B$39&lt;&gt;"pvp",Inputs!$B$44&gt;0),(((R1324-1)*(Skills!Y16*(1+Inputs!$B$34/100))+MIN((Skills!Y16*(1+Inputs!$B$34/100)),MAX(0,Inputs!$B$44-((R1324-1)*Skills!D16))))/Inputs!$B$44),IF(Inputs!$B$39="pvp",MIN((Skills!Y16*(1+Inputs!$B$34/100)),15)/15,(Skills!Y16*(1+Inputs!$B$34/100))/Skills!D16))</f>
        <v/>
      </c>
    </row>
    <row r="1352">
      <c r="A1352" s="5" t="inlineStr">
        <is>
          <t>TOTAL DPS</t>
        </is>
      </c>
      <c r="B1352" s="5">
        <f>SUM(O1310:O1339)</f>
        <v/>
      </c>
    </row>
    <row r="1353">
      <c r="A1353" t="inlineStr">
        <is>
          <t>Buff-Casting Startup Delay (s, fixed-duration only)</t>
        </is>
      </c>
      <c r="B1353">
        <f>IF(AND(Inputs!$B$39&lt;&gt;"pvp",Inputs!$B$44&gt;0),SUMPRODUCT((Skills!Y2:Y31&gt;0)*(Skills!E2:E31=TRUE)*(C1310:C1339=TRUE))/B1344,0)</f>
        <v/>
      </c>
    </row>
    <row r="1354">
      <c r="A1354" t="inlineStr">
        <is>
          <t>Boss-Only Total DPS (this block's swept value)</t>
        </is>
      </c>
      <c r="B1354">
        <f>SUM(T1310:T1339)</f>
        <v/>
      </c>
    </row>
    <row r="1355">
      <c r="A1355" t="inlineStr">
        <is>
          <t>Normal-Only Total DPS (this block's swept value)</t>
        </is>
      </c>
      <c r="B1355">
        <f>SUM(V1310:V1339)</f>
        <v/>
      </c>
    </row>
    <row r="1357">
      <c r="A1357" s="7" t="inlineStr">
        <is>
          <t>Cooldown Reduction Milestone Sweep (absolute CDR seconds, fixed-duration content only)</t>
        </is>
      </c>
    </row>
    <row r="1358">
      <c r="A1358" s="9" t="inlineStr">
        <is>
          <t>CDR (s)</t>
        </is>
      </c>
      <c r="B1358" s="9" t="inlineStr">
        <is>
          <t>Total DPS</t>
        </is>
      </c>
      <c r="C1358" s="9" t="inlineStr">
        <is>
          <t>DPS Gain (vs prior step)</t>
        </is>
      </c>
      <c r="D1358" s="9" t="inlineStr">
        <is>
          <t>% Gain (vs current CDR)</t>
        </is>
      </c>
    </row>
    <row r="1359">
      <c r="A1359" t="n">
        <v>0.5</v>
      </c>
      <c r="B1359">
        <f>B1415</f>
        <v/>
      </c>
      <c r="C1359" t="n">
        <v>0</v>
      </c>
      <c r="D1359">
        <f>IF(Summary!$B$3=0,0,(B1359-Summary!$B$3)/Summary!$B$3*100)</f>
        <v/>
      </c>
    </row>
    <row r="1360">
      <c r="A1360" t="n">
        <v>1</v>
      </c>
      <c r="B1360">
        <f>B1464</f>
        <v/>
      </c>
      <c r="C1360">
        <f>B1360-B1359</f>
        <v/>
      </c>
      <c r="D1360">
        <f>IF(Summary!$B$3=0,0,(B1360-Summary!$B$3)/Summary!$B$3*100)</f>
        <v/>
      </c>
    </row>
    <row r="1361">
      <c r="A1361" t="n">
        <v>1.5</v>
      </c>
      <c r="B1361">
        <f>B1513</f>
        <v/>
      </c>
      <c r="C1361">
        <f>B1361-B1360</f>
        <v/>
      </c>
      <c r="D1361">
        <f>IF(Summary!$B$3=0,0,(B1361-Summary!$B$3)/Summary!$B$3*100)</f>
        <v/>
      </c>
    </row>
    <row r="1362">
      <c r="A1362" t="n">
        <v>2</v>
      </c>
      <c r="B1362">
        <f>B1562</f>
        <v/>
      </c>
      <c r="C1362">
        <f>B1362-B1361</f>
        <v/>
      </c>
      <c r="D1362">
        <f>IF(Summary!$B$3=0,0,(B1362-Summary!$B$3)/Summary!$B$3*100)</f>
        <v/>
      </c>
    </row>
    <row r="1363">
      <c r="A1363" t="n">
        <v>2.5</v>
      </c>
      <c r="B1363">
        <f>B1611</f>
        <v/>
      </c>
      <c r="C1363">
        <f>B1363-B1362</f>
        <v/>
      </c>
      <c r="D1363">
        <f>IF(Summary!$B$3=0,0,(B1363-Summary!$B$3)/Summary!$B$3*100)</f>
        <v/>
      </c>
    </row>
    <row r="1364">
      <c r="A1364" t="n">
        <v>3</v>
      </c>
      <c r="B1364">
        <f>B1660</f>
        <v/>
      </c>
      <c r="C1364">
        <f>B1364-B1363</f>
        <v/>
      </c>
      <c r="D1364">
        <f>IF(Summary!$B$3=0,0,(B1364-Summary!$B$3)/Summary!$B$3*100)</f>
        <v/>
      </c>
    </row>
    <row r="1365">
      <c r="A1365" t="n">
        <v>3.5</v>
      </c>
      <c r="B1365">
        <f>B1709</f>
        <v/>
      </c>
      <c r="C1365">
        <f>B1365-B1364</f>
        <v/>
      </c>
      <c r="D1365">
        <f>IF(Summary!$B$3=0,0,(B1365-Summary!$B$3)/Summary!$B$3*100)</f>
        <v/>
      </c>
    </row>
    <row r="1366">
      <c r="A1366" t="n">
        <v>4</v>
      </c>
      <c r="B1366">
        <f>B1758</f>
        <v/>
      </c>
      <c r="C1366">
        <f>B1366-B1365</f>
        <v/>
      </c>
      <c r="D1366">
        <f>IF(Summary!$B$3=0,0,(B1366-Summary!$B$3)/Summary!$B$3*100)</f>
        <v/>
      </c>
    </row>
    <row r="1367">
      <c r="A1367" t="n">
        <v>4.5</v>
      </c>
      <c r="B1367">
        <f>B1807</f>
        <v/>
      </c>
      <c r="C1367">
        <f>B1367-B1366</f>
        <v/>
      </c>
      <c r="D1367">
        <f>IF(Summary!$B$3=0,0,(B1367-Summary!$B$3)/Summary!$B$3*100)</f>
        <v/>
      </c>
    </row>
    <row r="1368">
      <c r="A1368" t="n">
        <v>5</v>
      </c>
      <c r="B1368">
        <f>B1856</f>
        <v/>
      </c>
      <c r="C1368">
        <f>B1368-B1367</f>
        <v/>
      </c>
      <c r="D1368">
        <f>IF(Summary!$B$3=0,0,(B1368-Summary!$B$3)/Summary!$B$3*100)</f>
        <v/>
      </c>
    </row>
    <row r="1371">
      <c r="A1371" s="5" t="inlineStr">
        <is>
          <t>Stat: CDR = 0.5s</t>
        </is>
      </c>
    </row>
    <row r="1372">
      <c r="A1372" s="9" t="inlineStr">
        <is>
          <t>Key</t>
        </is>
      </c>
      <c r="B1372" s="9" t="inlineStr">
        <is>
          <t>Name</t>
        </is>
      </c>
      <c r="C1372" s="9" t="inlineStr">
        <is>
          <t>Unlocked</t>
        </is>
      </c>
      <c r="D1372" s="9" t="inlineStr">
        <is>
          <t>InputLevel</t>
        </is>
      </c>
      <c r="E1372" s="9" t="inlineStr">
        <is>
          <t>Factor</t>
        </is>
      </c>
      <c r="F1372" s="9" t="inlineStr">
        <is>
          <t>CoefficientPercent</t>
        </is>
      </c>
      <c r="G1372" s="9" t="inlineStr">
        <is>
          <t>EffectiveHits</t>
        </is>
      </c>
      <c r="H1372" s="9" t="inlineStr">
        <is>
          <t>ProcProbability</t>
        </is>
      </c>
      <c r="I1372" s="9" t="inlineStr">
        <is>
          <t>MapleHeroMultiplier</t>
        </is>
      </c>
      <c r="J1372" s="9" t="inlineStr">
        <is>
          <t>BaseDamage</t>
        </is>
      </c>
      <c r="K1372" s="9" t="inlineStr">
        <is>
          <t>BaseHitDamage</t>
        </is>
      </c>
      <c r="L1372" s="9" t="inlineStr">
        <is>
          <t>NonCritAvg</t>
        </is>
      </c>
      <c r="M1372" s="9" t="inlineStr">
        <is>
          <t>CritAvg</t>
        </is>
      </c>
      <c r="N1372" s="9" t="inlineStr">
        <is>
          <t>ExpectedDamage(perHit)</t>
        </is>
      </c>
      <c r="O1372" s="9" t="inlineStr">
        <is>
          <t>DPS</t>
        </is>
      </c>
      <c r="P1372" s="9" t="inlineStr">
        <is>
          <t>% of Total</t>
        </is>
      </c>
      <c r="Q1372" s="9" t="inlineStr">
        <is>
          <t>InvCooldown</t>
        </is>
      </c>
      <c r="R1372" s="9" t="inlineStr">
        <is>
          <t>CastsInFight</t>
        </is>
      </c>
      <c r="S1372" s="9" t="inlineStr">
        <is>
          <t>HitRate(perSec)</t>
        </is>
      </c>
      <c r="U1372" t="inlineStr">
        <is>
          <t>helpers</t>
        </is>
      </c>
    </row>
    <row r="1373">
      <c r="A1373">
        <f>Skills!A2</f>
        <v/>
      </c>
      <c r="B1373">
        <f>Skills!B2</f>
        <v/>
      </c>
      <c r="C1373">
        <f>Inputs!$B$3&gt;=100</f>
        <v/>
      </c>
      <c r="D1373" t="inlineStr"/>
      <c r="E1373" t="inlineStr"/>
      <c r="F1373">
        <f>U1377+Skills!O2</f>
        <v/>
      </c>
      <c r="G1373">
        <f>Calc!G2</f>
        <v/>
      </c>
      <c r="H1373">
        <f>Calc!H2</f>
        <v/>
      </c>
      <c r="I1373">
        <f>IF(Skills!AA2&lt;&gt;"",1+(Skills!AA2/10)*(U1374/1000)/100,1)</f>
        <v/>
      </c>
      <c r="J1373">
        <f>((Inputs!$B$6*(1+Inputs!$B$7/100))+(((Inputs!$B$12*(1+Inputs!$B$13/100))-(Inputs!$B$12*(1+Inputs!$B$13/100)))+0.25*(Inputs!$B$14-Inputs!$B$14))*(1+Inputs!$B$7/100))*(F1373/100)</f>
        <v/>
      </c>
      <c r="K1373">
        <f>J1373*(1+((Inputs!$B$12*(1+Inputs!$B$13/100))*0.01+Inputs!$B$14*0.0025)/100)*(1+Inputs!$B$15/100)*(1+Inputs!$B$16/100)*(5000/(6000+Inputs!$B$43*(1-Inputs!$B$19/100)))*(1+(Inputs!$B$24+((C1401=TRUE)*(F1401-Calc!F30)))/100)*(1+Skills!R2/100)*(1+(IF(Skills!A2="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1373)</f>
        <v/>
      </c>
      <c r="L1373">
        <f>K1373*(MIN(Inputs!$B$22+((C1395=TRUE)*(F1395-Calc!F24)),Inputs!$B$23)/100+Inputs!$B$23/100)/2</f>
        <v/>
      </c>
      <c r="M1373">
        <f>L1373*(1+(Inputs!$B$10+((C1397=TRUE)*(F1397-Calc!F26))+B1414)/100)</f>
        <v/>
      </c>
      <c r="N1373">
        <f>L1373*(1-MIN((Inputs!$B$9+((C1396=TRUE)*(F1396-Calc!F25))+B1411),100)/100)+M1373*(MIN((Inputs!$B$9+((C1396=TRUE)*(F1396-Calc!F25))+B1411),100)/100)</f>
        <v/>
      </c>
      <c r="O1373">
        <f>(1-Summary!$B$55)*T1373+Summary!$B$55*V1373</f>
        <v/>
      </c>
      <c r="P1373">
        <f>IF(B1415=0,0,O1373/B1415)</f>
        <v/>
      </c>
      <c r="Q1373" t="n">
        <v>0</v>
      </c>
      <c r="R1373" t="n">
        <v>0</v>
      </c>
      <c r="S1373">
        <f>IFERROR(O1373/N1373,0)</f>
        <v/>
      </c>
      <c r="T1373">
        <f>IF(C1373,(Skills!G2*N1373*B1409)*IF(Inputs!$B$39="pvp",1,1+(Inputs!$B$20+((C1398=TRUE)*(F1398-Calc!F27))+Skills!P2+B1412)/100),0)</f>
        <v/>
      </c>
      <c r="U1373">
        <f>MAX(0,(Inputs!$B$3-100)*3)+Inputs!$B$28+Inputs!$B$29</f>
        <v/>
      </c>
      <c r="V1373">
        <f>IF(C1373,(Skills!G2*N1373*B1409)*IF(Inputs!$B$39="pvp",1,(1+(Inputs!$B$21+Skills!Q2+B1412)/100)*(MIN((6+Inputs!$B$33),Inputs!$B$37))),0)</f>
        <v/>
      </c>
    </row>
    <row r="1374">
      <c r="A1374">
        <f>Skills!A3</f>
        <v/>
      </c>
      <c r="B1374">
        <f>Skills!B3</f>
        <v/>
      </c>
      <c r="C1374">
        <f>Inputs!$B$3&gt;=35</f>
        <v/>
      </c>
      <c r="D1374">
        <f>IF(Skills!C3=1,60+Inputs!$B$25+Inputs!$B$29,IF(Skills!C3=2,90+Inputs!$B$26+Inputs!$B$29,IF(Skills!C3=3,120+Inputs!$B$27+Inputs!$B$29,MAX(0,(Inputs!$B$3-100)*3)+Inputs!$B$28+Inputs!$B$29)))</f>
        <v/>
      </c>
      <c r="E1374">
        <f>INDEX(FactorTable!$B$2:$Y$301, MATCH(ROUND(MIN(300,MAX(1,D1374)),0), FactorTable!$A$2:$A$301,0), Skills!M3+1)</f>
        <v/>
      </c>
      <c r="F1374">
        <f>IF(Skills!N3=TRUE,(Skills!L3/10)*(E1374/1000),Skills!L3/10)+Skills!O3</f>
        <v/>
      </c>
      <c r="G1374">
        <f>Calc!G3</f>
        <v/>
      </c>
      <c r="H1374">
        <f>Calc!H3</f>
        <v/>
      </c>
      <c r="I1374">
        <f>IF(Skills!AA3&lt;&gt;"",1+(Skills!AA3/10)*(U1374/1000)/100,1)</f>
        <v/>
      </c>
      <c r="J1374">
        <f>((Inputs!$B$6*(1+Inputs!$B$7/100))+(((Inputs!$B$12*(1+Inputs!$B$13/100))-(Inputs!$B$12*(1+Inputs!$B$13/100)))+0.25*(Inputs!$B$14-Inputs!$B$14))*(1+Inputs!$B$7/100))*(F1374/100)</f>
        <v/>
      </c>
      <c r="K1374">
        <f>J1374*(1+((Inputs!$B$12*(1+Inputs!$B$13/100))*0.01+Inputs!$B$14*0.0025)/100)*(1+Inputs!$B$15/100)*(1+Inputs!$B$16/100)*(5000/(6000+Inputs!$B$43*(1-Inputs!$B$19/100)))*(1+(Inputs!$B$24+((C1401=TRUE)*(F1401-Calc!F30)))/100)*(1+Skills!R3/100)*(1+(IF(Skills!A3="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1374)</f>
        <v/>
      </c>
      <c r="L1374">
        <f>K1374*(MIN(Inputs!$B$22+((C1395=TRUE)*(F1395-Calc!F24)),Inputs!$B$23)/100+Inputs!$B$23/100)/2</f>
        <v/>
      </c>
      <c r="M1374">
        <f>L1374*(1+(Inputs!$B$10+((C1397=TRUE)*(F1397-Calc!F26))+B1414)/100)</f>
        <v/>
      </c>
      <c r="N1374">
        <f>L1374*(1-MIN((Inputs!$B$9+((C1396=TRUE)*(F1396-Calc!F25))+B1411),100)/100)+M1374*(MIN((Inputs!$B$9+((C1396=TRUE)*(F1396-Calc!F25))+B1411),100)/100)</f>
        <v/>
      </c>
      <c r="O1374">
        <f>(1-Summary!$B$55)*T1374+Summary!$B$55*V1374</f>
        <v/>
      </c>
      <c r="P1374">
        <f>IF(B1415=0,0,O1374/B1415)</f>
        <v/>
      </c>
      <c r="Q1374">
        <f>IFERROR(1/IF(Inputs!$B$39="pvp",15,MAX(0.1,Skills!D3-IF(Skills!E3=TRUE,0.5,0))),0)</f>
        <v/>
      </c>
      <c r="R1374">
        <f>IF(AND(Inputs!$B$39&lt;&gt;"pvp",Inputs!$B$44&gt;0),IF(MAX(0,Inputs!$B$44-B1416)&lt;=0,0,(INT(MAX(0,Inputs!$B$44-B1416)/IF(Inputs!$B$39="pvp",15,MAX(0.1,Skills!D3-IF(Skills!E3=TRUE,0.5,0))))+1)),0)</f>
        <v/>
      </c>
      <c r="S1374">
        <f>IFERROR(O1374/N1374,0)</f>
        <v/>
      </c>
      <c r="T1374">
        <f>IF(C1374,(H1374*N1374*IF(AND(Inputs!$B$39&lt;&gt;"pvp",Inputs!$B$44&gt;0),((Skills!G3*((R1374-1)*IF(Skills!H3&gt;0,Skills!I3/Skills!H3,1)+IF(Skills!H3&gt;0,MIN(Skills!I3,MAX(0,MAX(0,Inputs!$B$44-B1416)-((R1374-1)*IF(Inputs!$B$39="pvp",15,MAX(0.1,Skills!D3-IF(Skills!E3=TRUE,0.5,0))))))/Skills!H3,1)))/Inputs!$B$44),G1374*Q1374))*IF(Inputs!$B$39="pvp",1,1+(Inputs!$B$20+((C1398=TRUE)*(F1398-Calc!F27))+Skills!P3+B1412)/100),0)</f>
        <v/>
      </c>
      <c r="U1374">
        <f>INDEX(FactorTable!$B$2:$Y$301, MATCH(ROUND(MIN(300,MAX(1,U1373)),0), FactorTable!$A$2:$A$301,0), 24)</f>
        <v/>
      </c>
      <c r="V1374">
        <f>IF(C1374,(H1374*N1374*IF(AND(Inputs!$B$39&lt;&gt;"pvp",Inputs!$B$44&gt;0),((Skills!G3*((R1374-1)*IF(Skills!H3&gt;0,Skills!I3/Skills!H3,1)+IF(Skills!H3&gt;0,MIN(Skills!I3,MAX(0,MAX(0,Inputs!$B$44-B1416)-((R1374-1)*IF(Inputs!$B$39="pvp",15,MAX(0.1,Skills!D3-IF(Skills!E3=TRUE,0.5,0))))))/Skills!H3,1)))/Inputs!$B$44),G1374*Q1374))*IF(Inputs!$B$39="pvp",1,(1+(Inputs!$B$21+Skills!Q3+B1412)/100)*(MIN(Skills!W3,Inputs!$B$37))),0)</f>
        <v/>
      </c>
    </row>
    <row r="1375">
      <c r="A1375">
        <f>Skills!A4</f>
        <v/>
      </c>
      <c r="B1375">
        <f>Skills!B4</f>
        <v/>
      </c>
      <c r="C1375">
        <f>Inputs!$B$3&gt;=40</f>
        <v/>
      </c>
      <c r="D1375">
        <f>IF(Skills!C4=1,60+Inputs!$B$25+Inputs!$B$29,IF(Skills!C4=2,90+Inputs!$B$26+Inputs!$B$29,IF(Skills!C4=3,120+Inputs!$B$27+Inputs!$B$29,MAX(0,(Inputs!$B$3-100)*3)+Inputs!$B$28+Inputs!$B$29)))</f>
        <v/>
      </c>
      <c r="E1375">
        <f>INDEX(FactorTable!$B$2:$Y$301, MATCH(ROUND(MIN(300,MAX(1,D1375)),0), FactorTable!$A$2:$A$301,0), Skills!M4+1)</f>
        <v/>
      </c>
      <c r="F1375">
        <f>IF(Skills!N4=TRUE,(Skills!L4/10)*(E1375/1000),Skills!L4/10)+Skills!O4</f>
        <v/>
      </c>
      <c r="G1375">
        <f>Calc!G4</f>
        <v/>
      </c>
      <c r="H1375">
        <f>Calc!H4</f>
        <v/>
      </c>
      <c r="I1375">
        <f>IF(Skills!AA4&lt;&gt;"",1+(Skills!AA4/10)*(U1374/1000)/100,1)</f>
        <v/>
      </c>
      <c r="J1375">
        <f>((Inputs!$B$6*(1+Inputs!$B$7/100))+(((Inputs!$B$12*(1+Inputs!$B$13/100))-(Inputs!$B$12*(1+Inputs!$B$13/100)))+0.25*(Inputs!$B$14-Inputs!$B$14))*(1+Inputs!$B$7/100))*(F1375/100)</f>
        <v/>
      </c>
      <c r="K1375">
        <f>J1375*(1+((Inputs!$B$12*(1+Inputs!$B$13/100))*0.01+Inputs!$B$14*0.0025)/100)*(1+Inputs!$B$15/100)*(1+Inputs!$B$16/100)*(5000/(6000+Inputs!$B$43*(1-Inputs!$B$19/100)))*(1+(Inputs!$B$24+((C1401=TRUE)*(F1401-Calc!F30)))/100)*(1+Skills!R4/100)*(1+(IF(Skills!A4="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1375)</f>
        <v/>
      </c>
      <c r="L1375">
        <f>K1375*(MIN(Inputs!$B$22+((C1395=TRUE)*(F1395-Calc!F24)),Inputs!$B$23)/100+Inputs!$B$23/100)/2</f>
        <v/>
      </c>
      <c r="M1375">
        <f>L1375*(1+(Inputs!$B$10+((C1397=TRUE)*(F1397-Calc!F26))+B1414)/100)</f>
        <v/>
      </c>
      <c r="N1375">
        <f>L1375*(1-MIN((Inputs!$B$9+((C1396=TRUE)*(F1396-Calc!F25))+B1411),100)/100)+M1375*(MIN((Inputs!$B$9+((C1396=TRUE)*(F1396-Calc!F25))+B1411),100)/100)</f>
        <v/>
      </c>
      <c r="O1375">
        <f>(1-Summary!$B$55)*T1375+Summary!$B$55*V1375</f>
        <v/>
      </c>
      <c r="P1375">
        <f>IF(B1415=0,0,O1375/B1415)</f>
        <v/>
      </c>
      <c r="Q1375">
        <f>IFERROR(1/IF(Inputs!$B$39="pvp",15,MAX(0.1,Skills!D4-IF(Skills!E4=TRUE,0.5,0))),0)</f>
        <v/>
      </c>
      <c r="R1375">
        <f>IF(AND(Inputs!$B$39&lt;&gt;"pvp",Inputs!$B$44&gt;0),IF(MAX(0,Inputs!$B$44-B1416)&lt;=0,0,(INT(MAX(0,Inputs!$B$44-B1416)/IF(Inputs!$B$39="pvp",15,MAX(0.1,Skills!D4-IF(Skills!E4=TRUE,0.5,0))))+1)),0)</f>
        <v/>
      </c>
      <c r="S1375">
        <f>IFERROR(O1375/N1375,0)</f>
        <v/>
      </c>
      <c r="T1375">
        <f>IF(C1375,(H1375*N1375*IF(AND(Inputs!$B$39&lt;&gt;"pvp",Inputs!$B$44&gt;0),((Skills!G4*((R1375-1)*IF(Skills!H4&gt;0,Skills!I4/Skills!H4,1)+IF(Skills!H4&gt;0,MIN(Skills!I4,MAX(0,MAX(0,Inputs!$B$44-B1416)-((R1375-1)*IF(Inputs!$B$39="pvp",15,MAX(0.1,Skills!D4-IF(Skills!E4=TRUE,0.5,0))))))/Skills!H4,1)))/Inputs!$B$44),G1375*Q1375))*IF(Inputs!$B$39="pvp",1,1+(Inputs!$B$20+((C1398=TRUE)*(F1398-Calc!F27))+Skills!P4+B1412)/100),0)</f>
        <v/>
      </c>
      <c r="U1375">
        <f>MAX(0,(Inputs!$B$3-100)*3)+Inputs!$B$28+Inputs!$B$29</f>
        <v/>
      </c>
      <c r="V1375">
        <f>IF(C1375,(H1375*N1375*IF(AND(Inputs!$B$39&lt;&gt;"pvp",Inputs!$B$44&gt;0),((Skills!G4*((R1375-1)*IF(Skills!H4&gt;0,Skills!I4/Skills!H4,1)+IF(Skills!H4&gt;0,MIN(Skills!I4,MAX(0,MAX(0,Inputs!$B$44-B1416)-((R1375-1)*IF(Inputs!$B$39="pvp",15,MAX(0.1,Skills!D4-IF(Skills!E4=TRUE,0.5,0))))))/Skills!H4,1)))/Inputs!$B$44),G1375*Q1375))*IF(Inputs!$B$39="pvp",1,(1+(Inputs!$B$21+Skills!Q4+B1412)/100)*(MIN(Skills!W4,Inputs!$B$37))),0)</f>
        <v/>
      </c>
    </row>
    <row r="1376">
      <c r="A1376">
        <f>Skills!A5</f>
        <v/>
      </c>
      <c r="B1376">
        <f>Skills!B5</f>
        <v/>
      </c>
      <c r="C1376">
        <f>Inputs!$B$3&gt;=63</f>
        <v/>
      </c>
      <c r="D1376">
        <f>IF(Skills!C5=1,60+Inputs!$B$25+Inputs!$B$29,IF(Skills!C5=2,90+Inputs!$B$26+Inputs!$B$29,IF(Skills!C5=3,120+Inputs!$B$27+Inputs!$B$29,MAX(0,(Inputs!$B$3-100)*3)+Inputs!$B$28+Inputs!$B$29)))</f>
        <v/>
      </c>
      <c r="E1376">
        <f>INDEX(FactorTable!$B$2:$Y$301, MATCH(ROUND(MIN(300,MAX(1,D1376)),0), FactorTable!$A$2:$A$301,0), Skills!M5+1)</f>
        <v/>
      </c>
      <c r="F1376">
        <f>IF(Skills!N5=TRUE,(Skills!L5/10)*(E1376/1000),Skills!L5/10)+Skills!O5</f>
        <v/>
      </c>
      <c r="G1376">
        <f>Calc!G5</f>
        <v/>
      </c>
      <c r="H1376">
        <f>Calc!H5</f>
        <v/>
      </c>
      <c r="I1376">
        <f>IF(Skills!AA5&lt;&gt;"",1+(Skills!AA5/10)*(U1374/1000)/100,1)</f>
        <v/>
      </c>
      <c r="J1376">
        <f>((Inputs!$B$6*(1+Inputs!$B$7/100))+(((Inputs!$B$12*(1+Inputs!$B$13/100))-(Inputs!$B$12*(1+Inputs!$B$13/100)))+0.25*(Inputs!$B$14-Inputs!$B$14))*(1+Inputs!$B$7/100))*(F1376/100)</f>
        <v/>
      </c>
      <c r="K1376">
        <f>J1376*(1+((Inputs!$B$12*(1+Inputs!$B$13/100))*0.01+Inputs!$B$14*0.0025)/100)*(1+Inputs!$B$15/100)*(1+Inputs!$B$16/100)*(5000/(6000+Inputs!$B$43*(1-Inputs!$B$19/100)))*(1+(Inputs!$B$24+((C1401=TRUE)*(F1401-Calc!F30)))/100)*(1+Skills!R5/100)*(1+(IF(Skills!A5="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1376)</f>
        <v/>
      </c>
      <c r="L1376">
        <f>K1376*(MIN(Inputs!$B$22+((C1395=TRUE)*(F1395-Calc!F24)),Inputs!$B$23)/100+Inputs!$B$23/100)/2</f>
        <v/>
      </c>
      <c r="M1376">
        <f>L1376*(1+(Inputs!$B$10+((C1397=TRUE)*(F1397-Calc!F26))+B1414)/100)</f>
        <v/>
      </c>
      <c r="N1376">
        <f>L1376*(1-MIN((Inputs!$B$9+((C1396=TRUE)*(F1396-Calc!F25))+B1411),100)/100)+M1376*(MIN((Inputs!$B$9+((C1396=TRUE)*(F1396-Calc!F25))+B1411),100)/100)</f>
        <v/>
      </c>
      <c r="O1376">
        <f>(1-Summary!$B$55)*T1376+Summary!$B$55*V1376</f>
        <v/>
      </c>
      <c r="P1376">
        <f>IF(B1415=0,0,O1376/B1415)</f>
        <v/>
      </c>
      <c r="Q1376">
        <f>IFERROR(1/IF(Inputs!$B$39="pvp",15,MAX(0.1,Skills!D5-IF(Skills!E5=TRUE,0.5,0))),0)</f>
        <v/>
      </c>
      <c r="R1376">
        <f>IF(AND(Inputs!$B$39&lt;&gt;"pvp",Inputs!$B$44&gt;0),IF(MAX(0,Inputs!$B$44-B1416)&lt;=0,0,(INT(MAX(0,Inputs!$B$44-B1416)/IF(Inputs!$B$39="pvp",15,MAX(0.1,Skills!D5-IF(Skills!E5=TRUE,0.5,0))))+1)),0)</f>
        <v/>
      </c>
      <c r="S1376">
        <f>IFERROR(O1376/N1376,0)</f>
        <v/>
      </c>
      <c r="T1376">
        <f>IF(C1376,(H1376*N1376*IF(AND(Inputs!$B$39&lt;&gt;"pvp",Inputs!$B$44&gt;0),((Skills!G5*((R1376-1)*IF(Skills!H5&gt;0,Skills!I5/Skills!H5,1)+IF(Skills!H5&gt;0,MIN(Skills!I5,MAX(0,MAX(0,Inputs!$B$44-B1416)-((R1376-1)*IF(Inputs!$B$39="pvp",15,MAX(0.1,Skills!D5-IF(Skills!E5=TRUE,0.5,0))))))/Skills!H5,1)))/Inputs!$B$44),G1376*Q1376))*IF(Inputs!$B$39="pvp",1,1+(Inputs!$B$20+((C1398=TRUE)*(F1398-Calc!F27))+Skills!P5+B1412)/100),0)</f>
        <v/>
      </c>
      <c r="U1376">
        <f>INDEX(FactorTable!$B$2:$Y$301, MATCH(ROUND(MIN(300,MAX(1,U1375)),0), FactorTable!$A$2:$A$301,0), 22)</f>
        <v/>
      </c>
      <c r="V1376">
        <f>IF(C1376,(H1376*N1376*IF(AND(Inputs!$B$39&lt;&gt;"pvp",Inputs!$B$44&gt;0),((Skills!G5*((R1376-1)*IF(Skills!H5&gt;0,Skills!I5/Skills!H5,1)+IF(Skills!H5&gt;0,MIN(Skills!I5,MAX(0,MAX(0,Inputs!$B$44-B1416)-((R1376-1)*IF(Inputs!$B$39="pvp",15,MAX(0.1,Skills!D5-IF(Skills!E5=TRUE,0.5,0))))))/Skills!H5,1)))/Inputs!$B$44),G1376*Q1376))*IF(Inputs!$B$39="pvp",1,(1+(Inputs!$B$21+Skills!Q5+B1412)/100)*(MIN(Skills!W5,Inputs!$B$37))),0)</f>
        <v/>
      </c>
    </row>
    <row r="1377">
      <c r="A1377">
        <f>Skills!A6</f>
        <v/>
      </c>
      <c r="B1377">
        <f>Skills!B6</f>
        <v/>
      </c>
      <c r="C1377">
        <f>Inputs!$B$3&gt;=66</f>
        <v/>
      </c>
      <c r="D1377">
        <f>IF(Skills!C6=1,60+Inputs!$B$25+Inputs!$B$29,IF(Skills!C6=2,90+Inputs!$B$26+Inputs!$B$29,IF(Skills!C6=3,120+Inputs!$B$27+Inputs!$B$29,MAX(0,(Inputs!$B$3-100)*3)+Inputs!$B$28+Inputs!$B$29)))</f>
        <v/>
      </c>
      <c r="E1377">
        <f>INDEX(FactorTable!$B$2:$Y$301, MATCH(ROUND(MIN(300,MAX(1,D1377)),0), FactorTable!$A$2:$A$301,0), Skills!M6+1)</f>
        <v/>
      </c>
      <c r="F1377">
        <f>IF(Skills!N6=TRUE,(Skills!L6/10)*(E1377/1000),Skills!L6/10)+Skills!O6</f>
        <v/>
      </c>
      <c r="G1377">
        <f>Calc!G6</f>
        <v/>
      </c>
      <c r="H1377">
        <f>Calc!H6</f>
        <v/>
      </c>
      <c r="I1377">
        <f>IF(Skills!AA6&lt;&gt;"",1+(Skills!AA6/10)*(U1374/1000)/100,1)</f>
        <v/>
      </c>
      <c r="J1377" t="inlineStr"/>
      <c r="K1377" t="inlineStr"/>
      <c r="L1377" t="inlineStr"/>
      <c r="M1377" t="inlineStr"/>
      <c r="N1377" t="inlineStr"/>
      <c r="O1377">
        <f>(1-Summary!$B$55)*T1377+Summary!$B$55*V1377</f>
        <v/>
      </c>
      <c r="P1377">
        <f>IF(B1415=0,0,O1377/B1415)</f>
        <v/>
      </c>
      <c r="Q1377" t="n">
        <v>0</v>
      </c>
      <c r="R1377" t="n">
        <v>0</v>
      </c>
      <c r="S1377">
        <f>IFERROR(O1377/N1377,0)</f>
        <v/>
      </c>
      <c r="T1377" t="n">
        <v>0</v>
      </c>
      <c r="U1377">
        <f>290*U1376/1000</f>
        <v/>
      </c>
      <c r="V1377" t="n">
        <v>0</v>
      </c>
    </row>
    <row r="1378">
      <c r="A1378">
        <f>Skills!A7</f>
        <v/>
      </c>
      <c r="B1378">
        <f>Skills!B7</f>
        <v/>
      </c>
      <c r="C1378">
        <f>Inputs!$B$3&gt;=66</f>
        <v/>
      </c>
      <c r="D1378">
        <f>IF(Skills!C7=1,60+Inputs!$B$25+Inputs!$B$29,IF(Skills!C7=2,90+Inputs!$B$26+Inputs!$B$29,IF(Skills!C7=3,120+Inputs!$B$27+Inputs!$B$29,MAX(0,(Inputs!$B$3-100)*3)+Inputs!$B$28+Inputs!$B$29)))</f>
        <v/>
      </c>
      <c r="E1378">
        <f>INDEX(FactorTable!$B$2:$Y$301, MATCH(ROUND(MIN(300,MAX(1,D1378)),0), FactorTable!$A$2:$A$301,0), Skills!M7+1)</f>
        <v/>
      </c>
      <c r="F1378">
        <f>IF(Skills!N7=TRUE,(Skills!L7/10)*(E1378/1000),Skills!L7/10)+Skills!O7</f>
        <v/>
      </c>
      <c r="G1378">
        <f>Calc!G7</f>
        <v/>
      </c>
      <c r="H1378">
        <f>Calc!H7</f>
        <v/>
      </c>
      <c r="I1378">
        <f>IF(Skills!AA7&lt;&gt;"",1+(Skills!AA7/10)*(U1374/1000)/100,1)</f>
        <v/>
      </c>
      <c r="J1378" t="inlineStr"/>
      <c r="K1378" t="inlineStr"/>
      <c r="L1378" t="inlineStr"/>
      <c r="M1378" t="inlineStr"/>
      <c r="N1378" t="inlineStr"/>
      <c r="O1378">
        <f>(1-Summary!$B$55)*T1378+Summary!$B$55*V1378</f>
        <v/>
      </c>
      <c r="P1378">
        <f>IF(B1415=0,0,O1378/B1415)</f>
        <v/>
      </c>
      <c r="Q1378" t="n">
        <v>0</v>
      </c>
      <c r="R1378" t="n">
        <v>0</v>
      </c>
      <c r="S1378">
        <f>IFERROR(O1378/N1378,0)</f>
        <v/>
      </c>
      <c r="T1378" t="n">
        <v>0</v>
      </c>
      <c r="V1378" t="n">
        <v>0</v>
      </c>
    </row>
    <row r="1379">
      <c r="A1379">
        <f>Skills!A8</f>
        <v/>
      </c>
      <c r="B1379">
        <f>Skills!B8</f>
        <v/>
      </c>
      <c r="C1379">
        <f>Inputs!$B$3&gt;=69</f>
        <v/>
      </c>
      <c r="D1379">
        <f>IF(Skills!C8=1,60+Inputs!$B$25+Inputs!$B$29,IF(Skills!C8=2,90+Inputs!$B$26+Inputs!$B$29,IF(Skills!C8=3,120+Inputs!$B$27+Inputs!$B$29,MAX(0,(Inputs!$B$3-100)*3)+Inputs!$B$28+Inputs!$B$29)))</f>
        <v/>
      </c>
      <c r="E1379">
        <f>INDEX(FactorTable!$B$2:$Y$301, MATCH(ROUND(MIN(300,MAX(1,D1379)),0), FactorTable!$A$2:$A$301,0), Skills!M8+1)</f>
        <v/>
      </c>
      <c r="F1379">
        <f>IF(Skills!N8=TRUE,(Skills!L8/10)*(E1379/1000),Skills!L8/10)+Skills!O8</f>
        <v/>
      </c>
      <c r="G1379">
        <f>Calc!G8</f>
        <v/>
      </c>
      <c r="H1379">
        <f>Calc!H8</f>
        <v/>
      </c>
      <c r="I1379">
        <f>IF(Skills!AA8&lt;&gt;"",1+(Skills!AA8/10)*(U1374/1000)/100,1)</f>
        <v/>
      </c>
      <c r="J1379">
        <f>((Inputs!$B$6*(1+Inputs!$B$7/100))+(((Inputs!$B$12*(1+Inputs!$B$13/100))-(Inputs!$B$12*(1+Inputs!$B$13/100)))+0.25*(Inputs!$B$14-Inputs!$B$14))*(1+Inputs!$B$7/100))*(F1379/100)</f>
        <v/>
      </c>
      <c r="K1379">
        <f>J1379*(1+((Inputs!$B$12*(1+Inputs!$B$13/100))*0.01+Inputs!$B$14*0.0025)/100)*(1+Inputs!$B$15/100)*(1+Inputs!$B$16/100)*(5000/(6000+Inputs!$B$43*(1-Inputs!$B$19/100)))*(1+(Inputs!$B$24+((C1401=TRUE)*(F1401-Calc!F30)))/100)*(1+Skills!R8/100)*(1+(IF(Skills!A8="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1379)</f>
        <v/>
      </c>
      <c r="L1379">
        <f>K1379*(MIN(Inputs!$B$22+((C1395=TRUE)*(F1395-Calc!F24)),Inputs!$B$23)/100+Inputs!$B$23/100)/2</f>
        <v/>
      </c>
      <c r="M1379">
        <f>L1379*(1+(Inputs!$B$10+((C1397=TRUE)*(F1397-Calc!F26))+B1414)/100)</f>
        <v/>
      </c>
      <c r="N1379">
        <f>L1379*(1-MIN((Inputs!$B$9+((C1396=TRUE)*(F1396-Calc!F25))+B1411),100)/100)+M1379*(MIN((Inputs!$B$9+((C1396=TRUE)*(F1396-Calc!F25))+B1411),100)/100)</f>
        <v/>
      </c>
      <c r="O1379">
        <f>(1-Summary!$B$55)*T1379+Summary!$B$55*V1379</f>
        <v/>
      </c>
      <c r="P1379">
        <f>IF(B1415=0,0,O1379/B1415)</f>
        <v/>
      </c>
      <c r="Q1379">
        <f>IFERROR(1/IF(Inputs!$B$39="pvp",15,MAX(0.1,Skills!D8-IF(Skills!E8=TRUE,0.5,0))),0)</f>
        <v/>
      </c>
      <c r="R1379">
        <f>IF(AND(Inputs!$B$39&lt;&gt;"pvp",Inputs!$B$44&gt;0),IF(MAX(0,Inputs!$B$44-B1416)&lt;=0,0,(INT(MAX(0,Inputs!$B$44-B1416)/IF(Inputs!$B$39="pvp",15,MAX(0.1,Skills!D8-IF(Skills!E8=TRUE,0.5,0))))+1)),0)</f>
        <v/>
      </c>
      <c r="S1379">
        <f>IFERROR(O1379/N1379,0)</f>
        <v/>
      </c>
      <c r="T1379">
        <f>IF(C1379,(H1379*N1379*IF(AND(Inputs!$B$39&lt;&gt;"pvp",Inputs!$B$44&gt;0),((Skills!G8*((R1379-1)*IF(Skills!H8&gt;0,Skills!I8/Skills!H8,1)+IF(Skills!H8&gt;0,MIN(Skills!I8,MAX(0,MAX(0,Inputs!$B$44-B1416)-((R1379-1)*IF(Inputs!$B$39="pvp",15,MAX(0.1,Skills!D8-IF(Skills!E8=TRUE,0.5,0))))))/Skills!H8,1)))/Inputs!$B$44),G1379*Q1379))*IF(Inputs!$B$39="pvp",1,1+(Inputs!$B$20+((C1398=TRUE)*(F1398-Calc!F27))+Skills!P8+B1412)/100),0)</f>
        <v/>
      </c>
      <c r="V1379">
        <f>IF(C1379,(H1379*N1379*IF(AND(Inputs!$B$39&lt;&gt;"pvp",Inputs!$B$44&gt;0),((Skills!G8*((R1379-1)*IF(Skills!H8&gt;0,Skills!I8/Skills!H8,1)+IF(Skills!H8&gt;0,MIN(Skills!I8,MAX(0,MAX(0,Inputs!$B$44-B1416)-((R1379-1)*IF(Inputs!$B$39="pvp",15,MAX(0.1,Skills!D8-IF(Skills!E8=TRUE,0.5,0))))))/Skills!H8,1)))/Inputs!$B$44),G1379*Q1379))*IF(Inputs!$B$39="pvp",1,(1+(Inputs!$B$21+Skills!Q8+B1412)/100)*(MIN(Skills!W8,Inputs!$B$37))),0)</f>
        <v/>
      </c>
    </row>
    <row r="1380">
      <c r="A1380">
        <f>Skills!A9</f>
        <v/>
      </c>
      <c r="B1380">
        <f>Skills!B9</f>
        <v/>
      </c>
      <c r="C1380">
        <f>Inputs!$B$3&gt;=72</f>
        <v/>
      </c>
      <c r="D1380">
        <f>IF(Skills!C9=1,60+Inputs!$B$25+Inputs!$B$29,IF(Skills!C9=2,90+Inputs!$B$26+Inputs!$B$29,IF(Skills!C9=3,120+Inputs!$B$27+Inputs!$B$29,MAX(0,(Inputs!$B$3-100)*3)+Inputs!$B$28+Inputs!$B$29)))</f>
        <v/>
      </c>
      <c r="E1380">
        <f>INDEX(FactorTable!$B$2:$Y$301, MATCH(ROUND(MIN(300,MAX(1,D1380)),0), FactorTable!$A$2:$A$301,0), Skills!M9+1)</f>
        <v/>
      </c>
      <c r="F1380">
        <f>IF(Skills!N9=TRUE,(Skills!L9/10)*(E1380/1000),Skills!L9/10)+Skills!O9</f>
        <v/>
      </c>
      <c r="G1380">
        <f>Calc!G9</f>
        <v/>
      </c>
      <c r="H1380">
        <f>Calc!H9</f>
        <v/>
      </c>
      <c r="I1380">
        <f>IF(Skills!AA9&lt;&gt;"",1+(Skills!AA9/10)*(U1374/1000)/100,1)</f>
        <v/>
      </c>
      <c r="J1380">
        <f>((Inputs!$B$6*(1+Inputs!$B$7/100))+(((Inputs!$B$12*(1+Inputs!$B$13/100))-(Inputs!$B$12*(1+Inputs!$B$13/100)))+0.25*(Inputs!$B$14-Inputs!$B$14))*(1+Inputs!$B$7/100))*(F1380/100)</f>
        <v/>
      </c>
      <c r="K1380">
        <f>J1380*(1+((Inputs!$B$12*(1+Inputs!$B$13/100))*0.01+Inputs!$B$14*0.0025)/100)*(1+Inputs!$B$15/100)*(1+Inputs!$B$16/100)*(5000/(6000+Inputs!$B$43*(1-Inputs!$B$19/100)))*(1+(Inputs!$B$24+((C1401=TRUE)*(F1401-Calc!F30)))/100)*(1+Skills!R9/100)*(1+(IF(Skills!A9="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1380)</f>
        <v/>
      </c>
      <c r="L1380">
        <f>K1380*(MIN(Inputs!$B$22+((C1395=TRUE)*(F1395-Calc!F24)),Inputs!$B$23)/100+Inputs!$B$23/100)/2</f>
        <v/>
      </c>
      <c r="M1380">
        <f>L1380*(1+(Inputs!$B$10+((C1397=TRUE)*(F1397-Calc!F26))+B1414)/100)</f>
        <v/>
      </c>
      <c r="N1380">
        <f>L1380*(1-MIN((Inputs!$B$9+((C1396=TRUE)*(F1396-Calc!F25))+B1411),100)/100)+M1380*(MIN((Inputs!$B$9+((C1396=TRUE)*(F1396-Calc!F25))+B1411),100)/100)</f>
        <v/>
      </c>
      <c r="O1380">
        <f>(1-Summary!$B$55)*T1380+Summary!$B$55*V1380</f>
        <v/>
      </c>
      <c r="P1380">
        <f>IF(B1415=0,0,O1380/B1415)</f>
        <v/>
      </c>
      <c r="Q1380">
        <f>IFERROR(1/IF(Inputs!$B$39="pvp",15,MAX(0.1,Skills!D9-IF(Skills!E9=TRUE,0.5,0))),0)</f>
        <v/>
      </c>
      <c r="R1380">
        <f>IF(AND(Inputs!$B$39&lt;&gt;"pvp",Inputs!$B$44&gt;0),IF(MAX(0,Inputs!$B$44-B1416)&lt;=0,0,(INT(MAX(0,Inputs!$B$44-B1416)/IF(Inputs!$B$39="pvp",15,MAX(0.1,Skills!D9-IF(Skills!E9=TRUE,0.5,0))))+1)),0)</f>
        <v/>
      </c>
      <c r="S1380">
        <f>IFERROR(O1380/N1380,0)</f>
        <v/>
      </c>
      <c r="T1380">
        <f>IF(C1380,(H1380*N1380*IF(AND(Inputs!$B$39&lt;&gt;"pvp",Inputs!$B$44&gt;0),((Skills!G9*((R1380-1)*IF(Skills!H9&gt;0,Skills!I9/Skills!H9,1)+IF(Skills!H9&gt;0,MIN(Skills!I9,MAX(0,MAX(0,Inputs!$B$44-B1416)-((R1380-1)*IF(Inputs!$B$39="pvp",15,MAX(0.1,Skills!D9-IF(Skills!E9=TRUE,0.5,0))))))/Skills!H9,1)))/Inputs!$B$44),G1380*Q1380))*IF(Inputs!$B$39="pvp",1,1+(Inputs!$B$20+((C1398=TRUE)*(F1398-Calc!F27))+Skills!P9+B1412)/100),0)</f>
        <v/>
      </c>
      <c r="V1380">
        <f>IF(C1380,(H1380*N1380*IF(AND(Inputs!$B$39&lt;&gt;"pvp",Inputs!$B$44&gt;0),((Skills!G9*((R1380-1)*IF(Skills!H9&gt;0,Skills!I9/Skills!H9,1)+IF(Skills!H9&gt;0,MIN(Skills!I9,MAX(0,MAX(0,Inputs!$B$44-B1416)-((R1380-1)*IF(Inputs!$B$39="pvp",15,MAX(0.1,Skills!D9-IF(Skills!E9=TRUE,0.5,0))))))/Skills!H9,1)))/Inputs!$B$44),G1380*Q1380))*IF(Inputs!$B$39="pvp",1,(1+(Inputs!$B$21+Skills!Q9+B1412)/100)*(MIN(Skills!W9,Inputs!$B$37))),0)</f>
        <v/>
      </c>
    </row>
    <row r="1381">
      <c r="A1381">
        <f>Skills!A10</f>
        <v/>
      </c>
      <c r="B1381">
        <f>Skills!B10</f>
        <v/>
      </c>
      <c r="C1381">
        <f>Inputs!$B$3&gt;=117</f>
        <v/>
      </c>
      <c r="D1381">
        <f>IF(Skills!C10=1,60+Inputs!$B$25+Inputs!$B$29,IF(Skills!C10=2,90+Inputs!$B$26+Inputs!$B$29,IF(Skills!C10=3,120+Inputs!$B$27+Inputs!$B$29,MAX(0,(Inputs!$B$3-100)*3)+Inputs!$B$28+Inputs!$B$29)))</f>
        <v/>
      </c>
      <c r="E1381">
        <f>INDEX(FactorTable!$B$2:$Y$301, MATCH(ROUND(MIN(300,MAX(1,D1381)),0), FactorTable!$A$2:$A$301,0), Skills!M10+1)</f>
        <v/>
      </c>
      <c r="F1381">
        <f>IF(Skills!N10=TRUE,(Skills!L10/10)*(E1381/1000),Skills!L10/10)+Skills!O10</f>
        <v/>
      </c>
      <c r="G1381">
        <f>Calc!G10</f>
        <v/>
      </c>
      <c r="H1381">
        <f>Calc!H10</f>
        <v/>
      </c>
      <c r="I1381">
        <f>IF(Skills!AA10&lt;&gt;"",1+(Skills!AA10/10)*(U1374/1000)/100,1)</f>
        <v/>
      </c>
      <c r="J1381">
        <f>((Inputs!$B$6*(1+Inputs!$B$7/100))+(((Inputs!$B$12*(1+Inputs!$B$13/100))-(Inputs!$B$12*(1+Inputs!$B$13/100)))+0.25*(Inputs!$B$14-Inputs!$B$14))*(1+Inputs!$B$7/100))*(F1381/100)</f>
        <v/>
      </c>
      <c r="K1381">
        <f>J1381*(1+((Inputs!$B$12*(1+Inputs!$B$13/100))*0.01+Inputs!$B$14*0.0025)/100)*(1+Inputs!$B$15/100)*(1+Inputs!$B$16/100)*(5000/(6000+Inputs!$B$43*(1-Inputs!$B$19/100)))*(1+(Inputs!$B$24+((C1401=TRUE)*(F1401-Calc!F30)))/100)*(1+Skills!R10/100)*(1+(IF(Skills!A10="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1381)</f>
        <v/>
      </c>
      <c r="L1381">
        <f>K1381*(MIN(Inputs!$B$22+((C1395=TRUE)*(F1395-Calc!F24)),Inputs!$B$23)/100+Inputs!$B$23/100)/2</f>
        <v/>
      </c>
      <c r="M1381">
        <f>L1381*(1+(Inputs!$B$10+((C1397=TRUE)*(F1397-Calc!F26))+B1414)/100)</f>
        <v/>
      </c>
      <c r="N1381">
        <f>L1381*(1-MIN((Inputs!$B$9+((C1396=TRUE)*(F1396-Calc!F25))+B1411),100)/100)+M1381*(MIN((Inputs!$B$9+((C1396=TRUE)*(F1396-Calc!F25))+B1411),100)/100)</f>
        <v/>
      </c>
      <c r="O1381">
        <f>(1-Summary!$B$55)*T1381+Summary!$B$55*V1381</f>
        <v/>
      </c>
      <c r="P1381">
        <f>IF(B1415=0,0,O1381/B1415)</f>
        <v/>
      </c>
      <c r="Q1381" t="n">
        <v>0</v>
      </c>
      <c r="R1381" t="n">
        <v>0</v>
      </c>
      <c r="S1381" t="n">
        <v>0</v>
      </c>
      <c r="T1381">
        <f>IF(C1381,(0.2*SUMPRODUCT((Skills!Z2:Z31=TRUE)*(C1373:C1402=TRUE)*S1373:S1402)*N1381)*IF(Inputs!$B$39="pvp",1,1+(Inputs!$B$20+((C1398=TRUE)*(F1398-Calc!F27))+Skills!P10+B1412)/100),0)</f>
        <v/>
      </c>
      <c r="V1381">
        <f>IF(C1381,(0.2*SUMPRODUCT((Skills!Z2:Z31=TRUE)*(C1373:C1402=TRUE)*S1373:S1402)*N1381)*IF(Inputs!$B$39="pvp",1,(1+(Inputs!$B$21+Skills!Q10+B1412)/100)*(MIN(Skills!W10,Inputs!$B$37))),0)</f>
        <v/>
      </c>
    </row>
    <row r="1382">
      <c r="A1382">
        <f>Skills!A11</f>
        <v/>
      </c>
      <c r="B1382">
        <f>Skills!B11</f>
        <v/>
      </c>
      <c r="C1382">
        <f>Inputs!$B$3&gt;=60</f>
        <v/>
      </c>
      <c r="D1382">
        <f>IF(Skills!C11=1,60+Inputs!$B$25+Inputs!$B$29,IF(Skills!C11=2,90+Inputs!$B$26+Inputs!$B$29,IF(Skills!C11=3,120+Inputs!$B$27+Inputs!$B$29,MAX(0,(Inputs!$B$3-100)*3)+Inputs!$B$28+Inputs!$B$29)))</f>
        <v/>
      </c>
      <c r="E1382">
        <f>INDEX(FactorTable!$B$2:$Y$301, MATCH(ROUND(MIN(300,MAX(1,D1382)),0), FactorTable!$A$2:$A$301,0), Skills!M11+1)</f>
        <v/>
      </c>
      <c r="F1382">
        <f>IF(Skills!N11=TRUE,(Skills!L11/10)*(E1382/1000),Skills!L11/10)+Skills!O11</f>
        <v/>
      </c>
      <c r="G1382">
        <f>Calc!G11</f>
        <v/>
      </c>
      <c r="H1382">
        <f>Calc!H11</f>
        <v/>
      </c>
      <c r="I1382">
        <f>IF(Skills!AA11&lt;&gt;"",1+(Skills!AA11/10)*(U1374/1000)/100,1)</f>
        <v/>
      </c>
      <c r="J1382" t="inlineStr"/>
      <c r="K1382" t="inlineStr"/>
      <c r="L1382" t="inlineStr"/>
      <c r="M1382" t="inlineStr"/>
      <c r="N1382" t="inlineStr"/>
      <c r="O1382">
        <f>(1-Summary!$B$55)*T1382+Summary!$B$55*V1382</f>
        <v/>
      </c>
      <c r="P1382">
        <f>IF(B1415=0,0,O1382/B1415)</f>
        <v/>
      </c>
      <c r="Q1382" t="n">
        <v>0</v>
      </c>
      <c r="R1382" t="n">
        <v>0</v>
      </c>
      <c r="S1382">
        <f>IFERROR(O1382/N1382,0)</f>
        <v/>
      </c>
      <c r="T1382" t="n">
        <v>0</v>
      </c>
      <c r="V1382" t="n">
        <v>0</v>
      </c>
    </row>
    <row r="1383">
      <c r="A1383">
        <f>Skills!A12</f>
        <v/>
      </c>
      <c r="B1383">
        <f>Skills!B12</f>
        <v/>
      </c>
      <c r="C1383">
        <f>Inputs!$B$3&gt;=103</f>
        <v/>
      </c>
      <c r="D1383">
        <f>IF(Skills!C12=1,60+Inputs!$B$25+Inputs!$B$29,IF(Skills!C12=2,90+Inputs!$B$26+Inputs!$B$29,IF(Skills!C12=3,120+Inputs!$B$27+Inputs!$B$29,MAX(0,(Inputs!$B$3-100)*3)+Inputs!$B$28+Inputs!$B$29)))</f>
        <v/>
      </c>
      <c r="E1383">
        <f>INDEX(FactorTable!$B$2:$Y$301, MATCH(ROUND(MIN(300,MAX(1,D1383)),0), FactorTable!$A$2:$A$301,0), Skills!M12+1)</f>
        <v/>
      </c>
      <c r="F1383">
        <f>IF(Skills!N12=TRUE,(Skills!L12/10)*(E1383/1000),Skills!L12/10)+Skills!O12</f>
        <v/>
      </c>
      <c r="G1383">
        <f>Calc!G12</f>
        <v/>
      </c>
      <c r="H1383">
        <f>Calc!H12</f>
        <v/>
      </c>
      <c r="I1383">
        <f>IF(Skills!AA12&lt;&gt;"",1+(Skills!AA12/10)*(U1374/1000)/100,1)</f>
        <v/>
      </c>
      <c r="J1383">
        <f>((Inputs!$B$6*(1+Inputs!$B$7/100))+(((Inputs!$B$12*(1+Inputs!$B$13/100))-(Inputs!$B$12*(1+Inputs!$B$13/100)))+0.25*(Inputs!$B$14-Inputs!$B$14))*(1+Inputs!$B$7/100))*(F1383/100)</f>
        <v/>
      </c>
      <c r="K1383">
        <f>J1383*(1+((Inputs!$B$12*(1+Inputs!$B$13/100))*0.01+Inputs!$B$14*0.0025)/100)*(1+Inputs!$B$15/100)*(1+Inputs!$B$16/100)*(5000/(6000+Inputs!$B$43*(1-Inputs!$B$19/100)))*(1+(Inputs!$B$24+((C1401=TRUE)*(F1401-Calc!F30)))/100)*(1+Skills!R12/100)*(1+(IF(Skills!A12="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1383)</f>
        <v/>
      </c>
      <c r="L1383">
        <f>K1383*(MIN(Inputs!$B$22+((C1395=TRUE)*(F1395-Calc!F24)),Inputs!$B$23)/100+Inputs!$B$23/100)/2</f>
        <v/>
      </c>
      <c r="M1383">
        <f>L1383*(1+(Inputs!$B$10+((C1397=TRUE)*(F1397-Calc!F26))+B1414)/100)</f>
        <v/>
      </c>
      <c r="N1383">
        <f>L1383*(1-MIN((Inputs!$B$9+((C1396=TRUE)*(F1396-Calc!F25))+B1411),100)/100)+M1383*(MIN((Inputs!$B$9+((C1396=TRUE)*(F1396-Calc!F25))+B1411),100)/100)</f>
        <v/>
      </c>
      <c r="O1383">
        <f>(1-Summary!$B$55)*T1383+Summary!$B$55*V1383</f>
        <v/>
      </c>
      <c r="P1383">
        <f>IF(B1415=0,0,O1383/B1415)</f>
        <v/>
      </c>
      <c r="Q1383">
        <f>IFERROR(1/IF(Inputs!$B$39="pvp",15,MAX(0.1,Skills!D12-IF(Skills!E12=TRUE,0.5,0))),0)</f>
        <v/>
      </c>
      <c r="R1383">
        <f>IF(AND(Inputs!$B$39&lt;&gt;"pvp",Inputs!$B$44&gt;0),IF(MAX(0,Inputs!$B$44-B1416)&lt;=0,0,(INT(MAX(0,Inputs!$B$44-B1416)/IF(Inputs!$B$39="pvp",15,MAX(0.1,Skills!D12-IF(Skills!E12=TRUE,0.5,0))))+1)),0)</f>
        <v/>
      </c>
      <c r="S1383">
        <f>IFERROR(O1383/N1383,0)</f>
        <v/>
      </c>
      <c r="T1383">
        <f>IF(C1383,(H1383*N1383*IF(AND(Inputs!$B$39&lt;&gt;"pvp",Inputs!$B$44&gt;0),((Skills!G12*((R1383-1)*IF(Skills!H12&gt;0,Skills!I12/Skills!H12,1)+IF(Skills!H12&gt;0,MIN(Skills!I12,MAX(0,MAX(0,Inputs!$B$44-B1416)-((R1383-1)*IF(Inputs!$B$39="pvp",15,MAX(0.1,Skills!D12-IF(Skills!E12=TRUE,0.5,0))))))/Skills!H12,1)))/Inputs!$B$44),G1383*Q1383))*IF(Inputs!$B$39="pvp",1,1+(Inputs!$B$20+((C1398=TRUE)*(F1398-Calc!F27))+Skills!P12+B1412)/100),0)</f>
        <v/>
      </c>
      <c r="V1383">
        <f>IF(C1383,(H1383*N1383*IF(AND(Inputs!$B$39&lt;&gt;"pvp",Inputs!$B$44&gt;0),((Skills!G12*((R1383-1)*IF(Skills!H12&gt;0,Skills!I12/Skills!H12,1)+IF(Skills!H12&gt;0,MIN(Skills!I12,MAX(0,MAX(0,Inputs!$B$44-B1416)-((R1383-1)*IF(Inputs!$B$39="pvp",15,MAX(0.1,Skills!D12-IF(Skills!E12=TRUE,0.5,0))))))/Skills!H12,1)))/Inputs!$B$44),G1383*Q1383))*IF(Inputs!$B$39="pvp",1,(1+(Inputs!$B$21+Skills!Q12+B1412)/100)*(MIN(Skills!W12,Inputs!$B$37))),0)</f>
        <v/>
      </c>
    </row>
    <row r="1384">
      <c r="A1384">
        <f>Skills!A13</f>
        <v/>
      </c>
      <c r="B1384">
        <f>Skills!B13</f>
        <v/>
      </c>
      <c r="C1384">
        <f>Inputs!$B$3&gt;=105</f>
        <v/>
      </c>
      <c r="D1384">
        <f>IF(Skills!C13=1,60+Inputs!$B$25+Inputs!$B$29,IF(Skills!C13=2,90+Inputs!$B$26+Inputs!$B$29,IF(Skills!C13=3,120+Inputs!$B$27+Inputs!$B$29,MAX(0,(Inputs!$B$3-100)*3)+Inputs!$B$28+Inputs!$B$29)))</f>
        <v/>
      </c>
      <c r="E1384">
        <f>INDEX(FactorTable!$B$2:$Y$301, MATCH(ROUND(MIN(300,MAX(1,D1384)),0), FactorTable!$A$2:$A$301,0), Skills!M13+1)</f>
        <v/>
      </c>
      <c r="F1384">
        <f>IF(Skills!N13=TRUE,(Skills!L13/10)*(E1384/1000),Skills!L13/10)+Skills!O13</f>
        <v/>
      </c>
      <c r="G1384">
        <f>Calc!G13</f>
        <v/>
      </c>
      <c r="H1384">
        <f>Calc!H13</f>
        <v/>
      </c>
      <c r="I1384">
        <f>IF(Skills!AA13&lt;&gt;"",1+(Skills!AA13/10)*(U1374/1000)/100,1)</f>
        <v/>
      </c>
      <c r="J1384">
        <f>((Inputs!$B$6*(1+Inputs!$B$7/100))+(((Inputs!$B$12*(1+Inputs!$B$13/100))-(Inputs!$B$12*(1+Inputs!$B$13/100)))+0.25*(Inputs!$B$14-Inputs!$B$14))*(1+Inputs!$B$7/100))*(F1384/100)</f>
        <v/>
      </c>
      <c r="K1384">
        <f>J1384*(1+((Inputs!$B$12*(1+Inputs!$B$13/100))*0.01+Inputs!$B$14*0.0025)/100)*(1+Inputs!$B$15/100)*(1+Inputs!$B$16/100)*(5000/(6000+Inputs!$B$43*(1-Inputs!$B$19/100)))*(1+(Inputs!$B$24+((C1401=TRUE)*(F1401-Calc!F30)))/100)*(1+Skills!R13/100)*(1+(IF(Skills!A13="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1384)</f>
        <v/>
      </c>
      <c r="L1384">
        <f>K1384*(MIN(Inputs!$B$22+((C1395=TRUE)*(F1395-Calc!F24)),Inputs!$B$23)/100+Inputs!$B$23/100)/2</f>
        <v/>
      </c>
      <c r="M1384">
        <f>L1384*(1+(Inputs!$B$10+((C1397=TRUE)*(F1397-Calc!F26))+B1414)/100)</f>
        <v/>
      </c>
      <c r="N1384">
        <f>L1384*(1-MIN((Inputs!$B$9+((C1396=TRUE)*(F1396-Calc!F25))+B1411),100)/100)+M1384*(MIN((Inputs!$B$9+((C1396=TRUE)*(F1396-Calc!F25))+B1411),100)/100)</f>
        <v/>
      </c>
      <c r="O1384">
        <f>(1-Summary!$B$55)*T1384+Summary!$B$55*V1384</f>
        <v/>
      </c>
      <c r="P1384">
        <f>IF(B1415=0,0,O1384/B1415)</f>
        <v/>
      </c>
      <c r="Q1384">
        <f>IFERROR(1/IF(Inputs!$B$39="pvp",15,MAX(0.1,Skills!D13-IF(Skills!E13=TRUE,0.5,0))),0)</f>
        <v/>
      </c>
      <c r="R1384">
        <f>IF(AND(Inputs!$B$39&lt;&gt;"pvp",Inputs!$B$44&gt;0),IF(MAX(0,Inputs!$B$44-B1416)&lt;=0,0,(INT(MAX(0,Inputs!$B$44-B1416)/IF(Inputs!$B$39="pvp",15,MAX(0.1,Skills!D13-IF(Skills!E13=TRUE,0.5,0))))+1)),0)</f>
        <v/>
      </c>
      <c r="S1384">
        <f>IFERROR(O1384/N1384,0)</f>
        <v/>
      </c>
      <c r="T1384">
        <f>IF(C1384,(H1384*N1384*IF(AND(Inputs!$B$39&lt;&gt;"pvp",Inputs!$B$44&gt;0),((Skills!G13*((R1384-1)*IF(Skills!H13&gt;0,Skills!I13/Skills!H13,1)+IF(Skills!H13&gt;0,MIN(Skills!I13,MAX(0,MAX(0,Inputs!$B$44-B1416)-((R1384-1)*IF(Inputs!$B$39="pvp",15,MAX(0.1,Skills!D13-IF(Skills!E13=TRUE,0.5,0))))))/Skills!H13,1)))/Inputs!$B$44),G1384*Q1384))*IF(Inputs!$B$39="pvp",1,1+(Inputs!$B$20+((C1398=TRUE)*(F1398-Calc!F27))+Skills!P13+B1412)/100),0)</f>
        <v/>
      </c>
      <c r="V1384">
        <f>IF(C1384,(H1384*N1384*IF(AND(Inputs!$B$39&lt;&gt;"pvp",Inputs!$B$44&gt;0),((Skills!G13*((R1384-1)*IF(Skills!H13&gt;0,Skills!I13/Skills!H13,1)+IF(Skills!H13&gt;0,MIN(Skills!I13,MAX(0,MAX(0,Inputs!$B$44-B1416)-((R1384-1)*IF(Inputs!$B$39="pvp",15,MAX(0.1,Skills!D13-IF(Skills!E13=TRUE,0.5,0))))))/Skills!H13,1)))/Inputs!$B$44),G1384*Q1384))*IF(Inputs!$B$39="pvp",1,(1+(Inputs!$B$21+Skills!Q13+B1412)/100)*(MIN(Skills!W13,Inputs!$B$37))),0)</f>
        <v/>
      </c>
    </row>
    <row r="1385">
      <c r="A1385">
        <f>Skills!A14</f>
        <v/>
      </c>
      <c r="B1385">
        <f>Skills!B14</f>
        <v/>
      </c>
      <c r="C1385">
        <f>Inputs!$B$3&gt;=105</f>
        <v/>
      </c>
      <c r="D1385">
        <f>IF(Skills!C14=1,60+Inputs!$B$25+Inputs!$B$29,IF(Skills!C14=2,90+Inputs!$B$26+Inputs!$B$29,IF(Skills!C14=3,120+Inputs!$B$27+Inputs!$B$29,MAX(0,(Inputs!$B$3-100)*3)+Inputs!$B$28+Inputs!$B$29)))</f>
        <v/>
      </c>
      <c r="E1385">
        <f>INDEX(FactorTable!$B$2:$Y$301, MATCH(ROUND(MIN(300,MAX(1,D1385)),0), FactorTable!$A$2:$A$301,0), Skills!M14+1)</f>
        <v/>
      </c>
      <c r="F1385">
        <f>IF(Skills!N14=TRUE,(Skills!L14/10)*(E1385/1000),Skills!L14/10)+Skills!O14</f>
        <v/>
      </c>
      <c r="G1385">
        <f>Calc!G14</f>
        <v/>
      </c>
      <c r="H1385">
        <f>Calc!H14</f>
        <v/>
      </c>
      <c r="I1385">
        <f>IF(Skills!AA14&lt;&gt;"",1+(Skills!AA14/10)*(U1374/1000)/100,1)</f>
        <v/>
      </c>
      <c r="J1385">
        <f>((Inputs!$B$6*(1+Inputs!$B$7/100))+(((Inputs!$B$12*(1+Inputs!$B$13/100))-(Inputs!$B$12*(1+Inputs!$B$13/100)))+0.25*(Inputs!$B$14-Inputs!$B$14))*(1+Inputs!$B$7/100))*(F1385/100)</f>
        <v/>
      </c>
      <c r="K1385">
        <f>J1385*(1+((Inputs!$B$12*(1+Inputs!$B$13/100))*0.01+Inputs!$B$14*0.0025)/100)*(1+Inputs!$B$15/100)*(1+Inputs!$B$16/100)*(5000/(6000+Inputs!$B$43*(1-Inputs!$B$19/100)))*(1+(Inputs!$B$24+((C1401=TRUE)*(F1401-Calc!F30)))/100)*(1+Skills!R14/100)*(1+(IF(Skills!A14="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1385)</f>
        <v/>
      </c>
      <c r="L1385">
        <f>K1385*(MIN(Inputs!$B$22+((C1395=TRUE)*(F1395-Calc!F24)),Inputs!$B$23)/100+Inputs!$B$23/100)/2</f>
        <v/>
      </c>
      <c r="M1385">
        <f>L1385*(1+(Inputs!$B$10+((C1397=TRUE)*(F1397-Calc!F26))+B1414)/100)</f>
        <v/>
      </c>
      <c r="N1385">
        <f>L1385*(1-MIN((Inputs!$B$9+((C1396=TRUE)*(F1396-Calc!F25))+B1411),100)/100)+M1385*(MIN((Inputs!$B$9+((C1396=TRUE)*(F1396-Calc!F25))+B1411),100)/100)</f>
        <v/>
      </c>
      <c r="O1385">
        <f>(1-Summary!$B$55)*T1385+Summary!$B$55*V1385</f>
        <v/>
      </c>
      <c r="P1385">
        <f>IF(B1415=0,0,O1385/B1415)</f>
        <v/>
      </c>
      <c r="Q1385">
        <f>IFERROR(1/IF(Inputs!$B$39="pvp",15,MAX(0.1,Skills!D14-IF(Skills!E14=TRUE,0.5,0))),0)</f>
        <v/>
      </c>
      <c r="R1385">
        <f>IF(AND(Inputs!$B$39&lt;&gt;"pvp",Inputs!$B$44&gt;0),IF(MAX(0,Inputs!$B$44-B1416)&lt;=0,0,(INT(MAX(0,Inputs!$B$44-B1416)/IF(Inputs!$B$39="pvp",15,MAX(0.1,Skills!D14-IF(Skills!E14=TRUE,0.5,0))))+1)),0)</f>
        <v/>
      </c>
      <c r="S1385">
        <f>IFERROR(O1385/N1385,0)</f>
        <v/>
      </c>
      <c r="T1385">
        <f>IF(C1385,(H1385*N1385*IF(AND(Inputs!$B$39&lt;&gt;"pvp",Inputs!$B$44&gt;0),((Skills!G14*((R1385-1)*IF(Skills!H14&gt;0,Skills!I14/Skills!H14,1)+IF(Skills!H14&gt;0,MIN(Skills!I14,MAX(0,MAX(0,Inputs!$B$44-B1416)-((R1385-1)*IF(Inputs!$B$39="pvp",15,MAX(0.1,Skills!D14-IF(Skills!E14=TRUE,0.5,0))))))/Skills!H14,1)))/Inputs!$B$44),G1385*Q1385))*IF(Inputs!$B$39="pvp",1,1+(Inputs!$B$20+((C1398=TRUE)*(F1398-Calc!F27))+Skills!P14+B1412)/100),0)</f>
        <v/>
      </c>
      <c r="V1385">
        <f>IF(C1385,(H1385*N1385*IF(AND(Inputs!$B$39&lt;&gt;"pvp",Inputs!$B$44&gt;0),((Skills!G14*((R1385-1)*IF(Skills!H14&gt;0,Skills!I14/Skills!H14,1)+IF(Skills!H14&gt;0,MIN(Skills!I14,MAX(0,MAX(0,Inputs!$B$44-B1416)-((R1385-1)*IF(Inputs!$B$39="pvp",15,MAX(0.1,Skills!D14-IF(Skills!E14=TRUE,0.5,0))))))/Skills!H14,1)))/Inputs!$B$44),G1385*Q1385))*IF(Inputs!$B$39="pvp",1,(1+(Inputs!$B$21+Skills!Q14+B1412)/100)*(MIN(Skills!W14,Inputs!$B$37))),0)</f>
        <v/>
      </c>
    </row>
    <row r="1386">
      <c r="A1386">
        <f>Skills!A15</f>
        <v/>
      </c>
      <c r="B1386">
        <f>Skills!B15</f>
        <v/>
      </c>
      <c r="C1386">
        <f>Inputs!$B$3&gt;=110</f>
        <v/>
      </c>
      <c r="D1386">
        <f>IF(Skills!C15=1,60+Inputs!$B$25+Inputs!$B$29,IF(Skills!C15=2,90+Inputs!$B$26+Inputs!$B$29,IF(Skills!C15=3,120+Inputs!$B$27+Inputs!$B$29,MAX(0,(Inputs!$B$3-100)*3)+Inputs!$B$28+Inputs!$B$29)))</f>
        <v/>
      </c>
      <c r="E1386">
        <f>INDEX(FactorTable!$B$2:$Y$301, MATCH(ROUND(MIN(300,MAX(1,D1386)),0), FactorTable!$A$2:$A$301,0), Skills!M15+1)</f>
        <v/>
      </c>
      <c r="F1386">
        <f>IF(Skills!N15=TRUE,(Skills!L15/10)*(E1386/1000),Skills!L15/10)+Skills!O15</f>
        <v/>
      </c>
      <c r="G1386">
        <f>Calc!G15</f>
        <v/>
      </c>
      <c r="H1386">
        <f>Calc!H15</f>
        <v/>
      </c>
      <c r="I1386">
        <f>IF(Skills!AA15&lt;&gt;"",1+(Skills!AA15/10)*(U1374/1000)/100,1)</f>
        <v/>
      </c>
      <c r="J1386" t="inlineStr"/>
      <c r="K1386" t="inlineStr"/>
      <c r="L1386" t="inlineStr"/>
      <c r="M1386" t="inlineStr"/>
      <c r="N1386" t="inlineStr"/>
      <c r="O1386">
        <f>(1-Summary!$B$55)*T1386+Summary!$B$55*V1386</f>
        <v/>
      </c>
      <c r="P1386">
        <f>IF(B1415=0,0,O1386/B1415)</f>
        <v/>
      </c>
      <c r="Q1386">
        <f>IFERROR(1/IF(Inputs!$B$39="pvp",15,MAX(0.1,Skills!D15-IF(Skills!E15=TRUE,0.5,0))),0)</f>
        <v/>
      </c>
      <c r="R1386">
        <f>IF(AND(Inputs!$B$39&lt;&gt;"pvp",Inputs!$B$44&gt;0),IF(Inputs!$B$44&lt;=0,0,(INT(Inputs!$B$44/IF(Inputs!$B$39="pvp",15,MAX(0.1,Skills!D15-IF(Skills!E15=TRUE,0.5,0))))+1)),0)</f>
        <v/>
      </c>
      <c r="S1386">
        <f>IFERROR(O1386/N1386,0)</f>
        <v/>
      </c>
      <c r="T1386" t="n">
        <v>0</v>
      </c>
      <c r="V1386" t="n">
        <v>0</v>
      </c>
    </row>
    <row r="1387">
      <c r="A1387">
        <f>Skills!A16</f>
        <v/>
      </c>
      <c r="B1387">
        <f>Skills!B16</f>
        <v/>
      </c>
      <c r="C1387">
        <f>Inputs!$B$3&gt;=110</f>
        <v/>
      </c>
      <c r="D1387">
        <f>IF(Skills!C16=1,60+Inputs!$B$25+Inputs!$B$29,IF(Skills!C16=2,90+Inputs!$B$26+Inputs!$B$29,IF(Skills!C16=3,120+Inputs!$B$27+Inputs!$B$29,MAX(0,(Inputs!$B$3-100)*3)+Inputs!$B$28+Inputs!$B$29)))</f>
        <v/>
      </c>
      <c r="E1387">
        <f>INDEX(FactorTable!$B$2:$Y$301, MATCH(ROUND(MIN(300,MAX(1,D1387)),0), FactorTable!$A$2:$A$301,0), Skills!M16+1)</f>
        <v/>
      </c>
      <c r="F1387">
        <f>IF(Skills!N16=TRUE,(Skills!L16/10)*(E1387/1000),Skills!L16/10)+Skills!O16</f>
        <v/>
      </c>
      <c r="G1387">
        <f>Calc!G16</f>
        <v/>
      </c>
      <c r="H1387">
        <f>Calc!H16</f>
        <v/>
      </c>
      <c r="I1387">
        <f>IF(Skills!AA16&lt;&gt;"",1+(Skills!AA16/10)*(U1374/1000)/100,1)</f>
        <v/>
      </c>
      <c r="J1387" t="inlineStr"/>
      <c r="K1387" t="inlineStr"/>
      <c r="L1387" t="inlineStr"/>
      <c r="M1387" t="inlineStr"/>
      <c r="N1387" t="inlineStr"/>
      <c r="O1387">
        <f>(1-Summary!$B$55)*T1387+Summary!$B$55*V1387</f>
        <v/>
      </c>
      <c r="P1387">
        <f>IF(B1415=0,0,O1387/B1415)</f>
        <v/>
      </c>
      <c r="Q1387">
        <f>IFERROR(1/IF(Inputs!$B$39="pvp",15,MAX(0.1,Skills!D16-IF(Skills!E16=TRUE,0.5,0))),0)</f>
        <v/>
      </c>
      <c r="R1387">
        <f>IF(AND(Inputs!$B$39&lt;&gt;"pvp",Inputs!$B$44&gt;0),IF(Inputs!$B$44&lt;=0,0,(INT(Inputs!$B$44/IF(Inputs!$B$39="pvp",15,MAX(0.1,Skills!D16-IF(Skills!E16=TRUE,0.5,0))))+1)),0)</f>
        <v/>
      </c>
      <c r="S1387">
        <f>IFERROR(O1387/N1387,0)</f>
        <v/>
      </c>
      <c r="T1387" t="n">
        <v>0</v>
      </c>
      <c r="V1387" t="n">
        <v>0</v>
      </c>
    </row>
    <row r="1388">
      <c r="A1388">
        <f>Skills!A17</f>
        <v/>
      </c>
      <c r="B1388">
        <f>Skills!B17</f>
        <v/>
      </c>
      <c r="C1388">
        <f>Inputs!$B$3&gt;=115</f>
        <v/>
      </c>
      <c r="D1388">
        <f>IF(Skills!C17=1,60+Inputs!$B$25+Inputs!$B$29,IF(Skills!C17=2,90+Inputs!$B$26+Inputs!$B$29,IF(Skills!C17=3,120+Inputs!$B$27+Inputs!$B$29,MAX(0,(Inputs!$B$3-100)*3)+Inputs!$B$28+Inputs!$B$29)))</f>
        <v/>
      </c>
      <c r="E1388">
        <f>INDEX(FactorTable!$B$2:$Y$301, MATCH(ROUND(MIN(300,MAX(1,D1388)),0), FactorTable!$A$2:$A$301,0), Skills!M17+1)</f>
        <v/>
      </c>
      <c r="F1388">
        <f>IF(Skills!N17=TRUE,(Skills!L17/10)*(E1388/1000),Skills!L17/10)+Skills!O17</f>
        <v/>
      </c>
      <c r="G1388">
        <f>Calc!G17</f>
        <v/>
      </c>
      <c r="H1388">
        <f>Calc!H17</f>
        <v/>
      </c>
      <c r="I1388">
        <f>IF(Skills!AA17&lt;&gt;"",1+(Skills!AA17/10)*(U1374/1000)/100,1)</f>
        <v/>
      </c>
      <c r="J1388">
        <f>((Inputs!$B$6*(1+Inputs!$B$7/100))+(((Inputs!$B$12*(1+Inputs!$B$13/100))-(Inputs!$B$12*(1+Inputs!$B$13/100)))+0.25*(Inputs!$B$14-Inputs!$B$14))*(1+Inputs!$B$7/100))*(F1388/100)</f>
        <v/>
      </c>
      <c r="K1388">
        <f>J1388*(1+((Inputs!$B$12*(1+Inputs!$B$13/100))*0.01+Inputs!$B$14*0.0025)/100)*(1+Inputs!$B$15/100)*(1+Inputs!$B$16/100)*(5000/(6000+Inputs!$B$43*(1-Inputs!$B$19/100)))*(1+(Inputs!$B$24+((C1401=TRUE)*(F1401-Calc!F30)))/100)*(1+Skills!R17/100)*(1+(IF(Skills!A17="SHOWDOWN",Inputs!$B$17+((C1394=TRUE)*(F1394-Calc!F23)),Inputs!$B$18+((C1400=TRUE)*(F1400-Calc!F29))))/100)*(((1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B1413*I1388)</f>
        <v/>
      </c>
      <c r="L1388">
        <f>K1388*(MIN(Inputs!$B$22+((C1395=TRUE)*(F1395-Calc!F24)),Inputs!$B$23)/100+Inputs!$B$23/100)/2</f>
        <v/>
      </c>
      <c r="M1388">
        <f>L1388*(1+(Inputs!$B$10+((C1397=TRUE)*(F1397-Calc!F26))+B1414)/100)</f>
        <v/>
      </c>
      <c r="N1388">
        <f>L1388*(1-MIN((Inputs!$B$9+((C1396=TRUE)*(F1396-Calc!F25))+B1411),100)/100)+M1388*(MIN((Inputs!$B$9+((C1396=TRUE)*(F1396-Calc!F25))+B1411),100)/100)</f>
        <v/>
      </c>
      <c r="O1388">
        <f>(1-Summary!$B$55)*T1388+Summary!$B$55*V1388</f>
        <v/>
      </c>
      <c r="P1388">
        <f>IF(B1415=0,0,O1388/B1415)</f>
        <v/>
      </c>
      <c r="Q1388" t="n">
        <v>0</v>
      </c>
      <c r="R1388" t="n">
        <v>0</v>
      </c>
      <c r="S1388">
        <f>IFERROR(O1388/N1388,0)</f>
        <v/>
      </c>
      <c r="T1388">
        <f>IF(C1388,(Inputs!$B$38*0.2*N1388)*IF(Inputs!$B$39="pvp",1,1+(Inputs!$B$20+((C1398=TRUE)*(F1398-Calc!F27))+Skills!P17+B1412)/100),0)</f>
        <v/>
      </c>
      <c r="V1388">
        <f>IF(C1388,(Inputs!$B$38*0.2*N1388)*IF(Inputs!$B$39="pvp",1,(1+(Inputs!$B$21+Skills!Q17+B1412)/100)*(MIN(Skills!W17,Inputs!$B$37))),0)</f>
        <v/>
      </c>
    </row>
    <row r="1389">
      <c r="A1389">
        <f>Skills!A18</f>
        <v/>
      </c>
      <c r="B1389">
        <f>Skills!B18</f>
        <v/>
      </c>
      <c r="C1389">
        <f>Inputs!$B$3&gt;=115</f>
        <v/>
      </c>
      <c r="D1389">
        <f>IF(Skills!C18=1,60+Inputs!$B$25+Inputs!$B$29,IF(Skills!C18=2,90+Inputs!$B$26+Inputs!$B$29,IF(Skills!C18=3,120+Inputs!$B$27+Inputs!$B$29,MAX(0,(Inputs!$B$3-100)*3)+Inputs!$B$28+Inputs!$B$29)))</f>
        <v/>
      </c>
      <c r="E1389">
        <f>INDEX(FactorTable!$B$2:$Y$301, MATCH(ROUND(MIN(300,MAX(1,D1389)),0), FactorTable!$A$2:$A$301,0), Skills!M18+1)</f>
        <v/>
      </c>
      <c r="F1389">
        <f>IF(Skills!N18=TRUE,(Skills!L18/10)*(E1389/1000),Skills!L18/10)+Skills!O18</f>
        <v/>
      </c>
      <c r="G1389">
        <f>Calc!G18</f>
        <v/>
      </c>
      <c r="H1389">
        <f>Calc!H18</f>
        <v/>
      </c>
      <c r="I1389">
        <f>IF(Skills!AA18&lt;&gt;"",1+(Skills!AA18/10)*(U1374/1000)/100,1)</f>
        <v/>
      </c>
      <c r="J1389" t="inlineStr"/>
      <c r="K1389" t="inlineStr"/>
      <c r="L1389" t="inlineStr"/>
      <c r="M1389" t="inlineStr"/>
      <c r="N1389" t="inlineStr"/>
      <c r="O1389">
        <f>(1-Summary!$B$55)*T1389+Summary!$B$55*V1389</f>
        <v/>
      </c>
      <c r="P1389">
        <f>IF(B1415=0,0,O1389/B1415)</f>
        <v/>
      </c>
      <c r="Q1389" t="n">
        <v>0</v>
      </c>
      <c r="R1389" t="n">
        <v>0</v>
      </c>
      <c r="S1389">
        <f>IFERROR(O1389/N1389,0)</f>
        <v/>
      </c>
      <c r="T1389" t="n">
        <v>0</v>
      </c>
      <c r="V1389" t="n">
        <v>0</v>
      </c>
    </row>
    <row r="1390">
      <c r="A1390">
        <f>Skills!A19</f>
        <v/>
      </c>
      <c r="B1390">
        <f>Skills!B19</f>
        <v/>
      </c>
      <c r="C1390">
        <f>TRUE</f>
        <v/>
      </c>
      <c r="D1390">
        <f>IF(Skills!C19=1,60+Inputs!$B$25+Inputs!$B$29,IF(Skills!C19=2,90+Inputs!$B$26+Inputs!$B$29,IF(Skills!C19=3,120+Inputs!$B$27+Inputs!$B$29,MAX(0,(Inputs!$B$3-100)*3)+Inputs!$B$28+Inputs!$B$29)))</f>
        <v/>
      </c>
      <c r="E1390">
        <f>INDEX(FactorTable!$B$2:$Y$301, MATCH(ROUND(MIN(300,MAX(1,D1390)),0), FactorTable!$A$2:$A$301,0), Skills!M19+1)</f>
        <v/>
      </c>
      <c r="F1390">
        <f>IF(Skills!N19=TRUE,(Skills!L19/10)*(E1390/1000),Skills!L19/10)+Skills!O19</f>
        <v/>
      </c>
      <c r="G1390">
        <f>Calc!G19</f>
        <v/>
      </c>
      <c r="H1390">
        <f>Calc!H19</f>
        <v/>
      </c>
      <c r="I1390">
        <f>IF(Skills!AA19&lt;&gt;"",1+(Skills!AA19/10)*(U1374/1000)/100,1)</f>
        <v/>
      </c>
      <c r="J1390" t="inlineStr"/>
      <c r="K1390" t="inlineStr"/>
      <c r="L1390" t="inlineStr"/>
      <c r="M1390" t="inlineStr"/>
      <c r="N1390" t="inlineStr"/>
      <c r="O1390">
        <f>(1-Summary!$B$55)*T1390+Summary!$B$55*V1390</f>
        <v/>
      </c>
      <c r="P1390">
        <f>IF(B1415=0,0,O1390/B1415)</f>
        <v/>
      </c>
      <c r="Q1390">
        <f>IFERROR(1/IF(Inputs!$B$39="pvp",15,MAX(0.1,Skills!D19-IF(Skills!E19=TRUE,0.5,0))),0)</f>
        <v/>
      </c>
      <c r="R1390">
        <f>IF(AND(Inputs!$B$39&lt;&gt;"pvp",Inputs!$B$44&gt;0),IF(Inputs!$B$44&lt;=0,0,(INT(Inputs!$B$44/IF(Inputs!$B$39="pvp",15,MAX(0.1,Skills!D19-IF(Skills!E19=TRUE,0.5,0))))+1)),0)</f>
        <v/>
      </c>
      <c r="S1390">
        <f>IFERROR(O1390/N1390,0)</f>
        <v/>
      </c>
      <c r="T1390" t="n">
        <v>0</v>
      </c>
      <c r="V1390" t="n">
        <v>0</v>
      </c>
    </row>
    <row r="1391">
      <c r="A1391">
        <f>Skills!A20</f>
        <v/>
      </c>
      <c r="B1391">
        <f>Skills!B20</f>
        <v/>
      </c>
      <c r="C1391">
        <f>Inputs!$B$3&gt;=15</f>
        <v/>
      </c>
      <c r="D1391">
        <f>IF(Skills!C20=1,60+Inputs!$B$25+Inputs!$B$29,IF(Skills!C20=2,90+Inputs!$B$26+Inputs!$B$29,IF(Skills!C20=3,120+Inputs!$B$27+Inputs!$B$29,MAX(0,(Inputs!$B$3-100)*3)+Inputs!$B$28+Inputs!$B$29)))</f>
        <v/>
      </c>
      <c r="E1391">
        <f>INDEX(FactorTable!$B$2:$Y$301, MATCH(ROUND(MIN(300,MAX(1,D1391)),0), FactorTable!$A$2:$A$301,0), Skills!M20+1)</f>
        <v/>
      </c>
      <c r="F1391">
        <f>IF(Skills!N20=TRUE,(Skills!L20/10)*(E1391/1000),Skills!L20/10)+Skills!O20</f>
        <v/>
      </c>
      <c r="G1391">
        <f>Calc!G20</f>
        <v/>
      </c>
      <c r="H1391">
        <f>Calc!H20</f>
        <v/>
      </c>
      <c r="I1391">
        <f>IF(Skills!AA20&lt;&gt;"",1+(Skills!AA20/10)*(U1374/1000)/100,1)</f>
        <v/>
      </c>
      <c r="J1391" t="inlineStr"/>
      <c r="K1391" t="inlineStr"/>
      <c r="L1391" t="inlineStr"/>
      <c r="M1391" t="inlineStr"/>
      <c r="N1391" t="inlineStr"/>
      <c r="O1391">
        <f>(1-Summary!$B$55)*T1391+Summary!$B$55*V1391</f>
        <v/>
      </c>
      <c r="P1391">
        <f>IF(B1415=0,0,O1391/B1415)</f>
        <v/>
      </c>
      <c r="Q1391">
        <f>IFERROR(1/IF(Inputs!$B$39="pvp",15,MAX(0.1,Skills!D20-IF(Skills!E20=TRUE,0.5,0))),0)</f>
        <v/>
      </c>
      <c r="R1391">
        <f>IF(AND(Inputs!$B$39&lt;&gt;"pvp",Inputs!$B$44&gt;0),IF(Inputs!$B$44&lt;=0,0,(INT(Inputs!$B$44/IF(Inputs!$B$39="pvp",15,MAX(0.1,Skills!D20-IF(Skills!E20=TRUE,0.5,0))))+1)),0)</f>
        <v/>
      </c>
      <c r="S1391">
        <f>IFERROR(O1391/N1391,0)</f>
        <v/>
      </c>
      <c r="T1391" t="n">
        <v>0</v>
      </c>
      <c r="V1391" t="n">
        <v>0</v>
      </c>
    </row>
    <row r="1392">
      <c r="A1392">
        <f>Skills!A21</f>
        <v/>
      </c>
      <c r="B1392">
        <f>Skills!B21</f>
        <v/>
      </c>
      <c r="C1392">
        <f>Inputs!$B$3&gt;=15</f>
        <v/>
      </c>
      <c r="D1392">
        <f>IF(Skills!C21=1,60+Inputs!$B$25+Inputs!$B$29,IF(Skills!C21=2,90+Inputs!$B$26+Inputs!$B$29,IF(Skills!C21=3,120+Inputs!$B$27+Inputs!$B$29,MAX(0,(Inputs!$B$3-100)*3)+Inputs!$B$28+Inputs!$B$29)))</f>
        <v/>
      </c>
      <c r="E1392">
        <f>INDEX(FactorTable!$B$2:$Y$301, MATCH(ROUND(MIN(300,MAX(1,D1392)),0), FactorTable!$A$2:$A$301,0), Skills!M21+1)</f>
        <v/>
      </c>
      <c r="F1392">
        <f>IF(Skills!N21=TRUE,(Skills!L21/10)*(E1392/1000),Skills!L21/10)+Skills!O21</f>
        <v/>
      </c>
      <c r="G1392">
        <f>Calc!G21</f>
        <v/>
      </c>
      <c r="H1392">
        <f>Calc!H21</f>
        <v/>
      </c>
      <c r="I1392">
        <f>IF(Skills!AA21&lt;&gt;"",1+(Skills!AA21/10)*(U1374/1000)/100,1)</f>
        <v/>
      </c>
      <c r="J1392" t="inlineStr"/>
      <c r="K1392" t="inlineStr"/>
      <c r="L1392" t="inlineStr"/>
      <c r="M1392" t="inlineStr"/>
      <c r="N1392" t="inlineStr"/>
      <c r="O1392">
        <f>(1-Summary!$B$55)*T1392+Summary!$B$55*V1392</f>
        <v/>
      </c>
      <c r="P1392">
        <f>IF(B1415=0,0,O1392/B1415)</f>
        <v/>
      </c>
      <c r="Q1392">
        <f>IFERROR(1/IF(Inputs!$B$39="pvp",15,MAX(0.1,Skills!D21-IF(Skills!E21=TRUE,0.5,0))),0)</f>
        <v/>
      </c>
      <c r="R1392">
        <f>IF(AND(Inputs!$B$39&lt;&gt;"pvp",Inputs!$B$44&gt;0),IF(Inputs!$B$44&lt;=0,0,(INT(Inputs!$B$44/IF(Inputs!$B$39="pvp",15,MAX(0.1,Skills!D21-IF(Skills!E21=TRUE,0.5,0))))+1)),0)</f>
        <v/>
      </c>
      <c r="S1392">
        <f>IFERROR(O1392/N1392,0)</f>
        <v/>
      </c>
      <c r="T1392" t="n">
        <v>0</v>
      </c>
      <c r="V1392" t="n">
        <v>0</v>
      </c>
    </row>
    <row r="1393">
      <c r="A1393">
        <f>Skills!A22</f>
        <v/>
      </c>
      <c r="B1393">
        <f>Skills!B22</f>
        <v/>
      </c>
      <c r="C1393">
        <f>Inputs!$B$3&gt;=33</f>
        <v/>
      </c>
      <c r="D1393">
        <f>IF(Skills!C22=1,60+Inputs!$B$25+Inputs!$B$29,IF(Skills!C22=2,90+Inputs!$B$26+Inputs!$B$29,IF(Skills!C22=3,120+Inputs!$B$27+Inputs!$B$29,MAX(0,(Inputs!$B$3-100)*3)+Inputs!$B$28+Inputs!$B$29)))</f>
        <v/>
      </c>
      <c r="E1393">
        <f>INDEX(FactorTable!$B$2:$Y$301, MATCH(ROUND(MIN(300,MAX(1,D1393)),0), FactorTable!$A$2:$A$301,0), Skills!M22+1)</f>
        <v/>
      </c>
      <c r="F1393">
        <f>IF(Skills!N22=TRUE,(Skills!L22/10)*(E1393/1000),Skills!L22/10)+Skills!O22</f>
        <v/>
      </c>
      <c r="G1393">
        <f>Calc!G22</f>
        <v/>
      </c>
      <c r="H1393">
        <f>Calc!H22</f>
        <v/>
      </c>
      <c r="I1393">
        <f>IF(Skills!AA22&lt;&gt;"",1+(Skills!AA22/10)*(U1374/1000)/100,1)</f>
        <v/>
      </c>
      <c r="J1393" t="inlineStr"/>
      <c r="K1393" t="inlineStr"/>
      <c r="L1393" t="inlineStr"/>
      <c r="M1393" t="inlineStr"/>
      <c r="N1393" t="inlineStr"/>
      <c r="O1393">
        <f>(1-Summary!$B$55)*T1393+Summary!$B$55*V1393</f>
        <v/>
      </c>
      <c r="P1393">
        <f>IF(B1415=0,0,O1393/B1415)</f>
        <v/>
      </c>
      <c r="Q1393" t="n">
        <v>0</v>
      </c>
      <c r="R1393" t="n">
        <v>0</v>
      </c>
      <c r="S1393">
        <f>IFERROR(O1393/N1393,0)</f>
        <v/>
      </c>
      <c r="T1393" t="n">
        <v>0</v>
      </c>
      <c r="V1393" t="n">
        <v>0</v>
      </c>
    </row>
    <row r="1394">
      <c r="A1394">
        <f>Skills!A23</f>
        <v/>
      </c>
      <c r="B1394">
        <f>Skills!B23</f>
        <v/>
      </c>
      <c r="C1394">
        <f>Inputs!$B$3&gt;=38</f>
        <v/>
      </c>
      <c r="D1394">
        <f>IF(Skills!C23=1,60+Inputs!$B$25+Inputs!$B$29,IF(Skills!C23=2,90+Inputs!$B$26+Inputs!$B$29,IF(Skills!C23=3,120+Inputs!$B$27+Inputs!$B$29,MAX(0,(Inputs!$B$3-100)*3)+Inputs!$B$28+Inputs!$B$29)))</f>
        <v/>
      </c>
      <c r="E1394">
        <f>INDEX(FactorTable!$B$2:$Y$301, MATCH(ROUND(MIN(300,MAX(1,D1394)),0), FactorTable!$A$2:$A$301,0), Skills!M23+1)</f>
        <v/>
      </c>
      <c r="F1394">
        <f>IF(Skills!N23=TRUE,(Skills!L23/10)*(E1394/1000),Skills!L23/10)+Skills!O23</f>
        <v/>
      </c>
      <c r="G1394">
        <f>Calc!G23</f>
        <v/>
      </c>
      <c r="H1394">
        <f>Calc!H23</f>
        <v/>
      </c>
      <c r="I1394">
        <f>IF(Skills!AA23&lt;&gt;"",1+(Skills!AA23/10)*(U1374/1000)/100,1)</f>
        <v/>
      </c>
      <c r="J1394" t="inlineStr"/>
      <c r="K1394" t="inlineStr"/>
      <c r="L1394" t="inlineStr"/>
      <c r="M1394" t="inlineStr"/>
      <c r="N1394" t="inlineStr"/>
      <c r="O1394">
        <f>(1-Summary!$B$55)*T1394+Summary!$B$55*V1394</f>
        <v/>
      </c>
      <c r="P1394">
        <f>IF(B1415=0,0,O1394/B1415)</f>
        <v/>
      </c>
      <c r="Q1394" t="n">
        <v>0</v>
      </c>
      <c r="R1394" t="n">
        <v>0</v>
      </c>
      <c r="S1394">
        <f>IFERROR(O1394/N1394,0)</f>
        <v/>
      </c>
      <c r="T1394" t="n">
        <v>0</v>
      </c>
      <c r="V1394" t="n">
        <v>0</v>
      </c>
    </row>
    <row r="1395">
      <c r="A1395">
        <f>Skills!A24</f>
        <v/>
      </c>
      <c r="B1395">
        <f>Skills!B24</f>
        <v/>
      </c>
      <c r="C1395">
        <f>Inputs!$B$3&gt;=40</f>
        <v/>
      </c>
      <c r="D1395">
        <f>IF(Skills!C24=1,60+Inputs!$B$25+Inputs!$B$29,IF(Skills!C24=2,90+Inputs!$B$26+Inputs!$B$29,IF(Skills!C24=3,120+Inputs!$B$27+Inputs!$B$29,MAX(0,(Inputs!$B$3-100)*3)+Inputs!$B$28+Inputs!$B$29)))</f>
        <v/>
      </c>
      <c r="E1395">
        <f>INDEX(FactorTable!$B$2:$Y$301, MATCH(ROUND(MIN(300,MAX(1,D1395)),0), FactorTable!$A$2:$A$301,0), Skills!M24+1)</f>
        <v/>
      </c>
      <c r="F1395">
        <f>IF(Skills!N24=TRUE,(Skills!L24/10)*(E1395/1000),Skills!L24/10)+Skills!O24</f>
        <v/>
      </c>
      <c r="G1395">
        <f>Calc!G24</f>
        <v/>
      </c>
      <c r="H1395">
        <f>Calc!H24</f>
        <v/>
      </c>
      <c r="I1395">
        <f>IF(Skills!AA24&lt;&gt;"",1+(Skills!AA24/10)*(U1374/1000)/100,1)</f>
        <v/>
      </c>
      <c r="J1395" t="inlineStr"/>
      <c r="K1395" t="inlineStr"/>
      <c r="L1395" t="inlineStr"/>
      <c r="M1395" t="inlineStr"/>
      <c r="N1395" t="inlineStr"/>
      <c r="O1395">
        <f>(1-Summary!$B$55)*T1395+Summary!$B$55*V1395</f>
        <v/>
      </c>
      <c r="P1395">
        <f>IF(B1415=0,0,O1395/B1415)</f>
        <v/>
      </c>
      <c r="Q1395" t="n">
        <v>0</v>
      </c>
      <c r="R1395" t="n">
        <v>0</v>
      </c>
      <c r="S1395">
        <f>IFERROR(O1395/N1395,0)</f>
        <v/>
      </c>
      <c r="T1395" t="n">
        <v>0</v>
      </c>
      <c r="V1395" t="n">
        <v>0</v>
      </c>
    </row>
    <row r="1396">
      <c r="A1396">
        <f>Skills!A25</f>
        <v/>
      </c>
      <c r="B1396">
        <f>Skills!B25</f>
        <v/>
      </c>
      <c r="C1396">
        <f>Inputs!$B$3&gt;=45</f>
        <v/>
      </c>
      <c r="D1396">
        <f>IF(Skills!C25=1,60+Inputs!$B$25+Inputs!$B$29,IF(Skills!C25=2,90+Inputs!$B$26+Inputs!$B$29,IF(Skills!C25=3,120+Inputs!$B$27+Inputs!$B$29,MAX(0,(Inputs!$B$3-100)*3)+Inputs!$B$28+Inputs!$B$29)))</f>
        <v/>
      </c>
      <c r="E1396">
        <f>INDEX(FactorTable!$B$2:$Y$301, MATCH(ROUND(MIN(300,MAX(1,D1396)),0), FactorTable!$A$2:$A$301,0), Skills!M25+1)</f>
        <v/>
      </c>
      <c r="F1396">
        <f>IF(Skills!N25=TRUE,(Skills!L25/10)*(E1396/1000),Skills!L25/10)+Skills!O25</f>
        <v/>
      </c>
      <c r="G1396">
        <f>Calc!G25</f>
        <v/>
      </c>
      <c r="H1396">
        <f>Calc!H25</f>
        <v/>
      </c>
      <c r="I1396">
        <f>IF(Skills!AA25&lt;&gt;"",1+(Skills!AA25/10)*(U1374/1000)/100,1)</f>
        <v/>
      </c>
      <c r="J1396" t="inlineStr"/>
      <c r="K1396" t="inlineStr"/>
      <c r="L1396" t="inlineStr"/>
      <c r="M1396" t="inlineStr"/>
      <c r="N1396" t="inlineStr"/>
      <c r="O1396">
        <f>(1-Summary!$B$55)*T1396+Summary!$B$55*V1396</f>
        <v/>
      </c>
      <c r="P1396">
        <f>IF(B1415=0,0,O1396/B1415)</f>
        <v/>
      </c>
      <c r="Q1396" t="n">
        <v>0</v>
      </c>
      <c r="R1396" t="n">
        <v>0</v>
      </c>
      <c r="S1396">
        <f>IFERROR(O1396/N1396,0)</f>
        <v/>
      </c>
      <c r="T1396" t="n">
        <v>0</v>
      </c>
      <c r="V1396" t="n">
        <v>0</v>
      </c>
    </row>
    <row r="1397">
      <c r="A1397">
        <f>Skills!A26</f>
        <v/>
      </c>
      <c r="B1397">
        <f>Skills!B26</f>
        <v/>
      </c>
      <c r="C1397">
        <f>Inputs!$B$3&gt;=45</f>
        <v/>
      </c>
      <c r="D1397">
        <f>IF(Skills!C26=1,60+Inputs!$B$25+Inputs!$B$29,IF(Skills!C26=2,90+Inputs!$B$26+Inputs!$B$29,IF(Skills!C26=3,120+Inputs!$B$27+Inputs!$B$29,MAX(0,(Inputs!$B$3-100)*3)+Inputs!$B$28+Inputs!$B$29)))</f>
        <v/>
      </c>
      <c r="E1397">
        <f>INDEX(FactorTable!$B$2:$Y$301, MATCH(ROUND(MIN(300,MAX(1,D1397)),0), FactorTable!$A$2:$A$301,0), Skills!M26+1)</f>
        <v/>
      </c>
      <c r="F1397">
        <f>IF(Skills!N26=TRUE,(Skills!L26/10)*(E1397/1000),Skills!L26/10)+Skills!O26</f>
        <v/>
      </c>
      <c r="G1397">
        <f>Calc!G26</f>
        <v/>
      </c>
      <c r="H1397">
        <f>Calc!H26</f>
        <v/>
      </c>
      <c r="I1397">
        <f>IF(Skills!AA26&lt;&gt;"",1+(Skills!AA26/10)*(U1374/1000)/100,1)</f>
        <v/>
      </c>
      <c r="J1397" t="inlineStr"/>
      <c r="K1397" t="inlineStr"/>
      <c r="L1397" t="inlineStr"/>
      <c r="M1397" t="inlineStr"/>
      <c r="N1397" t="inlineStr"/>
      <c r="O1397">
        <f>(1-Summary!$B$55)*T1397+Summary!$B$55*V1397</f>
        <v/>
      </c>
      <c r="P1397">
        <f>IF(B1415=0,0,O1397/B1415)</f>
        <v/>
      </c>
      <c r="Q1397" t="n">
        <v>0</v>
      </c>
      <c r="R1397" t="n">
        <v>0</v>
      </c>
      <c r="S1397">
        <f>IFERROR(O1397/N1397,0)</f>
        <v/>
      </c>
      <c r="T1397" t="n">
        <v>0</v>
      </c>
      <c r="V1397" t="n">
        <v>0</v>
      </c>
    </row>
    <row r="1398">
      <c r="A1398">
        <f>Skills!A27</f>
        <v/>
      </c>
      <c r="B1398">
        <f>Skills!B27</f>
        <v/>
      </c>
      <c r="C1398">
        <f>Inputs!$B$3&gt;=72</f>
        <v/>
      </c>
      <c r="D1398">
        <f>IF(Skills!C27=1,60+Inputs!$B$25+Inputs!$B$29,IF(Skills!C27=2,90+Inputs!$B$26+Inputs!$B$29,IF(Skills!C27=3,120+Inputs!$B$27+Inputs!$B$29,MAX(0,(Inputs!$B$3-100)*3)+Inputs!$B$28+Inputs!$B$29)))</f>
        <v/>
      </c>
      <c r="E1398">
        <f>INDEX(FactorTable!$B$2:$Y$301, MATCH(ROUND(MIN(300,MAX(1,D1398)),0), FactorTable!$A$2:$A$301,0), Skills!M27+1)</f>
        <v/>
      </c>
      <c r="F1398">
        <f>IF(Skills!N27=TRUE,(Skills!L27/10)*(E1398/1000),Skills!L27/10)+Skills!O27</f>
        <v/>
      </c>
      <c r="G1398">
        <f>Calc!G27</f>
        <v/>
      </c>
      <c r="H1398">
        <f>Calc!H27</f>
        <v/>
      </c>
      <c r="I1398">
        <f>IF(Skills!AA27&lt;&gt;"",1+(Skills!AA27/10)*(U1374/1000)/100,1)</f>
        <v/>
      </c>
      <c r="J1398" t="inlineStr"/>
      <c r="K1398" t="inlineStr"/>
      <c r="L1398" t="inlineStr"/>
      <c r="M1398" t="inlineStr"/>
      <c r="N1398" t="inlineStr"/>
      <c r="O1398">
        <f>(1-Summary!$B$55)*T1398+Summary!$B$55*V1398</f>
        <v/>
      </c>
      <c r="P1398">
        <f>IF(B1415=0,0,O1398/B1415)</f>
        <v/>
      </c>
      <c r="Q1398" t="n">
        <v>0</v>
      </c>
      <c r="R1398" t="n">
        <v>0</v>
      </c>
      <c r="S1398">
        <f>IFERROR(O1398/N1398,0)</f>
        <v/>
      </c>
      <c r="T1398" t="n">
        <v>0</v>
      </c>
      <c r="V1398" t="n">
        <v>0</v>
      </c>
    </row>
    <row r="1399">
      <c r="A1399">
        <f>Skills!A28</f>
        <v/>
      </c>
      <c r="B1399">
        <f>Skills!B28</f>
        <v/>
      </c>
      <c r="C1399">
        <f>Inputs!$B$3&gt;=75</f>
        <v/>
      </c>
      <c r="D1399">
        <f>IF(Skills!C28=1,60+Inputs!$B$25+Inputs!$B$29,IF(Skills!C28=2,90+Inputs!$B$26+Inputs!$B$29,IF(Skills!C28=3,120+Inputs!$B$27+Inputs!$B$29,MAX(0,(Inputs!$B$3-100)*3)+Inputs!$B$28+Inputs!$B$29)))</f>
        <v/>
      </c>
      <c r="E1399">
        <f>INDEX(FactorTable!$B$2:$Y$301, MATCH(ROUND(MIN(300,MAX(1,D1399)),0), FactorTable!$A$2:$A$301,0), Skills!M28+1)</f>
        <v/>
      </c>
      <c r="F1399">
        <f>IF(Skills!N28=TRUE,(Skills!L28/10)*(E1399/1000),Skills!L28/10)+Skills!O28</f>
        <v/>
      </c>
      <c r="G1399">
        <f>Calc!G28</f>
        <v/>
      </c>
      <c r="H1399">
        <f>Calc!H28</f>
        <v/>
      </c>
      <c r="I1399">
        <f>IF(Skills!AA28&lt;&gt;"",1+(Skills!AA28/10)*(U1374/1000)/100,1)</f>
        <v/>
      </c>
      <c r="J1399" t="inlineStr"/>
      <c r="K1399" t="inlineStr"/>
      <c r="L1399" t="inlineStr"/>
      <c r="M1399" t="inlineStr"/>
      <c r="N1399" t="inlineStr"/>
      <c r="O1399">
        <f>(1-Summary!$B$55)*T1399+Summary!$B$55*V1399</f>
        <v/>
      </c>
      <c r="P1399">
        <f>IF(B1415=0,0,O1399/B1415)</f>
        <v/>
      </c>
      <c r="Q1399" t="n">
        <v>0</v>
      </c>
      <c r="R1399" t="n">
        <v>0</v>
      </c>
      <c r="S1399">
        <f>IFERROR(O1399/N1399,0)</f>
        <v/>
      </c>
      <c r="T1399" t="n">
        <v>0</v>
      </c>
      <c r="V1399" t="n">
        <v>0</v>
      </c>
    </row>
    <row r="1400">
      <c r="A1400">
        <f>Skills!A29</f>
        <v/>
      </c>
      <c r="B1400">
        <f>Skills!B29</f>
        <v/>
      </c>
      <c r="C1400">
        <f>Inputs!$B$3&gt;=120</f>
        <v/>
      </c>
      <c r="D1400">
        <f>IF(Skills!C29=1,60+Inputs!$B$25+Inputs!$B$29,IF(Skills!C29=2,90+Inputs!$B$26+Inputs!$B$29,IF(Skills!C29=3,120+Inputs!$B$27+Inputs!$B$29,MAX(0,(Inputs!$B$3-100)*3)+Inputs!$B$28+Inputs!$B$29)))</f>
        <v/>
      </c>
      <c r="E1400">
        <f>INDEX(FactorTable!$B$2:$Y$301, MATCH(ROUND(MIN(300,MAX(1,D1400)),0), FactorTable!$A$2:$A$301,0), Skills!M29+1)</f>
        <v/>
      </c>
      <c r="F1400">
        <f>IF(Skills!N29=TRUE,(Skills!L29/10)*(E1400/1000),Skills!L29/10)+Skills!O29</f>
        <v/>
      </c>
      <c r="G1400">
        <f>Calc!G29</f>
        <v/>
      </c>
      <c r="H1400">
        <f>Calc!H29</f>
        <v/>
      </c>
      <c r="I1400">
        <f>IF(Skills!AA29&lt;&gt;"",1+(Skills!AA29/10)*(U1374/1000)/100,1)</f>
        <v/>
      </c>
      <c r="J1400" t="inlineStr"/>
      <c r="K1400" t="inlineStr"/>
      <c r="L1400" t="inlineStr"/>
      <c r="M1400" t="inlineStr"/>
      <c r="N1400" t="inlineStr"/>
      <c r="O1400">
        <f>(1-Summary!$B$55)*T1400+Summary!$B$55*V1400</f>
        <v/>
      </c>
      <c r="P1400">
        <f>IF(B1415=0,0,O1400/B1415)</f>
        <v/>
      </c>
      <c r="Q1400" t="n">
        <v>0</v>
      </c>
      <c r="R1400" t="n">
        <v>0</v>
      </c>
      <c r="S1400">
        <f>IFERROR(O1400/N1400,0)</f>
        <v/>
      </c>
      <c r="T1400" t="n">
        <v>0</v>
      </c>
      <c r="V1400" t="n">
        <v>0</v>
      </c>
    </row>
    <row r="1401">
      <c r="A1401">
        <f>Skills!A30</f>
        <v/>
      </c>
      <c r="B1401">
        <f>Skills!B30</f>
        <v/>
      </c>
      <c r="C1401">
        <f>Inputs!$B$3&gt;=125</f>
        <v/>
      </c>
      <c r="D1401">
        <f>IF(Skills!C30=1,60+Inputs!$B$25+Inputs!$B$29,IF(Skills!C30=2,90+Inputs!$B$26+Inputs!$B$29,IF(Skills!C30=3,120+Inputs!$B$27+Inputs!$B$29,MAX(0,(Inputs!$B$3-100)*3)+Inputs!$B$28+Inputs!$B$29)))</f>
        <v/>
      </c>
      <c r="E1401">
        <f>INDEX(FactorTable!$B$2:$Y$301, MATCH(ROUND(MIN(300,MAX(1,D1401)),0), FactorTable!$A$2:$A$301,0), Skills!M30+1)</f>
        <v/>
      </c>
      <c r="F1401">
        <f>IF(Skills!N30=TRUE,(Skills!L30/10)*(E1401/1000),Skills!L30/10)+Skills!O30</f>
        <v/>
      </c>
      <c r="G1401">
        <f>Calc!G30</f>
        <v/>
      </c>
      <c r="H1401">
        <f>Calc!H30</f>
        <v/>
      </c>
      <c r="I1401">
        <f>IF(Skills!AA30&lt;&gt;"",1+(Skills!AA30/10)*(U1374/1000)/100,1)</f>
        <v/>
      </c>
      <c r="J1401" t="inlineStr"/>
      <c r="K1401" t="inlineStr"/>
      <c r="L1401" t="inlineStr"/>
      <c r="M1401" t="inlineStr"/>
      <c r="N1401" t="inlineStr"/>
      <c r="O1401">
        <f>(1-Summary!$B$55)*T1401+Summary!$B$55*V1401</f>
        <v/>
      </c>
      <c r="P1401">
        <f>IF(B1415=0,0,O1401/B1415)</f>
        <v/>
      </c>
      <c r="Q1401" t="n">
        <v>0</v>
      </c>
      <c r="R1401" t="n">
        <v>0</v>
      </c>
      <c r="S1401">
        <f>IFERROR(O1401/N1401,0)</f>
        <v/>
      </c>
      <c r="T1401" t="n">
        <v>0</v>
      </c>
      <c r="V1401" t="n">
        <v>0</v>
      </c>
    </row>
    <row r="1402">
      <c r="A1402">
        <f>Skills!A31</f>
        <v/>
      </c>
      <c r="B1402">
        <f>Skills!B31</f>
        <v/>
      </c>
      <c r="C1402">
        <f>Inputs!$B$3&gt;=107</f>
        <v/>
      </c>
      <c r="D1402">
        <f>IF(Skills!C31=1,60+Inputs!$B$25+Inputs!$B$29,IF(Skills!C31=2,90+Inputs!$B$26+Inputs!$B$29,IF(Skills!C31=3,120+Inputs!$B$27+Inputs!$B$29,MAX(0,(Inputs!$B$3-100)*3)+Inputs!$B$28+Inputs!$B$29)))</f>
        <v/>
      </c>
      <c r="E1402">
        <f>INDEX(FactorTable!$B$2:$Y$301, MATCH(ROUND(MIN(300,MAX(1,D1402)),0), FactorTable!$A$2:$A$301,0), Skills!M31+1)</f>
        <v/>
      </c>
      <c r="F1402">
        <f>IF(Skills!N31=TRUE,(Skills!L31/10)*(E1402/1000),Skills!L31/10)+Skills!O31</f>
        <v/>
      </c>
      <c r="G1402">
        <f>Calc!G31</f>
        <v/>
      </c>
      <c r="H1402">
        <f>Calc!H31</f>
        <v/>
      </c>
      <c r="I1402">
        <f>IF(Skills!AA31&lt;&gt;"",1+(Skills!AA31/10)*(U1374/1000)/100,1)</f>
        <v/>
      </c>
      <c r="J1402" t="inlineStr"/>
      <c r="K1402" t="inlineStr"/>
      <c r="L1402" t="inlineStr"/>
      <c r="M1402" t="inlineStr"/>
      <c r="N1402" t="inlineStr"/>
      <c r="O1402">
        <f>(1-Summary!$B$55)*T1402+Summary!$B$55*V1402</f>
        <v/>
      </c>
      <c r="P1402">
        <f>IF(B1415=0,0,O1402/B1415)</f>
        <v/>
      </c>
      <c r="Q1402" t="n">
        <v>0</v>
      </c>
      <c r="R1402" t="n">
        <v>0</v>
      </c>
      <c r="S1402">
        <f>IFERROR(O1402/N1402,0)</f>
        <v/>
      </c>
      <c r="T1402" t="n">
        <v>0</v>
      </c>
      <c r="V1402" t="n">
        <v>0</v>
      </c>
    </row>
    <row r="1404">
      <c r="A1404" t="inlineStr">
        <is>
          <t>Actions Per Second (pre-Adrenalin)</t>
        </is>
      </c>
      <c r="B1404">
        <f>1+MIN(150,150*(1-(1-(Inputs!$B$11+((C1393=TRUE)*(F1393-Calc!F22)))/150)*(1-((C1390=TRUE)*F1390*IF(AND(Inputs!$B$39&lt;&gt;"pvp",Inputs!$B$44&gt;0),(((R1390-1)*(Skills!Y19*(1+Inputs!$B$34/100))+MIN((Skills!Y19*(1+Inputs!$B$34/100)),MAX(0,Inputs!$B$44-((R1390-1)*Skills!D19))))/Inputs!$B$44),IF(Inputs!$B$39="pvp",MIN((Skills!Y19*(1+Inputs!$B$34/100)),15)/15,(Skills!Y19*(1+Inputs!$B$34/100))/Skills!D19)))/150)))/100</f>
        <v/>
      </c>
    </row>
    <row r="1405">
      <c r="A1405" t="inlineStr">
        <is>
          <t>Alchemic Adrenaline Uptime</t>
        </is>
      </c>
      <c r="B1405">
        <f>(Skills!Y6*(1+Inputs!$B$34/100))/((Skills!Y6*(1+Inputs!$B$34/100))+(5/B1404))</f>
        <v/>
      </c>
    </row>
    <row r="1406">
      <c r="A1406" t="inlineStr">
        <is>
          <t>Attack Speed Buff Bonus %</t>
        </is>
      </c>
      <c r="B1406">
        <f>((C1390=TRUE)*F1390*IF(AND(Inputs!$B$39&lt;&gt;"pvp",Inputs!$B$44&gt;0),(((R1390-1)*(Skills!Y19*(1+Inputs!$B$34/100))+MIN((Skills!Y19*(1+Inputs!$B$34/100)),MAX(0,Inputs!$B$44-((R1390-1)*Skills!D19))))/Inputs!$B$44),IF(Inputs!$B$39="pvp",MIN((Skills!Y19*(1+Inputs!$B$34/100)),15)/15,(Skills!Y19*(1+Inputs!$B$34/100))/Skills!D19)))+((C1378=TRUE)*F1378*B1405)</f>
        <v/>
      </c>
    </row>
    <row r="1407">
      <c r="A1407" t="inlineStr">
        <is>
          <t>Actions Per Second (final)</t>
        </is>
      </c>
      <c r="B1407">
        <f>1+MIN(150,150*(1-(1-(Inputs!$B$11+((C1393=TRUE)*(F1393-Calc!F22)))/150)*(1-B1406/150)))/100</f>
        <v/>
      </c>
    </row>
    <row r="1408">
      <c r="A1408" t="inlineStr">
        <is>
          <t>Skill + Buff Cast Rate</t>
        </is>
      </c>
      <c r="B1408">
        <f>IF(AND(Inputs!$B$39&lt;&gt;"pvp",Inputs!$B$44&gt;0),SUMPRODUCT((Skills!E2:E31=TRUE)*(C1373:C1402=TRUE)*R1373:R1402*Skills!F2:F31)/Inputs!$B$44,SUMPRODUCT((Skills!E2:E31=TRUE)*(C1373:C1402=TRUE)*Q1373:Q1402*Skills!F2:F31))</f>
        <v/>
      </c>
    </row>
    <row r="1409">
      <c r="A1409" t="inlineStr">
        <is>
          <t>Showdown Casts Per Second</t>
        </is>
      </c>
      <c r="B1409">
        <f>MAX(0,B1407-B1408)</f>
        <v/>
      </c>
    </row>
    <row r="1410">
      <c r="A1410" t="inlineStr">
        <is>
          <t>Average Buff Multiplier</t>
        </is>
      </c>
      <c r="B1410">
        <f>(1+(((C1392=TRUE)*F1392*IF(AND(Inputs!$B$39&lt;&gt;"pvp",Inputs!$B$44&gt;0),(((R1392-1)*(Skills!Y21*(1+Inputs!$B$34/100))+MIN((Skills!Y21*(1+Inputs!$B$34/100)),MAX(0,Inputs!$B$44-((R1392-1)*Skills!D21))))/Inputs!$B$44),IF(Inputs!$B$39="pvp",MIN((Skills!Y21*(1+Inputs!$B$34/100)),15)/15,(Skills!Y21*(1+Inputs!$B$34/100))/Skills!D21)))+((C1399=TRUE)*(F1399-Calc!F28))+((C1389=TRUE)*(F1389-Calc!F18)))/100)*(1+((C1386=TRUE)*F1386*IF(AND(Inputs!$B$39&lt;&gt;"pvp",Inputs!$B$44&gt;0),(((R1386-1)*(Skills!Y15*(1+Inputs!$B$34/100))+MIN((Skills!Y15*(1+Inputs!$B$34/100)),MAX(0,Inputs!$B$44-((R1386-1)*Skills!D15))))/Inputs!$B$44),IF(Inputs!$B$39="pvp",MIN((Skills!Y15*(1+Inputs!$B$34/100)),15)/15,(Skills!Y15*(1+Inputs!$B$34/100))/Skills!D15)))/100)*(1+((C1377=TRUE)*F1377*B1405)/100)</f>
        <v/>
      </c>
    </row>
    <row r="1411">
      <c r="A1411" t="inlineStr">
        <is>
          <t>Global Crit Rate Bonus %</t>
        </is>
      </c>
      <c r="B1411">
        <f>IF(Inputs!$B$3&gt;=47,8,0)+((C1391=TRUE)*F1391*IF(AND(Inputs!$B$39&lt;&gt;"pvp",Inputs!$B$44&gt;0),(((R1391-1)*(Skills!Y20*(1+Inputs!$B$34/100))+MIN((Skills!Y20*(1+Inputs!$B$34/100)),MAX(0,Inputs!$B$44-((R1391-1)*Skills!D20))))/Inputs!$B$44),IF(Inputs!$B$39="pvp",MIN((Skills!Y20*(1+Inputs!$B$34/100)),15)/15,(Skills!Y20*(1+Inputs!$B$34/100))/Skills!D20)))</f>
        <v/>
      </c>
    </row>
    <row r="1412">
      <c r="A1412" t="inlineStr">
        <is>
          <t>Global Monster Damage-Taken Bonus %</t>
        </is>
      </c>
      <c r="B1412">
        <f>IF(Inputs!$B$3&gt;=82,15,0)+((C1387=TRUE)*F1387*IF(AND(Inputs!$B$39&lt;&gt;"pvp",Inputs!$B$44&gt;0),(((R1387-1)*(Skills!Y16*(1+Inputs!$B$34/100))+MIN((Skills!Y16*(1+Inputs!$B$34/100)),MAX(0,Inputs!$B$44-((R1387-1)*Skills!D16))))/Inputs!$B$44),IF(Inputs!$B$39="pvp",MIN((Skills!Y16*(1+Inputs!$B$34/100)),15)/15,(Skills!Y16*(1+Inputs!$B$34/100))/Skills!D16)))</f>
        <v/>
      </c>
    </row>
    <row r="1413">
      <c r="A1413" t="inlineStr">
        <is>
          <t>Shadow Partner Average Multiplier</t>
        </is>
      </c>
      <c r="B1413">
        <f>1+((C1382=TRUE)*F1382*I1382*Skills!J11/100)/100</f>
        <v/>
      </c>
    </row>
    <row r="1414">
      <c r="A1414" t="inlineStr">
        <is>
          <t>Global Critical Damage Bonus % (Frailty Curse Mastery Lv.111)</t>
        </is>
      </c>
      <c r="B1414">
        <f>IF(Inputs!$B$3&gt;=111,30,0)*IF(AND(Inputs!$B$39&lt;&gt;"pvp",Inputs!$B$44&gt;0),(((R1387-1)*(Skills!Y16*(1+Inputs!$B$34/100))+MIN((Skills!Y16*(1+Inputs!$B$34/100)),MAX(0,Inputs!$B$44-((R1387-1)*Skills!D16))))/Inputs!$B$44),IF(Inputs!$B$39="pvp",MIN((Skills!Y16*(1+Inputs!$B$34/100)),15)/15,(Skills!Y16*(1+Inputs!$B$34/100))/Skills!D16))</f>
        <v/>
      </c>
    </row>
    <row r="1415">
      <c r="A1415" s="5" t="inlineStr">
        <is>
          <t>TOTAL DPS</t>
        </is>
      </c>
      <c r="B1415" s="5">
        <f>SUM(O1373:O1402)</f>
        <v/>
      </c>
    </row>
    <row r="1416">
      <c r="A1416" t="inlineStr">
        <is>
          <t>Buff-Casting Startup Delay (s, fixed-duration only)</t>
        </is>
      </c>
      <c r="B1416">
        <f>IF(AND(Inputs!$B$39&lt;&gt;"pvp",Inputs!$B$44&gt;0),SUMPRODUCT((Skills!Y2:Y31&gt;0)*(Skills!E2:E31=TRUE)*(C1373:C1402=TRUE))/B1407,0)</f>
        <v/>
      </c>
    </row>
    <row r="1417">
      <c r="A1417" t="inlineStr">
        <is>
          <t>Boss-Only Total DPS (this block's swept value)</t>
        </is>
      </c>
      <c r="B1417">
        <f>SUM(T1373:T1402)</f>
        <v/>
      </c>
    </row>
    <row r="1418">
      <c r="A1418" t="inlineStr">
        <is>
          <t>Normal-Only Total DPS (this block's swept value)</t>
        </is>
      </c>
      <c r="B1418">
        <f>SUM(V1373:V1402)</f>
        <v/>
      </c>
    </row>
    <row r="1420">
      <c r="A1420" s="5" t="inlineStr">
        <is>
          <t>Stat: CDR = 1.0s</t>
        </is>
      </c>
    </row>
    <row r="1421">
      <c r="A1421" s="9" t="inlineStr">
        <is>
          <t>Key</t>
        </is>
      </c>
      <c r="B1421" s="9" t="inlineStr">
        <is>
          <t>Name</t>
        </is>
      </c>
      <c r="C1421" s="9" t="inlineStr">
        <is>
          <t>Unlocked</t>
        </is>
      </c>
      <c r="D1421" s="9" t="inlineStr">
        <is>
          <t>InputLevel</t>
        </is>
      </c>
      <c r="E1421" s="9" t="inlineStr">
        <is>
          <t>Factor</t>
        </is>
      </c>
      <c r="F1421" s="9" t="inlineStr">
        <is>
          <t>CoefficientPercent</t>
        </is>
      </c>
      <c r="G1421" s="9" t="inlineStr">
        <is>
          <t>EffectiveHits</t>
        </is>
      </c>
      <c r="H1421" s="9" t="inlineStr">
        <is>
          <t>ProcProbability</t>
        </is>
      </c>
      <c r="I1421" s="9" t="inlineStr">
        <is>
          <t>MapleHeroMultiplier</t>
        </is>
      </c>
      <c r="J1421" s="9" t="inlineStr">
        <is>
          <t>BaseDamage</t>
        </is>
      </c>
      <c r="K1421" s="9" t="inlineStr">
        <is>
          <t>BaseHitDamage</t>
        </is>
      </c>
      <c r="L1421" s="9" t="inlineStr">
        <is>
          <t>NonCritAvg</t>
        </is>
      </c>
      <c r="M1421" s="9" t="inlineStr">
        <is>
          <t>CritAvg</t>
        </is>
      </c>
      <c r="N1421" s="9" t="inlineStr">
        <is>
          <t>ExpectedDamage(perHit)</t>
        </is>
      </c>
      <c r="O1421" s="9" t="inlineStr">
        <is>
          <t>DPS</t>
        </is>
      </c>
      <c r="P1421" s="9" t="inlineStr">
        <is>
          <t>% of Total</t>
        </is>
      </c>
      <c r="Q1421" s="9" t="inlineStr">
        <is>
          <t>InvCooldown</t>
        </is>
      </c>
      <c r="R1421" s="9" t="inlineStr">
        <is>
          <t>CastsInFight</t>
        </is>
      </c>
      <c r="S1421" s="9" t="inlineStr">
        <is>
          <t>HitRate(perSec)</t>
        </is>
      </c>
      <c r="U1421" t="inlineStr">
        <is>
          <t>helpers</t>
        </is>
      </c>
    </row>
    <row r="1422">
      <c r="A1422">
        <f>Skills!A2</f>
        <v/>
      </c>
      <c r="B1422">
        <f>Skills!B2</f>
        <v/>
      </c>
      <c r="C1422">
        <f>Inputs!$B$3&gt;=100</f>
        <v/>
      </c>
      <c r="D1422" t="inlineStr"/>
      <c r="E1422" t="inlineStr"/>
      <c r="F1422">
        <f>U1426+Skills!O2</f>
        <v/>
      </c>
      <c r="G1422">
        <f>Calc!G2</f>
        <v/>
      </c>
      <c r="H1422">
        <f>Calc!H2</f>
        <v/>
      </c>
      <c r="I1422">
        <f>IF(Skills!AA2&lt;&gt;"",1+(Skills!AA2/10)*(U1423/1000)/100,1)</f>
        <v/>
      </c>
      <c r="J1422">
        <f>((Inputs!$B$6*(1+Inputs!$B$7/100))+(((Inputs!$B$12*(1+Inputs!$B$13/100))-(Inputs!$B$12*(1+Inputs!$B$13/100)))+0.25*(Inputs!$B$14-Inputs!$B$14))*(1+Inputs!$B$7/100))*(F1422/100)</f>
        <v/>
      </c>
      <c r="K1422">
        <f>J1422*(1+((Inputs!$B$12*(1+Inputs!$B$13/100))*0.01+Inputs!$B$14*0.0025)/100)*(1+Inputs!$B$15/100)*(1+Inputs!$B$16/100)*(5000/(6000+Inputs!$B$43*(1-Inputs!$B$19/100)))*(1+(Inputs!$B$24+((C1450=TRUE)*(F1450-Calc!F30)))/100)*(1+Skills!R2/100)*(1+(IF(Skills!A2="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1422)</f>
        <v/>
      </c>
      <c r="L1422">
        <f>K1422*(MIN(Inputs!$B$22+((C1444=TRUE)*(F1444-Calc!F24)),Inputs!$B$23)/100+Inputs!$B$23/100)/2</f>
        <v/>
      </c>
      <c r="M1422">
        <f>L1422*(1+(Inputs!$B$10+((C1446=TRUE)*(F1446-Calc!F26))+B1463)/100)</f>
        <v/>
      </c>
      <c r="N1422">
        <f>L1422*(1-MIN((Inputs!$B$9+((C1445=TRUE)*(F1445-Calc!F25))+B1460),100)/100)+M1422*(MIN((Inputs!$B$9+((C1445=TRUE)*(F1445-Calc!F25))+B1460),100)/100)</f>
        <v/>
      </c>
      <c r="O1422">
        <f>(1-Summary!$B$55)*T1422+Summary!$B$55*V1422</f>
        <v/>
      </c>
      <c r="P1422">
        <f>IF(B1464=0,0,O1422/B1464)</f>
        <v/>
      </c>
      <c r="Q1422" t="n">
        <v>0</v>
      </c>
      <c r="R1422" t="n">
        <v>0</v>
      </c>
      <c r="S1422">
        <f>IFERROR(O1422/N1422,0)</f>
        <v/>
      </c>
      <c r="T1422">
        <f>IF(C1422,(Skills!G2*N1422*B1458)*IF(Inputs!$B$39="pvp",1,1+(Inputs!$B$20+((C1447=TRUE)*(F1447-Calc!F27))+Skills!P2+B1461)/100),0)</f>
        <v/>
      </c>
      <c r="U1422">
        <f>MAX(0,(Inputs!$B$3-100)*3)+Inputs!$B$28+Inputs!$B$29</f>
        <v/>
      </c>
      <c r="V1422">
        <f>IF(C1422,(Skills!G2*N1422*B1458)*IF(Inputs!$B$39="pvp",1,(1+(Inputs!$B$21+Skills!Q2+B1461)/100)*(MIN((6+Inputs!$B$33),Inputs!$B$37))),0)</f>
        <v/>
      </c>
    </row>
    <row r="1423">
      <c r="A1423">
        <f>Skills!A3</f>
        <v/>
      </c>
      <c r="B1423">
        <f>Skills!B3</f>
        <v/>
      </c>
      <c r="C1423">
        <f>Inputs!$B$3&gt;=35</f>
        <v/>
      </c>
      <c r="D1423">
        <f>IF(Skills!C3=1,60+Inputs!$B$25+Inputs!$B$29,IF(Skills!C3=2,90+Inputs!$B$26+Inputs!$B$29,IF(Skills!C3=3,120+Inputs!$B$27+Inputs!$B$29,MAX(0,(Inputs!$B$3-100)*3)+Inputs!$B$28+Inputs!$B$29)))</f>
        <v/>
      </c>
      <c r="E1423">
        <f>INDEX(FactorTable!$B$2:$Y$301, MATCH(ROUND(MIN(300,MAX(1,D1423)),0), FactorTable!$A$2:$A$301,0), Skills!M3+1)</f>
        <v/>
      </c>
      <c r="F1423">
        <f>IF(Skills!N3=TRUE,(Skills!L3/10)*(E1423/1000),Skills!L3/10)+Skills!O3</f>
        <v/>
      </c>
      <c r="G1423">
        <f>Calc!G3</f>
        <v/>
      </c>
      <c r="H1423">
        <f>Calc!H3</f>
        <v/>
      </c>
      <c r="I1423">
        <f>IF(Skills!AA3&lt;&gt;"",1+(Skills!AA3/10)*(U1423/1000)/100,1)</f>
        <v/>
      </c>
      <c r="J1423">
        <f>((Inputs!$B$6*(1+Inputs!$B$7/100))+(((Inputs!$B$12*(1+Inputs!$B$13/100))-(Inputs!$B$12*(1+Inputs!$B$13/100)))+0.25*(Inputs!$B$14-Inputs!$B$14))*(1+Inputs!$B$7/100))*(F1423/100)</f>
        <v/>
      </c>
      <c r="K1423">
        <f>J1423*(1+((Inputs!$B$12*(1+Inputs!$B$13/100))*0.01+Inputs!$B$14*0.0025)/100)*(1+Inputs!$B$15/100)*(1+Inputs!$B$16/100)*(5000/(6000+Inputs!$B$43*(1-Inputs!$B$19/100)))*(1+(Inputs!$B$24+((C1450=TRUE)*(F1450-Calc!F30)))/100)*(1+Skills!R3/100)*(1+(IF(Skills!A3="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1423)</f>
        <v/>
      </c>
      <c r="L1423">
        <f>K1423*(MIN(Inputs!$B$22+((C1444=TRUE)*(F1444-Calc!F24)),Inputs!$B$23)/100+Inputs!$B$23/100)/2</f>
        <v/>
      </c>
      <c r="M1423">
        <f>L1423*(1+(Inputs!$B$10+((C1446=TRUE)*(F1446-Calc!F26))+B1463)/100)</f>
        <v/>
      </c>
      <c r="N1423">
        <f>L1423*(1-MIN((Inputs!$B$9+((C1445=TRUE)*(F1445-Calc!F25))+B1460),100)/100)+M1423*(MIN((Inputs!$B$9+((C1445=TRUE)*(F1445-Calc!F25))+B1460),100)/100)</f>
        <v/>
      </c>
      <c r="O1423">
        <f>(1-Summary!$B$55)*T1423+Summary!$B$55*V1423</f>
        <v/>
      </c>
      <c r="P1423">
        <f>IF(B1464=0,0,O1423/B1464)</f>
        <v/>
      </c>
      <c r="Q1423">
        <f>IFERROR(1/IF(Inputs!$B$39="pvp",15,MAX(0.1,Skills!D3-IF(Skills!E3=TRUE,1.0,0))),0)</f>
        <v/>
      </c>
      <c r="R1423">
        <f>IF(AND(Inputs!$B$39&lt;&gt;"pvp",Inputs!$B$44&gt;0),IF(MAX(0,Inputs!$B$44-B1465)&lt;=0,0,(INT(MAX(0,Inputs!$B$44-B1465)/IF(Inputs!$B$39="pvp",15,MAX(0.1,Skills!D3-IF(Skills!E3=TRUE,1.0,0))))+1)),0)</f>
        <v/>
      </c>
      <c r="S1423">
        <f>IFERROR(O1423/N1423,0)</f>
        <v/>
      </c>
      <c r="T1423">
        <f>IF(C1423,(H1423*N1423*IF(AND(Inputs!$B$39&lt;&gt;"pvp",Inputs!$B$44&gt;0),((Skills!G3*((R1423-1)*IF(Skills!H3&gt;0,Skills!I3/Skills!H3,1)+IF(Skills!H3&gt;0,MIN(Skills!I3,MAX(0,MAX(0,Inputs!$B$44-B1465)-((R1423-1)*IF(Inputs!$B$39="pvp",15,MAX(0.1,Skills!D3-IF(Skills!E3=TRUE,1.0,0))))))/Skills!H3,1)))/Inputs!$B$44),G1423*Q1423))*IF(Inputs!$B$39="pvp",1,1+(Inputs!$B$20+((C1447=TRUE)*(F1447-Calc!F27))+Skills!P3+B1461)/100),0)</f>
        <v/>
      </c>
      <c r="U1423">
        <f>INDEX(FactorTable!$B$2:$Y$301, MATCH(ROUND(MIN(300,MAX(1,U1422)),0), FactorTable!$A$2:$A$301,0), 24)</f>
        <v/>
      </c>
      <c r="V1423">
        <f>IF(C1423,(H1423*N1423*IF(AND(Inputs!$B$39&lt;&gt;"pvp",Inputs!$B$44&gt;0),((Skills!G3*((R1423-1)*IF(Skills!H3&gt;0,Skills!I3/Skills!H3,1)+IF(Skills!H3&gt;0,MIN(Skills!I3,MAX(0,MAX(0,Inputs!$B$44-B1465)-((R1423-1)*IF(Inputs!$B$39="pvp",15,MAX(0.1,Skills!D3-IF(Skills!E3=TRUE,1.0,0))))))/Skills!H3,1)))/Inputs!$B$44),G1423*Q1423))*IF(Inputs!$B$39="pvp",1,(1+(Inputs!$B$21+Skills!Q3+B1461)/100)*(MIN(Skills!W3,Inputs!$B$37))),0)</f>
        <v/>
      </c>
    </row>
    <row r="1424">
      <c r="A1424">
        <f>Skills!A4</f>
        <v/>
      </c>
      <c r="B1424">
        <f>Skills!B4</f>
        <v/>
      </c>
      <c r="C1424">
        <f>Inputs!$B$3&gt;=40</f>
        <v/>
      </c>
      <c r="D1424">
        <f>IF(Skills!C4=1,60+Inputs!$B$25+Inputs!$B$29,IF(Skills!C4=2,90+Inputs!$B$26+Inputs!$B$29,IF(Skills!C4=3,120+Inputs!$B$27+Inputs!$B$29,MAX(0,(Inputs!$B$3-100)*3)+Inputs!$B$28+Inputs!$B$29)))</f>
        <v/>
      </c>
      <c r="E1424">
        <f>INDEX(FactorTable!$B$2:$Y$301, MATCH(ROUND(MIN(300,MAX(1,D1424)),0), FactorTable!$A$2:$A$301,0), Skills!M4+1)</f>
        <v/>
      </c>
      <c r="F1424">
        <f>IF(Skills!N4=TRUE,(Skills!L4/10)*(E1424/1000),Skills!L4/10)+Skills!O4</f>
        <v/>
      </c>
      <c r="G1424">
        <f>Calc!G4</f>
        <v/>
      </c>
      <c r="H1424">
        <f>Calc!H4</f>
        <v/>
      </c>
      <c r="I1424">
        <f>IF(Skills!AA4&lt;&gt;"",1+(Skills!AA4/10)*(U1423/1000)/100,1)</f>
        <v/>
      </c>
      <c r="J1424">
        <f>((Inputs!$B$6*(1+Inputs!$B$7/100))+(((Inputs!$B$12*(1+Inputs!$B$13/100))-(Inputs!$B$12*(1+Inputs!$B$13/100)))+0.25*(Inputs!$B$14-Inputs!$B$14))*(1+Inputs!$B$7/100))*(F1424/100)</f>
        <v/>
      </c>
      <c r="K1424">
        <f>J1424*(1+((Inputs!$B$12*(1+Inputs!$B$13/100))*0.01+Inputs!$B$14*0.0025)/100)*(1+Inputs!$B$15/100)*(1+Inputs!$B$16/100)*(5000/(6000+Inputs!$B$43*(1-Inputs!$B$19/100)))*(1+(Inputs!$B$24+((C1450=TRUE)*(F1450-Calc!F30)))/100)*(1+Skills!R4/100)*(1+(IF(Skills!A4="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1424)</f>
        <v/>
      </c>
      <c r="L1424">
        <f>K1424*(MIN(Inputs!$B$22+((C1444=TRUE)*(F1444-Calc!F24)),Inputs!$B$23)/100+Inputs!$B$23/100)/2</f>
        <v/>
      </c>
      <c r="M1424">
        <f>L1424*(1+(Inputs!$B$10+((C1446=TRUE)*(F1446-Calc!F26))+B1463)/100)</f>
        <v/>
      </c>
      <c r="N1424">
        <f>L1424*(1-MIN((Inputs!$B$9+((C1445=TRUE)*(F1445-Calc!F25))+B1460),100)/100)+M1424*(MIN((Inputs!$B$9+((C1445=TRUE)*(F1445-Calc!F25))+B1460),100)/100)</f>
        <v/>
      </c>
      <c r="O1424">
        <f>(1-Summary!$B$55)*T1424+Summary!$B$55*V1424</f>
        <v/>
      </c>
      <c r="P1424">
        <f>IF(B1464=0,0,O1424/B1464)</f>
        <v/>
      </c>
      <c r="Q1424">
        <f>IFERROR(1/IF(Inputs!$B$39="pvp",15,MAX(0.1,Skills!D4-IF(Skills!E4=TRUE,1.0,0))),0)</f>
        <v/>
      </c>
      <c r="R1424">
        <f>IF(AND(Inputs!$B$39&lt;&gt;"pvp",Inputs!$B$44&gt;0),IF(MAX(0,Inputs!$B$44-B1465)&lt;=0,0,(INT(MAX(0,Inputs!$B$44-B1465)/IF(Inputs!$B$39="pvp",15,MAX(0.1,Skills!D4-IF(Skills!E4=TRUE,1.0,0))))+1)),0)</f>
        <v/>
      </c>
      <c r="S1424">
        <f>IFERROR(O1424/N1424,0)</f>
        <v/>
      </c>
      <c r="T1424">
        <f>IF(C1424,(H1424*N1424*IF(AND(Inputs!$B$39&lt;&gt;"pvp",Inputs!$B$44&gt;0),((Skills!G4*((R1424-1)*IF(Skills!H4&gt;0,Skills!I4/Skills!H4,1)+IF(Skills!H4&gt;0,MIN(Skills!I4,MAX(0,MAX(0,Inputs!$B$44-B1465)-((R1424-1)*IF(Inputs!$B$39="pvp",15,MAX(0.1,Skills!D4-IF(Skills!E4=TRUE,1.0,0))))))/Skills!H4,1)))/Inputs!$B$44),G1424*Q1424))*IF(Inputs!$B$39="pvp",1,1+(Inputs!$B$20+((C1447=TRUE)*(F1447-Calc!F27))+Skills!P4+B1461)/100),0)</f>
        <v/>
      </c>
      <c r="U1424">
        <f>MAX(0,(Inputs!$B$3-100)*3)+Inputs!$B$28+Inputs!$B$29</f>
        <v/>
      </c>
      <c r="V1424">
        <f>IF(C1424,(H1424*N1424*IF(AND(Inputs!$B$39&lt;&gt;"pvp",Inputs!$B$44&gt;0),((Skills!G4*((R1424-1)*IF(Skills!H4&gt;0,Skills!I4/Skills!H4,1)+IF(Skills!H4&gt;0,MIN(Skills!I4,MAX(0,MAX(0,Inputs!$B$44-B1465)-((R1424-1)*IF(Inputs!$B$39="pvp",15,MAX(0.1,Skills!D4-IF(Skills!E4=TRUE,1.0,0))))))/Skills!H4,1)))/Inputs!$B$44),G1424*Q1424))*IF(Inputs!$B$39="pvp",1,(1+(Inputs!$B$21+Skills!Q4+B1461)/100)*(MIN(Skills!W4,Inputs!$B$37))),0)</f>
        <v/>
      </c>
    </row>
    <row r="1425">
      <c r="A1425">
        <f>Skills!A5</f>
        <v/>
      </c>
      <c r="B1425">
        <f>Skills!B5</f>
        <v/>
      </c>
      <c r="C1425">
        <f>Inputs!$B$3&gt;=63</f>
        <v/>
      </c>
      <c r="D1425">
        <f>IF(Skills!C5=1,60+Inputs!$B$25+Inputs!$B$29,IF(Skills!C5=2,90+Inputs!$B$26+Inputs!$B$29,IF(Skills!C5=3,120+Inputs!$B$27+Inputs!$B$29,MAX(0,(Inputs!$B$3-100)*3)+Inputs!$B$28+Inputs!$B$29)))</f>
        <v/>
      </c>
      <c r="E1425">
        <f>INDEX(FactorTable!$B$2:$Y$301, MATCH(ROUND(MIN(300,MAX(1,D1425)),0), FactorTable!$A$2:$A$301,0), Skills!M5+1)</f>
        <v/>
      </c>
      <c r="F1425">
        <f>IF(Skills!N5=TRUE,(Skills!L5/10)*(E1425/1000),Skills!L5/10)+Skills!O5</f>
        <v/>
      </c>
      <c r="G1425">
        <f>Calc!G5</f>
        <v/>
      </c>
      <c r="H1425">
        <f>Calc!H5</f>
        <v/>
      </c>
      <c r="I1425">
        <f>IF(Skills!AA5&lt;&gt;"",1+(Skills!AA5/10)*(U1423/1000)/100,1)</f>
        <v/>
      </c>
      <c r="J1425">
        <f>((Inputs!$B$6*(1+Inputs!$B$7/100))+(((Inputs!$B$12*(1+Inputs!$B$13/100))-(Inputs!$B$12*(1+Inputs!$B$13/100)))+0.25*(Inputs!$B$14-Inputs!$B$14))*(1+Inputs!$B$7/100))*(F1425/100)</f>
        <v/>
      </c>
      <c r="K1425">
        <f>J1425*(1+((Inputs!$B$12*(1+Inputs!$B$13/100))*0.01+Inputs!$B$14*0.0025)/100)*(1+Inputs!$B$15/100)*(1+Inputs!$B$16/100)*(5000/(6000+Inputs!$B$43*(1-Inputs!$B$19/100)))*(1+(Inputs!$B$24+((C1450=TRUE)*(F1450-Calc!F30)))/100)*(1+Skills!R5/100)*(1+(IF(Skills!A5="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1425)</f>
        <v/>
      </c>
      <c r="L1425">
        <f>K1425*(MIN(Inputs!$B$22+((C1444=TRUE)*(F1444-Calc!F24)),Inputs!$B$23)/100+Inputs!$B$23/100)/2</f>
        <v/>
      </c>
      <c r="M1425">
        <f>L1425*(1+(Inputs!$B$10+((C1446=TRUE)*(F1446-Calc!F26))+B1463)/100)</f>
        <v/>
      </c>
      <c r="N1425">
        <f>L1425*(1-MIN((Inputs!$B$9+((C1445=TRUE)*(F1445-Calc!F25))+B1460),100)/100)+M1425*(MIN((Inputs!$B$9+((C1445=TRUE)*(F1445-Calc!F25))+B1460),100)/100)</f>
        <v/>
      </c>
      <c r="O1425">
        <f>(1-Summary!$B$55)*T1425+Summary!$B$55*V1425</f>
        <v/>
      </c>
      <c r="P1425">
        <f>IF(B1464=0,0,O1425/B1464)</f>
        <v/>
      </c>
      <c r="Q1425">
        <f>IFERROR(1/IF(Inputs!$B$39="pvp",15,MAX(0.1,Skills!D5-IF(Skills!E5=TRUE,1.0,0))),0)</f>
        <v/>
      </c>
      <c r="R1425">
        <f>IF(AND(Inputs!$B$39&lt;&gt;"pvp",Inputs!$B$44&gt;0),IF(MAX(0,Inputs!$B$44-B1465)&lt;=0,0,(INT(MAX(0,Inputs!$B$44-B1465)/IF(Inputs!$B$39="pvp",15,MAX(0.1,Skills!D5-IF(Skills!E5=TRUE,1.0,0))))+1)),0)</f>
        <v/>
      </c>
      <c r="S1425">
        <f>IFERROR(O1425/N1425,0)</f>
        <v/>
      </c>
      <c r="T1425">
        <f>IF(C1425,(H1425*N1425*IF(AND(Inputs!$B$39&lt;&gt;"pvp",Inputs!$B$44&gt;0),((Skills!G5*((R1425-1)*IF(Skills!H5&gt;0,Skills!I5/Skills!H5,1)+IF(Skills!H5&gt;0,MIN(Skills!I5,MAX(0,MAX(0,Inputs!$B$44-B1465)-((R1425-1)*IF(Inputs!$B$39="pvp",15,MAX(0.1,Skills!D5-IF(Skills!E5=TRUE,1.0,0))))))/Skills!H5,1)))/Inputs!$B$44),G1425*Q1425))*IF(Inputs!$B$39="pvp",1,1+(Inputs!$B$20+((C1447=TRUE)*(F1447-Calc!F27))+Skills!P5+B1461)/100),0)</f>
        <v/>
      </c>
      <c r="U1425">
        <f>INDEX(FactorTable!$B$2:$Y$301, MATCH(ROUND(MIN(300,MAX(1,U1424)),0), FactorTable!$A$2:$A$301,0), 22)</f>
        <v/>
      </c>
      <c r="V1425">
        <f>IF(C1425,(H1425*N1425*IF(AND(Inputs!$B$39&lt;&gt;"pvp",Inputs!$B$44&gt;0),((Skills!G5*((R1425-1)*IF(Skills!H5&gt;0,Skills!I5/Skills!H5,1)+IF(Skills!H5&gt;0,MIN(Skills!I5,MAX(0,MAX(0,Inputs!$B$44-B1465)-((R1425-1)*IF(Inputs!$B$39="pvp",15,MAX(0.1,Skills!D5-IF(Skills!E5=TRUE,1.0,0))))))/Skills!H5,1)))/Inputs!$B$44),G1425*Q1425))*IF(Inputs!$B$39="pvp",1,(1+(Inputs!$B$21+Skills!Q5+B1461)/100)*(MIN(Skills!W5,Inputs!$B$37))),0)</f>
        <v/>
      </c>
    </row>
    <row r="1426">
      <c r="A1426">
        <f>Skills!A6</f>
        <v/>
      </c>
      <c r="B1426">
        <f>Skills!B6</f>
        <v/>
      </c>
      <c r="C1426">
        <f>Inputs!$B$3&gt;=66</f>
        <v/>
      </c>
      <c r="D1426">
        <f>IF(Skills!C6=1,60+Inputs!$B$25+Inputs!$B$29,IF(Skills!C6=2,90+Inputs!$B$26+Inputs!$B$29,IF(Skills!C6=3,120+Inputs!$B$27+Inputs!$B$29,MAX(0,(Inputs!$B$3-100)*3)+Inputs!$B$28+Inputs!$B$29)))</f>
        <v/>
      </c>
      <c r="E1426">
        <f>INDEX(FactorTable!$B$2:$Y$301, MATCH(ROUND(MIN(300,MAX(1,D1426)),0), FactorTable!$A$2:$A$301,0), Skills!M6+1)</f>
        <v/>
      </c>
      <c r="F1426">
        <f>IF(Skills!N6=TRUE,(Skills!L6/10)*(E1426/1000),Skills!L6/10)+Skills!O6</f>
        <v/>
      </c>
      <c r="G1426">
        <f>Calc!G6</f>
        <v/>
      </c>
      <c r="H1426">
        <f>Calc!H6</f>
        <v/>
      </c>
      <c r="I1426">
        <f>IF(Skills!AA6&lt;&gt;"",1+(Skills!AA6/10)*(U1423/1000)/100,1)</f>
        <v/>
      </c>
      <c r="J1426" t="inlineStr"/>
      <c r="K1426" t="inlineStr"/>
      <c r="L1426" t="inlineStr"/>
      <c r="M1426" t="inlineStr"/>
      <c r="N1426" t="inlineStr"/>
      <c r="O1426">
        <f>(1-Summary!$B$55)*T1426+Summary!$B$55*V1426</f>
        <v/>
      </c>
      <c r="P1426">
        <f>IF(B1464=0,0,O1426/B1464)</f>
        <v/>
      </c>
      <c r="Q1426" t="n">
        <v>0</v>
      </c>
      <c r="R1426" t="n">
        <v>0</v>
      </c>
      <c r="S1426">
        <f>IFERROR(O1426/N1426,0)</f>
        <v/>
      </c>
      <c r="T1426" t="n">
        <v>0</v>
      </c>
      <c r="U1426">
        <f>290*U1425/1000</f>
        <v/>
      </c>
      <c r="V1426" t="n">
        <v>0</v>
      </c>
    </row>
    <row r="1427">
      <c r="A1427">
        <f>Skills!A7</f>
        <v/>
      </c>
      <c r="B1427">
        <f>Skills!B7</f>
        <v/>
      </c>
      <c r="C1427">
        <f>Inputs!$B$3&gt;=66</f>
        <v/>
      </c>
      <c r="D1427">
        <f>IF(Skills!C7=1,60+Inputs!$B$25+Inputs!$B$29,IF(Skills!C7=2,90+Inputs!$B$26+Inputs!$B$29,IF(Skills!C7=3,120+Inputs!$B$27+Inputs!$B$29,MAX(0,(Inputs!$B$3-100)*3)+Inputs!$B$28+Inputs!$B$29)))</f>
        <v/>
      </c>
      <c r="E1427">
        <f>INDEX(FactorTable!$B$2:$Y$301, MATCH(ROUND(MIN(300,MAX(1,D1427)),0), FactorTable!$A$2:$A$301,0), Skills!M7+1)</f>
        <v/>
      </c>
      <c r="F1427">
        <f>IF(Skills!N7=TRUE,(Skills!L7/10)*(E1427/1000),Skills!L7/10)+Skills!O7</f>
        <v/>
      </c>
      <c r="G1427">
        <f>Calc!G7</f>
        <v/>
      </c>
      <c r="H1427">
        <f>Calc!H7</f>
        <v/>
      </c>
      <c r="I1427">
        <f>IF(Skills!AA7&lt;&gt;"",1+(Skills!AA7/10)*(U1423/1000)/100,1)</f>
        <v/>
      </c>
      <c r="J1427" t="inlineStr"/>
      <c r="K1427" t="inlineStr"/>
      <c r="L1427" t="inlineStr"/>
      <c r="M1427" t="inlineStr"/>
      <c r="N1427" t="inlineStr"/>
      <c r="O1427">
        <f>(1-Summary!$B$55)*T1427+Summary!$B$55*V1427</f>
        <v/>
      </c>
      <c r="P1427">
        <f>IF(B1464=0,0,O1427/B1464)</f>
        <v/>
      </c>
      <c r="Q1427" t="n">
        <v>0</v>
      </c>
      <c r="R1427" t="n">
        <v>0</v>
      </c>
      <c r="S1427">
        <f>IFERROR(O1427/N1427,0)</f>
        <v/>
      </c>
      <c r="T1427" t="n">
        <v>0</v>
      </c>
      <c r="V1427" t="n">
        <v>0</v>
      </c>
    </row>
    <row r="1428">
      <c r="A1428">
        <f>Skills!A8</f>
        <v/>
      </c>
      <c r="B1428">
        <f>Skills!B8</f>
        <v/>
      </c>
      <c r="C1428">
        <f>Inputs!$B$3&gt;=69</f>
        <v/>
      </c>
      <c r="D1428">
        <f>IF(Skills!C8=1,60+Inputs!$B$25+Inputs!$B$29,IF(Skills!C8=2,90+Inputs!$B$26+Inputs!$B$29,IF(Skills!C8=3,120+Inputs!$B$27+Inputs!$B$29,MAX(0,(Inputs!$B$3-100)*3)+Inputs!$B$28+Inputs!$B$29)))</f>
        <v/>
      </c>
      <c r="E1428">
        <f>INDEX(FactorTable!$B$2:$Y$301, MATCH(ROUND(MIN(300,MAX(1,D1428)),0), FactorTable!$A$2:$A$301,0), Skills!M8+1)</f>
        <v/>
      </c>
      <c r="F1428">
        <f>IF(Skills!N8=TRUE,(Skills!L8/10)*(E1428/1000),Skills!L8/10)+Skills!O8</f>
        <v/>
      </c>
      <c r="G1428">
        <f>Calc!G8</f>
        <v/>
      </c>
      <c r="H1428">
        <f>Calc!H8</f>
        <v/>
      </c>
      <c r="I1428">
        <f>IF(Skills!AA8&lt;&gt;"",1+(Skills!AA8/10)*(U1423/1000)/100,1)</f>
        <v/>
      </c>
      <c r="J1428">
        <f>((Inputs!$B$6*(1+Inputs!$B$7/100))+(((Inputs!$B$12*(1+Inputs!$B$13/100))-(Inputs!$B$12*(1+Inputs!$B$13/100)))+0.25*(Inputs!$B$14-Inputs!$B$14))*(1+Inputs!$B$7/100))*(F1428/100)</f>
        <v/>
      </c>
      <c r="K1428">
        <f>J1428*(1+((Inputs!$B$12*(1+Inputs!$B$13/100))*0.01+Inputs!$B$14*0.0025)/100)*(1+Inputs!$B$15/100)*(1+Inputs!$B$16/100)*(5000/(6000+Inputs!$B$43*(1-Inputs!$B$19/100)))*(1+(Inputs!$B$24+((C1450=TRUE)*(F1450-Calc!F30)))/100)*(1+Skills!R8/100)*(1+(IF(Skills!A8="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1428)</f>
        <v/>
      </c>
      <c r="L1428">
        <f>K1428*(MIN(Inputs!$B$22+((C1444=TRUE)*(F1444-Calc!F24)),Inputs!$B$23)/100+Inputs!$B$23/100)/2</f>
        <v/>
      </c>
      <c r="M1428">
        <f>L1428*(1+(Inputs!$B$10+((C1446=TRUE)*(F1446-Calc!F26))+B1463)/100)</f>
        <v/>
      </c>
      <c r="N1428">
        <f>L1428*(1-MIN((Inputs!$B$9+((C1445=TRUE)*(F1445-Calc!F25))+B1460),100)/100)+M1428*(MIN((Inputs!$B$9+((C1445=TRUE)*(F1445-Calc!F25))+B1460),100)/100)</f>
        <v/>
      </c>
      <c r="O1428">
        <f>(1-Summary!$B$55)*T1428+Summary!$B$55*V1428</f>
        <v/>
      </c>
      <c r="P1428">
        <f>IF(B1464=0,0,O1428/B1464)</f>
        <v/>
      </c>
      <c r="Q1428">
        <f>IFERROR(1/IF(Inputs!$B$39="pvp",15,MAX(0.1,Skills!D8-IF(Skills!E8=TRUE,1.0,0))),0)</f>
        <v/>
      </c>
      <c r="R1428">
        <f>IF(AND(Inputs!$B$39&lt;&gt;"pvp",Inputs!$B$44&gt;0),IF(MAX(0,Inputs!$B$44-B1465)&lt;=0,0,(INT(MAX(0,Inputs!$B$44-B1465)/IF(Inputs!$B$39="pvp",15,MAX(0.1,Skills!D8-IF(Skills!E8=TRUE,1.0,0))))+1)),0)</f>
        <v/>
      </c>
      <c r="S1428">
        <f>IFERROR(O1428/N1428,0)</f>
        <v/>
      </c>
      <c r="T1428">
        <f>IF(C1428,(H1428*N1428*IF(AND(Inputs!$B$39&lt;&gt;"pvp",Inputs!$B$44&gt;0),((Skills!G8*((R1428-1)*IF(Skills!H8&gt;0,Skills!I8/Skills!H8,1)+IF(Skills!H8&gt;0,MIN(Skills!I8,MAX(0,MAX(0,Inputs!$B$44-B1465)-((R1428-1)*IF(Inputs!$B$39="pvp",15,MAX(0.1,Skills!D8-IF(Skills!E8=TRUE,1.0,0))))))/Skills!H8,1)))/Inputs!$B$44),G1428*Q1428))*IF(Inputs!$B$39="pvp",1,1+(Inputs!$B$20+((C1447=TRUE)*(F1447-Calc!F27))+Skills!P8+B1461)/100),0)</f>
        <v/>
      </c>
      <c r="V1428">
        <f>IF(C1428,(H1428*N1428*IF(AND(Inputs!$B$39&lt;&gt;"pvp",Inputs!$B$44&gt;0),((Skills!G8*((R1428-1)*IF(Skills!H8&gt;0,Skills!I8/Skills!H8,1)+IF(Skills!H8&gt;0,MIN(Skills!I8,MAX(0,MAX(0,Inputs!$B$44-B1465)-((R1428-1)*IF(Inputs!$B$39="pvp",15,MAX(0.1,Skills!D8-IF(Skills!E8=TRUE,1.0,0))))))/Skills!H8,1)))/Inputs!$B$44),G1428*Q1428))*IF(Inputs!$B$39="pvp",1,(1+(Inputs!$B$21+Skills!Q8+B1461)/100)*(MIN(Skills!W8,Inputs!$B$37))),0)</f>
        <v/>
      </c>
    </row>
    <row r="1429">
      <c r="A1429">
        <f>Skills!A9</f>
        <v/>
      </c>
      <c r="B1429">
        <f>Skills!B9</f>
        <v/>
      </c>
      <c r="C1429">
        <f>Inputs!$B$3&gt;=72</f>
        <v/>
      </c>
      <c r="D1429">
        <f>IF(Skills!C9=1,60+Inputs!$B$25+Inputs!$B$29,IF(Skills!C9=2,90+Inputs!$B$26+Inputs!$B$29,IF(Skills!C9=3,120+Inputs!$B$27+Inputs!$B$29,MAX(0,(Inputs!$B$3-100)*3)+Inputs!$B$28+Inputs!$B$29)))</f>
        <v/>
      </c>
      <c r="E1429">
        <f>INDEX(FactorTable!$B$2:$Y$301, MATCH(ROUND(MIN(300,MAX(1,D1429)),0), FactorTable!$A$2:$A$301,0), Skills!M9+1)</f>
        <v/>
      </c>
      <c r="F1429">
        <f>IF(Skills!N9=TRUE,(Skills!L9/10)*(E1429/1000),Skills!L9/10)+Skills!O9</f>
        <v/>
      </c>
      <c r="G1429">
        <f>Calc!G9</f>
        <v/>
      </c>
      <c r="H1429">
        <f>Calc!H9</f>
        <v/>
      </c>
      <c r="I1429">
        <f>IF(Skills!AA9&lt;&gt;"",1+(Skills!AA9/10)*(U1423/1000)/100,1)</f>
        <v/>
      </c>
      <c r="J1429">
        <f>((Inputs!$B$6*(1+Inputs!$B$7/100))+(((Inputs!$B$12*(1+Inputs!$B$13/100))-(Inputs!$B$12*(1+Inputs!$B$13/100)))+0.25*(Inputs!$B$14-Inputs!$B$14))*(1+Inputs!$B$7/100))*(F1429/100)</f>
        <v/>
      </c>
      <c r="K1429">
        <f>J1429*(1+((Inputs!$B$12*(1+Inputs!$B$13/100))*0.01+Inputs!$B$14*0.0025)/100)*(1+Inputs!$B$15/100)*(1+Inputs!$B$16/100)*(5000/(6000+Inputs!$B$43*(1-Inputs!$B$19/100)))*(1+(Inputs!$B$24+((C1450=TRUE)*(F1450-Calc!F30)))/100)*(1+Skills!R9/100)*(1+(IF(Skills!A9="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1429)</f>
        <v/>
      </c>
      <c r="L1429">
        <f>K1429*(MIN(Inputs!$B$22+((C1444=TRUE)*(F1444-Calc!F24)),Inputs!$B$23)/100+Inputs!$B$23/100)/2</f>
        <v/>
      </c>
      <c r="M1429">
        <f>L1429*(1+(Inputs!$B$10+((C1446=TRUE)*(F1446-Calc!F26))+B1463)/100)</f>
        <v/>
      </c>
      <c r="N1429">
        <f>L1429*(1-MIN((Inputs!$B$9+((C1445=TRUE)*(F1445-Calc!F25))+B1460),100)/100)+M1429*(MIN((Inputs!$B$9+((C1445=TRUE)*(F1445-Calc!F25))+B1460),100)/100)</f>
        <v/>
      </c>
      <c r="O1429">
        <f>(1-Summary!$B$55)*T1429+Summary!$B$55*V1429</f>
        <v/>
      </c>
      <c r="P1429">
        <f>IF(B1464=0,0,O1429/B1464)</f>
        <v/>
      </c>
      <c r="Q1429">
        <f>IFERROR(1/IF(Inputs!$B$39="pvp",15,MAX(0.1,Skills!D9-IF(Skills!E9=TRUE,1.0,0))),0)</f>
        <v/>
      </c>
      <c r="R1429">
        <f>IF(AND(Inputs!$B$39&lt;&gt;"pvp",Inputs!$B$44&gt;0),IF(MAX(0,Inputs!$B$44-B1465)&lt;=0,0,(INT(MAX(0,Inputs!$B$44-B1465)/IF(Inputs!$B$39="pvp",15,MAX(0.1,Skills!D9-IF(Skills!E9=TRUE,1.0,0))))+1)),0)</f>
        <v/>
      </c>
      <c r="S1429">
        <f>IFERROR(O1429/N1429,0)</f>
        <v/>
      </c>
      <c r="T1429">
        <f>IF(C1429,(H1429*N1429*IF(AND(Inputs!$B$39&lt;&gt;"pvp",Inputs!$B$44&gt;0),((Skills!G9*((R1429-1)*IF(Skills!H9&gt;0,Skills!I9/Skills!H9,1)+IF(Skills!H9&gt;0,MIN(Skills!I9,MAX(0,MAX(0,Inputs!$B$44-B1465)-((R1429-1)*IF(Inputs!$B$39="pvp",15,MAX(0.1,Skills!D9-IF(Skills!E9=TRUE,1.0,0))))))/Skills!H9,1)))/Inputs!$B$44),G1429*Q1429))*IF(Inputs!$B$39="pvp",1,1+(Inputs!$B$20+((C1447=TRUE)*(F1447-Calc!F27))+Skills!P9+B1461)/100),0)</f>
        <v/>
      </c>
      <c r="V1429">
        <f>IF(C1429,(H1429*N1429*IF(AND(Inputs!$B$39&lt;&gt;"pvp",Inputs!$B$44&gt;0),((Skills!G9*((R1429-1)*IF(Skills!H9&gt;0,Skills!I9/Skills!H9,1)+IF(Skills!H9&gt;0,MIN(Skills!I9,MAX(0,MAX(0,Inputs!$B$44-B1465)-((R1429-1)*IF(Inputs!$B$39="pvp",15,MAX(0.1,Skills!D9-IF(Skills!E9=TRUE,1.0,0))))))/Skills!H9,1)))/Inputs!$B$44),G1429*Q1429))*IF(Inputs!$B$39="pvp",1,(1+(Inputs!$B$21+Skills!Q9+B1461)/100)*(MIN(Skills!W9,Inputs!$B$37))),0)</f>
        <v/>
      </c>
    </row>
    <row r="1430">
      <c r="A1430">
        <f>Skills!A10</f>
        <v/>
      </c>
      <c r="B1430">
        <f>Skills!B10</f>
        <v/>
      </c>
      <c r="C1430">
        <f>Inputs!$B$3&gt;=117</f>
        <v/>
      </c>
      <c r="D1430">
        <f>IF(Skills!C10=1,60+Inputs!$B$25+Inputs!$B$29,IF(Skills!C10=2,90+Inputs!$B$26+Inputs!$B$29,IF(Skills!C10=3,120+Inputs!$B$27+Inputs!$B$29,MAX(0,(Inputs!$B$3-100)*3)+Inputs!$B$28+Inputs!$B$29)))</f>
        <v/>
      </c>
      <c r="E1430">
        <f>INDEX(FactorTable!$B$2:$Y$301, MATCH(ROUND(MIN(300,MAX(1,D1430)),0), FactorTable!$A$2:$A$301,0), Skills!M10+1)</f>
        <v/>
      </c>
      <c r="F1430">
        <f>IF(Skills!N10=TRUE,(Skills!L10/10)*(E1430/1000),Skills!L10/10)+Skills!O10</f>
        <v/>
      </c>
      <c r="G1430">
        <f>Calc!G10</f>
        <v/>
      </c>
      <c r="H1430">
        <f>Calc!H10</f>
        <v/>
      </c>
      <c r="I1430">
        <f>IF(Skills!AA10&lt;&gt;"",1+(Skills!AA10/10)*(U1423/1000)/100,1)</f>
        <v/>
      </c>
      <c r="J1430">
        <f>((Inputs!$B$6*(1+Inputs!$B$7/100))+(((Inputs!$B$12*(1+Inputs!$B$13/100))-(Inputs!$B$12*(1+Inputs!$B$13/100)))+0.25*(Inputs!$B$14-Inputs!$B$14))*(1+Inputs!$B$7/100))*(F1430/100)</f>
        <v/>
      </c>
      <c r="K1430">
        <f>J1430*(1+((Inputs!$B$12*(1+Inputs!$B$13/100))*0.01+Inputs!$B$14*0.0025)/100)*(1+Inputs!$B$15/100)*(1+Inputs!$B$16/100)*(5000/(6000+Inputs!$B$43*(1-Inputs!$B$19/100)))*(1+(Inputs!$B$24+((C1450=TRUE)*(F1450-Calc!F30)))/100)*(1+Skills!R10/100)*(1+(IF(Skills!A10="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1430)</f>
        <v/>
      </c>
      <c r="L1430">
        <f>K1430*(MIN(Inputs!$B$22+((C1444=TRUE)*(F1444-Calc!F24)),Inputs!$B$23)/100+Inputs!$B$23/100)/2</f>
        <v/>
      </c>
      <c r="M1430">
        <f>L1430*(1+(Inputs!$B$10+((C1446=TRUE)*(F1446-Calc!F26))+B1463)/100)</f>
        <v/>
      </c>
      <c r="N1430">
        <f>L1430*(1-MIN((Inputs!$B$9+((C1445=TRUE)*(F1445-Calc!F25))+B1460),100)/100)+M1430*(MIN((Inputs!$B$9+((C1445=TRUE)*(F1445-Calc!F25))+B1460),100)/100)</f>
        <v/>
      </c>
      <c r="O1430">
        <f>(1-Summary!$B$55)*T1430+Summary!$B$55*V1430</f>
        <v/>
      </c>
      <c r="P1430">
        <f>IF(B1464=0,0,O1430/B1464)</f>
        <v/>
      </c>
      <c r="Q1430" t="n">
        <v>0</v>
      </c>
      <c r="R1430" t="n">
        <v>0</v>
      </c>
      <c r="S1430" t="n">
        <v>0</v>
      </c>
      <c r="T1430">
        <f>IF(C1430,(0.2*SUMPRODUCT((Skills!Z2:Z31=TRUE)*(C1422:C1451=TRUE)*S1422:S1451)*N1430)*IF(Inputs!$B$39="pvp",1,1+(Inputs!$B$20+((C1447=TRUE)*(F1447-Calc!F27))+Skills!P10+B1461)/100),0)</f>
        <v/>
      </c>
      <c r="V1430">
        <f>IF(C1430,(0.2*SUMPRODUCT((Skills!Z2:Z31=TRUE)*(C1422:C1451=TRUE)*S1422:S1451)*N1430)*IF(Inputs!$B$39="pvp",1,(1+(Inputs!$B$21+Skills!Q10+B1461)/100)*(MIN(Skills!W10,Inputs!$B$37))),0)</f>
        <v/>
      </c>
    </row>
    <row r="1431">
      <c r="A1431">
        <f>Skills!A11</f>
        <v/>
      </c>
      <c r="B1431">
        <f>Skills!B11</f>
        <v/>
      </c>
      <c r="C1431">
        <f>Inputs!$B$3&gt;=60</f>
        <v/>
      </c>
      <c r="D1431">
        <f>IF(Skills!C11=1,60+Inputs!$B$25+Inputs!$B$29,IF(Skills!C11=2,90+Inputs!$B$26+Inputs!$B$29,IF(Skills!C11=3,120+Inputs!$B$27+Inputs!$B$29,MAX(0,(Inputs!$B$3-100)*3)+Inputs!$B$28+Inputs!$B$29)))</f>
        <v/>
      </c>
      <c r="E1431">
        <f>INDEX(FactorTable!$B$2:$Y$301, MATCH(ROUND(MIN(300,MAX(1,D1431)),0), FactorTable!$A$2:$A$301,0), Skills!M11+1)</f>
        <v/>
      </c>
      <c r="F1431">
        <f>IF(Skills!N11=TRUE,(Skills!L11/10)*(E1431/1000),Skills!L11/10)+Skills!O11</f>
        <v/>
      </c>
      <c r="G1431">
        <f>Calc!G11</f>
        <v/>
      </c>
      <c r="H1431">
        <f>Calc!H11</f>
        <v/>
      </c>
      <c r="I1431">
        <f>IF(Skills!AA11&lt;&gt;"",1+(Skills!AA11/10)*(U1423/1000)/100,1)</f>
        <v/>
      </c>
      <c r="J1431" t="inlineStr"/>
      <c r="K1431" t="inlineStr"/>
      <c r="L1431" t="inlineStr"/>
      <c r="M1431" t="inlineStr"/>
      <c r="N1431" t="inlineStr"/>
      <c r="O1431">
        <f>(1-Summary!$B$55)*T1431+Summary!$B$55*V1431</f>
        <v/>
      </c>
      <c r="P1431">
        <f>IF(B1464=0,0,O1431/B1464)</f>
        <v/>
      </c>
      <c r="Q1431" t="n">
        <v>0</v>
      </c>
      <c r="R1431" t="n">
        <v>0</v>
      </c>
      <c r="S1431">
        <f>IFERROR(O1431/N1431,0)</f>
        <v/>
      </c>
      <c r="T1431" t="n">
        <v>0</v>
      </c>
      <c r="V1431" t="n">
        <v>0</v>
      </c>
    </row>
    <row r="1432">
      <c r="A1432">
        <f>Skills!A12</f>
        <v/>
      </c>
      <c r="B1432">
        <f>Skills!B12</f>
        <v/>
      </c>
      <c r="C1432">
        <f>Inputs!$B$3&gt;=103</f>
        <v/>
      </c>
      <c r="D1432">
        <f>IF(Skills!C12=1,60+Inputs!$B$25+Inputs!$B$29,IF(Skills!C12=2,90+Inputs!$B$26+Inputs!$B$29,IF(Skills!C12=3,120+Inputs!$B$27+Inputs!$B$29,MAX(0,(Inputs!$B$3-100)*3)+Inputs!$B$28+Inputs!$B$29)))</f>
        <v/>
      </c>
      <c r="E1432">
        <f>INDEX(FactorTable!$B$2:$Y$301, MATCH(ROUND(MIN(300,MAX(1,D1432)),0), FactorTable!$A$2:$A$301,0), Skills!M12+1)</f>
        <v/>
      </c>
      <c r="F1432">
        <f>IF(Skills!N12=TRUE,(Skills!L12/10)*(E1432/1000),Skills!L12/10)+Skills!O12</f>
        <v/>
      </c>
      <c r="G1432">
        <f>Calc!G12</f>
        <v/>
      </c>
      <c r="H1432">
        <f>Calc!H12</f>
        <v/>
      </c>
      <c r="I1432">
        <f>IF(Skills!AA12&lt;&gt;"",1+(Skills!AA12/10)*(U1423/1000)/100,1)</f>
        <v/>
      </c>
      <c r="J1432">
        <f>((Inputs!$B$6*(1+Inputs!$B$7/100))+(((Inputs!$B$12*(1+Inputs!$B$13/100))-(Inputs!$B$12*(1+Inputs!$B$13/100)))+0.25*(Inputs!$B$14-Inputs!$B$14))*(1+Inputs!$B$7/100))*(F1432/100)</f>
        <v/>
      </c>
      <c r="K1432">
        <f>J1432*(1+((Inputs!$B$12*(1+Inputs!$B$13/100))*0.01+Inputs!$B$14*0.0025)/100)*(1+Inputs!$B$15/100)*(1+Inputs!$B$16/100)*(5000/(6000+Inputs!$B$43*(1-Inputs!$B$19/100)))*(1+(Inputs!$B$24+((C1450=TRUE)*(F1450-Calc!F30)))/100)*(1+Skills!R12/100)*(1+(IF(Skills!A12="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1432)</f>
        <v/>
      </c>
      <c r="L1432">
        <f>K1432*(MIN(Inputs!$B$22+((C1444=TRUE)*(F1444-Calc!F24)),Inputs!$B$23)/100+Inputs!$B$23/100)/2</f>
        <v/>
      </c>
      <c r="M1432">
        <f>L1432*(1+(Inputs!$B$10+((C1446=TRUE)*(F1446-Calc!F26))+B1463)/100)</f>
        <v/>
      </c>
      <c r="N1432">
        <f>L1432*(1-MIN((Inputs!$B$9+((C1445=TRUE)*(F1445-Calc!F25))+B1460),100)/100)+M1432*(MIN((Inputs!$B$9+((C1445=TRUE)*(F1445-Calc!F25))+B1460),100)/100)</f>
        <v/>
      </c>
      <c r="O1432">
        <f>(1-Summary!$B$55)*T1432+Summary!$B$55*V1432</f>
        <v/>
      </c>
      <c r="P1432">
        <f>IF(B1464=0,0,O1432/B1464)</f>
        <v/>
      </c>
      <c r="Q1432">
        <f>IFERROR(1/IF(Inputs!$B$39="pvp",15,MAX(0.1,Skills!D12-IF(Skills!E12=TRUE,1.0,0))),0)</f>
        <v/>
      </c>
      <c r="R1432">
        <f>IF(AND(Inputs!$B$39&lt;&gt;"pvp",Inputs!$B$44&gt;0),IF(MAX(0,Inputs!$B$44-B1465)&lt;=0,0,(INT(MAX(0,Inputs!$B$44-B1465)/IF(Inputs!$B$39="pvp",15,MAX(0.1,Skills!D12-IF(Skills!E12=TRUE,1.0,0))))+1)),0)</f>
        <v/>
      </c>
      <c r="S1432">
        <f>IFERROR(O1432/N1432,0)</f>
        <v/>
      </c>
      <c r="T1432">
        <f>IF(C1432,(H1432*N1432*IF(AND(Inputs!$B$39&lt;&gt;"pvp",Inputs!$B$44&gt;0),((Skills!G12*((R1432-1)*IF(Skills!H12&gt;0,Skills!I12/Skills!H12,1)+IF(Skills!H12&gt;0,MIN(Skills!I12,MAX(0,MAX(0,Inputs!$B$44-B1465)-((R1432-1)*IF(Inputs!$B$39="pvp",15,MAX(0.1,Skills!D12-IF(Skills!E12=TRUE,1.0,0))))))/Skills!H12,1)))/Inputs!$B$44),G1432*Q1432))*IF(Inputs!$B$39="pvp",1,1+(Inputs!$B$20+((C1447=TRUE)*(F1447-Calc!F27))+Skills!P12+B1461)/100),0)</f>
        <v/>
      </c>
      <c r="V1432">
        <f>IF(C1432,(H1432*N1432*IF(AND(Inputs!$B$39&lt;&gt;"pvp",Inputs!$B$44&gt;0),((Skills!G12*((R1432-1)*IF(Skills!H12&gt;0,Skills!I12/Skills!H12,1)+IF(Skills!H12&gt;0,MIN(Skills!I12,MAX(0,MAX(0,Inputs!$B$44-B1465)-((R1432-1)*IF(Inputs!$B$39="pvp",15,MAX(0.1,Skills!D12-IF(Skills!E12=TRUE,1.0,0))))))/Skills!H12,1)))/Inputs!$B$44),G1432*Q1432))*IF(Inputs!$B$39="pvp",1,(1+(Inputs!$B$21+Skills!Q12+B1461)/100)*(MIN(Skills!W12,Inputs!$B$37))),0)</f>
        <v/>
      </c>
    </row>
    <row r="1433">
      <c r="A1433">
        <f>Skills!A13</f>
        <v/>
      </c>
      <c r="B1433">
        <f>Skills!B13</f>
        <v/>
      </c>
      <c r="C1433">
        <f>Inputs!$B$3&gt;=105</f>
        <v/>
      </c>
      <c r="D1433">
        <f>IF(Skills!C13=1,60+Inputs!$B$25+Inputs!$B$29,IF(Skills!C13=2,90+Inputs!$B$26+Inputs!$B$29,IF(Skills!C13=3,120+Inputs!$B$27+Inputs!$B$29,MAX(0,(Inputs!$B$3-100)*3)+Inputs!$B$28+Inputs!$B$29)))</f>
        <v/>
      </c>
      <c r="E1433">
        <f>INDEX(FactorTable!$B$2:$Y$301, MATCH(ROUND(MIN(300,MAX(1,D1433)),0), FactorTable!$A$2:$A$301,0), Skills!M13+1)</f>
        <v/>
      </c>
      <c r="F1433">
        <f>IF(Skills!N13=TRUE,(Skills!L13/10)*(E1433/1000),Skills!L13/10)+Skills!O13</f>
        <v/>
      </c>
      <c r="G1433">
        <f>Calc!G13</f>
        <v/>
      </c>
      <c r="H1433">
        <f>Calc!H13</f>
        <v/>
      </c>
      <c r="I1433">
        <f>IF(Skills!AA13&lt;&gt;"",1+(Skills!AA13/10)*(U1423/1000)/100,1)</f>
        <v/>
      </c>
      <c r="J1433">
        <f>((Inputs!$B$6*(1+Inputs!$B$7/100))+(((Inputs!$B$12*(1+Inputs!$B$13/100))-(Inputs!$B$12*(1+Inputs!$B$13/100)))+0.25*(Inputs!$B$14-Inputs!$B$14))*(1+Inputs!$B$7/100))*(F1433/100)</f>
        <v/>
      </c>
      <c r="K1433">
        <f>J1433*(1+((Inputs!$B$12*(1+Inputs!$B$13/100))*0.01+Inputs!$B$14*0.0025)/100)*(1+Inputs!$B$15/100)*(1+Inputs!$B$16/100)*(5000/(6000+Inputs!$B$43*(1-Inputs!$B$19/100)))*(1+(Inputs!$B$24+((C1450=TRUE)*(F1450-Calc!F30)))/100)*(1+Skills!R13/100)*(1+(IF(Skills!A13="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1433)</f>
        <v/>
      </c>
      <c r="L1433">
        <f>K1433*(MIN(Inputs!$B$22+((C1444=TRUE)*(F1444-Calc!F24)),Inputs!$B$23)/100+Inputs!$B$23/100)/2</f>
        <v/>
      </c>
      <c r="M1433">
        <f>L1433*(1+(Inputs!$B$10+((C1446=TRUE)*(F1446-Calc!F26))+B1463)/100)</f>
        <v/>
      </c>
      <c r="N1433">
        <f>L1433*(1-MIN((Inputs!$B$9+((C1445=TRUE)*(F1445-Calc!F25))+B1460),100)/100)+M1433*(MIN((Inputs!$B$9+((C1445=TRUE)*(F1445-Calc!F25))+B1460),100)/100)</f>
        <v/>
      </c>
      <c r="O1433">
        <f>(1-Summary!$B$55)*T1433+Summary!$B$55*V1433</f>
        <v/>
      </c>
      <c r="P1433">
        <f>IF(B1464=0,0,O1433/B1464)</f>
        <v/>
      </c>
      <c r="Q1433">
        <f>IFERROR(1/IF(Inputs!$B$39="pvp",15,MAX(0.1,Skills!D13-IF(Skills!E13=TRUE,1.0,0))),0)</f>
        <v/>
      </c>
      <c r="R1433">
        <f>IF(AND(Inputs!$B$39&lt;&gt;"pvp",Inputs!$B$44&gt;0),IF(MAX(0,Inputs!$B$44-B1465)&lt;=0,0,(INT(MAX(0,Inputs!$B$44-B1465)/IF(Inputs!$B$39="pvp",15,MAX(0.1,Skills!D13-IF(Skills!E13=TRUE,1.0,0))))+1)),0)</f>
        <v/>
      </c>
      <c r="S1433">
        <f>IFERROR(O1433/N1433,0)</f>
        <v/>
      </c>
      <c r="T1433">
        <f>IF(C1433,(H1433*N1433*IF(AND(Inputs!$B$39&lt;&gt;"pvp",Inputs!$B$44&gt;0),((Skills!G13*((R1433-1)*IF(Skills!H13&gt;0,Skills!I13/Skills!H13,1)+IF(Skills!H13&gt;0,MIN(Skills!I13,MAX(0,MAX(0,Inputs!$B$44-B1465)-((R1433-1)*IF(Inputs!$B$39="pvp",15,MAX(0.1,Skills!D13-IF(Skills!E13=TRUE,1.0,0))))))/Skills!H13,1)))/Inputs!$B$44),G1433*Q1433))*IF(Inputs!$B$39="pvp",1,1+(Inputs!$B$20+((C1447=TRUE)*(F1447-Calc!F27))+Skills!P13+B1461)/100),0)</f>
        <v/>
      </c>
      <c r="V1433">
        <f>IF(C1433,(H1433*N1433*IF(AND(Inputs!$B$39&lt;&gt;"pvp",Inputs!$B$44&gt;0),((Skills!G13*((R1433-1)*IF(Skills!H13&gt;0,Skills!I13/Skills!H13,1)+IF(Skills!H13&gt;0,MIN(Skills!I13,MAX(0,MAX(0,Inputs!$B$44-B1465)-((R1433-1)*IF(Inputs!$B$39="pvp",15,MAX(0.1,Skills!D13-IF(Skills!E13=TRUE,1.0,0))))))/Skills!H13,1)))/Inputs!$B$44),G1433*Q1433))*IF(Inputs!$B$39="pvp",1,(1+(Inputs!$B$21+Skills!Q13+B1461)/100)*(MIN(Skills!W13,Inputs!$B$37))),0)</f>
        <v/>
      </c>
    </row>
    <row r="1434">
      <c r="A1434">
        <f>Skills!A14</f>
        <v/>
      </c>
      <c r="B1434">
        <f>Skills!B14</f>
        <v/>
      </c>
      <c r="C1434">
        <f>Inputs!$B$3&gt;=105</f>
        <v/>
      </c>
      <c r="D1434">
        <f>IF(Skills!C14=1,60+Inputs!$B$25+Inputs!$B$29,IF(Skills!C14=2,90+Inputs!$B$26+Inputs!$B$29,IF(Skills!C14=3,120+Inputs!$B$27+Inputs!$B$29,MAX(0,(Inputs!$B$3-100)*3)+Inputs!$B$28+Inputs!$B$29)))</f>
        <v/>
      </c>
      <c r="E1434">
        <f>INDEX(FactorTable!$B$2:$Y$301, MATCH(ROUND(MIN(300,MAX(1,D1434)),0), FactorTable!$A$2:$A$301,0), Skills!M14+1)</f>
        <v/>
      </c>
      <c r="F1434">
        <f>IF(Skills!N14=TRUE,(Skills!L14/10)*(E1434/1000),Skills!L14/10)+Skills!O14</f>
        <v/>
      </c>
      <c r="G1434">
        <f>Calc!G14</f>
        <v/>
      </c>
      <c r="H1434">
        <f>Calc!H14</f>
        <v/>
      </c>
      <c r="I1434">
        <f>IF(Skills!AA14&lt;&gt;"",1+(Skills!AA14/10)*(U1423/1000)/100,1)</f>
        <v/>
      </c>
      <c r="J1434">
        <f>((Inputs!$B$6*(1+Inputs!$B$7/100))+(((Inputs!$B$12*(1+Inputs!$B$13/100))-(Inputs!$B$12*(1+Inputs!$B$13/100)))+0.25*(Inputs!$B$14-Inputs!$B$14))*(1+Inputs!$B$7/100))*(F1434/100)</f>
        <v/>
      </c>
      <c r="K1434">
        <f>J1434*(1+((Inputs!$B$12*(1+Inputs!$B$13/100))*0.01+Inputs!$B$14*0.0025)/100)*(1+Inputs!$B$15/100)*(1+Inputs!$B$16/100)*(5000/(6000+Inputs!$B$43*(1-Inputs!$B$19/100)))*(1+(Inputs!$B$24+((C1450=TRUE)*(F1450-Calc!F30)))/100)*(1+Skills!R14/100)*(1+(IF(Skills!A14="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1434)</f>
        <v/>
      </c>
      <c r="L1434">
        <f>K1434*(MIN(Inputs!$B$22+((C1444=TRUE)*(F1444-Calc!F24)),Inputs!$B$23)/100+Inputs!$B$23/100)/2</f>
        <v/>
      </c>
      <c r="M1434">
        <f>L1434*(1+(Inputs!$B$10+((C1446=TRUE)*(F1446-Calc!F26))+B1463)/100)</f>
        <v/>
      </c>
      <c r="N1434">
        <f>L1434*(1-MIN((Inputs!$B$9+((C1445=TRUE)*(F1445-Calc!F25))+B1460),100)/100)+M1434*(MIN((Inputs!$B$9+((C1445=TRUE)*(F1445-Calc!F25))+B1460),100)/100)</f>
        <v/>
      </c>
      <c r="O1434">
        <f>(1-Summary!$B$55)*T1434+Summary!$B$55*V1434</f>
        <v/>
      </c>
      <c r="P1434">
        <f>IF(B1464=0,0,O1434/B1464)</f>
        <v/>
      </c>
      <c r="Q1434">
        <f>IFERROR(1/IF(Inputs!$B$39="pvp",15,MAX(0.1,Skills!D14-IF(Skills!E14=TRUE,1.0,0))),0)</f>
        <v/>
      </c>
      <c r="R1434">
        <f>IF(AND(Inputs!$B$39&lt;&gt;"pvp",Inputs!$B$44&gt;0),IF(MAX(0,Inputs!$B$44-B1465)&lt;=0,0,(INT(MAX(0,Inputs!$B$44-B1465)/IF(Inputs!$B$39="pvp",15,MAX(0.1,Skills!D14-IF(Skills!E14=TRUE,1.0,0))))+1)),0)</f>
        <v/>
      </c>
      <c r="S1434">
        <f>IFERROR(O1434/N1434,0)</f>
        <v/>
      </c>
      <c r="T1434">
        <f>IF(C1434,(H1434*N1434*IF(AND(Inputs!$B$39&lt;&gt;"pvp",Inputs!$B$44&gt;0),((Skills!G14*((R1434-1)*IF(Skills!H14&gt;0,Skills!I14/Skills!H14,1)+IF(Skills!H14&gt;0,MIN(Skills!I14,MAX(0,MAX(0,Inputs!$B$44-B1465)-((R1434-1)*IF(Inputs!$B$39="pvp",15,MAX(0.1,Skills!D14-IF(Skills!E14=TRUE,1.0,0))))))/Skills!H14,1)))/Inputs!$B$44),G1434*Q1434))*IF(Inputs!$B$39="pvp",1,1+(Inputs!$B$20+((C1447=TRUE)*(F1447-Calc!F27))+Skills!P14+B1461)/100),0)</f>
        <v/>
      </c>
      <c r="V1434">
        <f>IF(C1434,(H1434*N1434*IF(AND(Inputs!$B$39&lt;&gt;"pvp",Inputs!$B$44&gt;0),((Skills!G14*((R1434-1)*IF(Skills!H14&gt;0,Skills!I14/Skills!H14,1)+IF(Skills!H14&gt;0,MIN(Skills!I14,MAX(0,MAX(0,Inputs!$B$44-B1465)-((R1434-1)*IF(Inputs!$B$39="pvp",15,MAX(0.1,Skills!D14-IF(Skills!E14=TRUE,1.0,0))))))/Skills!H14,1)))/Inputs!$B$44),G1434*Q1434))*IF(Inputs!$B$39="pvp",1,(1+(Inputs!$B$21+Skills!Q14+B1461)/100)*(MIN(Skills!W14,Inputs!$B$37))),0)</f>
        <v/>
      </c>
    </row>
    <row r="1435">
      <c r="A1435">
        <f>Skills!A15</f>
        <v/>
      </c>
      <c r="B1435">
        <f>Skills!B15</f>
        <v/>
      </c>
      <c r="C1435">
        <f>Inputs!$B$3&gt;=110</f>
        <v/>
      </c>
      <c r="D1435">
        <f>IF(Skills!C15=1,60+Inputs!$B$25+Inputs!$B$29,IF(Skills!C15=2,90+Inputs!$B$26+Inputs!$B$29,IF(Skills!C15=3,120+Inputs!$B$27+Inputs!$B$29,MAX(0,(Inputs!$B$3-100)*3)+Inputs!$B$28+Inputs!$B$29)))</f>
        <v/>
      </c>
      <c r="E1435">
        <f>INDEX(FactorTable!$B$2:$Y$301, MATCH(ROUND(MIN(300,MAX(1,D1435)),0), FactorTable!$A$2:$A$301,0), Skills!M15+1)</f>
        <v/>
      </c>
      <c r="F1435">
        <f>IF(Skills!N15=TRUE,(Skills!L15/10)*(E1435/1000),Skills!L15/10)+Skills!O15</f>
        <v/>
      </c>
      <c r="G1435">
        <f>Calc!G15</f>
        <v/>
      </c>
      <c r="H1435">
        <f>Calc!H15</f>
        <v/>
      </c>
      <c r="I1435">
        <f>IF(Skills!AA15&lt;&gt;"",1+(Skills!AA15/10)*(U1423/1000)/100,1)</f>
        <v/>
      </c>
      <c r="J1435" t="inlineStr"/>
      <c r="K1435" t="inlineStr"/>
      <c r="L1435" t="inlineStr"/>
      <c r="M1435" t="inlineStr"/>
      <c r="N1435" t="inlineStr"/>
      <c r="O1435">
        <f>(1-Summary!$B$55)*T1435+Summary!$B$55*V1435</f>
        <v/>
      </c>
      <c r="P1435">
        <f>IF(B1464=0,0,O1435/B1464)</f>
        <v/>
      </c>
      <c r="Q1435">
        <f>IFERROR(1/IF(Inputs!$B$39="pvp",15,MAX(0.1,Skills!D15-IF(Skills!E15=TRUE,1.0,0))),0)</f>
        <v/>
      </c>
      <c r="R1435">
        <f>IF(AND(Inputs!$B$39&lt;&gt;"pvp",Inputs!$B$44&gt;0),IF(Inputs!$B$44&lt;=0,0,(INT(Inputs!$B$44/IF(Inputs!$B$39="pvp",15,MAX(0.1,Skills!D15-IF(Skills!E15=TRUE,1.0,0))))+1)),0)</f>
        <v/>
      </c>
      <c r="S1435">
        <f>IFERROR(O1435/N1435,0)</f>
        <v/>
      </c>
      <c r="T1435" t="n">
        <v>0</v>
      </c>
      <c r="V1435" t="n">
        <v>0</v>
      </c>
    </row>
    <row r="1436">
      <c r="A1436">
        <f>Skills!A16</f>
        <v/>
      </c>
      <c r="B1436">
        <f>Skills!B16</f>
        <v/>
      </c>
      <c r="C1436">
        <f>Inputs!$B$3&gt;=110</f>
        <v/>
      </c>
      <c r="D1436">
        <f>IF(Skills!C16=1,60+Inputs!$B$25+Inputs!$B$29,IF(Skills!C16=2,90+Inputs!$B$26+Inputs!$B$29,IF(Skills!C16=3,120+Inputs!$B$27+Inputs!$B$29,MAX(0,(Inputs!$B$3-100)*3)+Inputs!$B$28+Inputs!$B$29)))</f>
        <v/>
      </c>
      <c r="E1436">
        <f>INDEX(FactorTable!$B$2:$Y$301, MATCH(ROUND(MIN(300,MAX(1,D1436)),0), FactorTable!$A$2:$A$301,0), Skills!M16+1)</f>
        <v/>
      </c>
      <c r="F1436">
        <f>IF(Skills!N16=TRUE,(Skills!L16/10)*(E1436/1000),Skills!L16/10)+Skills!O16</f>
        <v/>
      </c>
      <c r="G1436">
        <f>Calc!G16</f>
        <v/>
      </c>
      <c r="H1436">
        <f>Calc!H16</f>
        <v/>
      </c>
      <c r="I1436">
        <f>IF(Skills!AA16&lt;&gt;"",1+(Skills!AA16/10)*(U1423/1000)/100,1)</f>
        <v/>
      </c>
      <c r="J1436" t="inlineStr"/>
      <c r="K1436" t="inlineStr"/>
      <c r="L1436" t="inlineStr"/>
      <c r="M1436" t="inlineStr"/>
      <c r="N1436" t="inlineStr"/>
      <c r="O1436">
        <f>(1-Summary!$B$55)*T1436+Summary!$B$55*V1436</f>
        <v/>
      </c>
      <c r="P1436">
        <f>IF(B1464=0,0,O1436/B1464)</f>
        <v/>
      </c>
      <c r="Q1436">
        <f>IFERROR(1/IF(Inputs!$B$39="pvp",15,MAX(0.1,Skills!D16-IF(Skills!E16=TRUE,1.0,0))),0)</f>
        <v/>
      </c>
      <c r="R1436">
        <f>IF(AND(Inputs!$B$39&lt;&gt;"pvp",Inputs!$B$44&gt;0),IF(Inputs!$B$44&lt;=0,0,(INT(Inputs!$B$44/IF(Inputs!$B$39="pvp",15,MAX(0.1,Skills!D16-IF(Skills!E16=TRUE,1.0,0))))+1)),0)</f>
        <v/>
      </c>
      <c r="S1436">
        <f>IFERROR(O1436/N1436,0)</f>
        <v/>
      </c>
      <c r="T1436" t="n">
        <v>0</v>
      </c>
      <c r="V1436" t="n">
        <v>0</v>
      </c>
    </row>
    <row r="1437">
      <c r="A1437">
        <f>Skills!A17</f>
        <v/>
      </c>
      <c r="B1437">
        <f>Skills!B17</f>
        <v/>
      </c>
      <c r="C1437">
        <f>Inputs!$B$3&gt;=115</f>
        <v/>
      </c>
      <c r="D1437">
        <f>IF(Skills!C17=1,60+Inputs!$B$25+Inputs!$B$29,IF(Skills!C17=2,90+Inputs!$B$26+Inputs!$B$29,IF(Skills!C17=3,120+Inputs!$B$27+Inputs!$B$29,MAX(0,(Inputs!$B$3-100)*3)+Inputs!$B$28+Inputs!$B$29)))</f>
        <v/>
      </c>
      <c r="E1437">
        <f>INDEX(FactorTable!$B$2:$Y$301, MATCH(ROUND(MIN(300,MAX(1,D1437)),0), FactorTable!$A$2:$A$301,0), Skills!M17+1)</f>
        <v/>
      </c>
      <c r="F1437">
        <f>IF(Skills!N17=TRUE,(Skills!L17/10)*(E1437/1000),Skills!L17/10)+Skills!O17</f>
        <v/>
      </c>
      <c r="G1437">
        <f>Calc!G17</f>
        <v/>
      </c>
      <c r="H1437">
        <f>Calc!H17</f>
        <v/>
      </c>
      <c r="I1437">
        <f>IF(Skills!AA17&lt;&gt;"",1+(Skills!AA17/10)*(U1423/1000)/100,1)</f>
        <v/>
      </c>
      <c r="J1437">
        <f>((Inputs!$B$6*(1+Inputs!$B$7/100))+(((Inputs!$B$12*(1+Inputs!$B$13/100))-(Inputs!$B$12*(1+Inputs!$B$13/100)))+0.25*(Inputs!$B$14-Inputs!$B$14))*(1+Inputs!$B$7/100))*(F1437/100)</f>
        <v/>
      </c>
      <c r="K1437">
        <f>J1437*(1+((Inputs!$B$12*(1+Inputs!$B$13/100))*0.01+Inputs!$B$14*0.0025)/100)*(1+Inputs!$B$15/100)*(1+Inputs!$B$16/100)*(5000/(6000+Inputs!$B$43*(1-Inputs!$B$19/100)))*(1+(Inputs!$B$24+((C1450=TRUE)*(F1450-Calc!F30)))/100)*(1+Skills!R17/100)*(1+(IF(Skills!A17="SHOWDOWN",Inputs!$B$17+((C1443=TRUE)*(F1443-Calc!F23)),Inputs!$B$18+((C1449=TRUE)*(F1449-Calc!F29))))/100)*(((1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B1462*I1437)</f>
        <v/>
      </c>
      <c r="L1437">
        <f>K1437*(MIN(Inputs!$B$22+((C1444=TRUE)*(F1444-Calc!F24)),Inputs!$B$23)/100+Inputs!$B$23/100)/2</f>
        <v/>
      </c>
      <c r="M1437">
        <f>L1437*(1+(Inputs!$B$10+((C1446=TRUE)*(F1446-Calc!F26))+B1463)/100)</f>
        <v/>
      </c>
      <c r="N1437">
        <f>L1437*(1-MIN((Inputs!$B$9+((C1445=TRUE)*(F1445-Calc!F25))+B1460),100)/100)+M1437*(MIN((Inputs!$B$9+((C1445=TRUE)*(F1445-Calc!F25))+B1460),100)/100)</f>
        <v/>
      </c>
      <c r="O1437">
        <f>(1-Summary!$B$55)*T1437+Summary!$B$55*V1437</f>
        <v/>
      </c>
      <c r="P1437">
        <f>IF(B1464=0,0,O1437/B1464)</f>
        <v/>
      </c>
      <c r="Q1437" t="n">
        <v>0</v>
      </c>
      <c r="R1437" t="n">
        <v>0</v>
      </c>
      <c r="S1437">
        <f>IFERROR(O1437/N1437,0)</f>
        <v/>
      </c>
      <c r="T1437">
        <f>IF(C1437,(Inputs!$B$38*0.2*N1437)*IF(Inputs!$B$39="pvp",1,1+(Inputs!$B$20+((C1447=TRUE)*(F1447-Calc!F27))+Skills!P17+B1461)/100),0)</f>
        <v/>
      </c>
      <c r="V1437">
        <f>IF(C1437,(Inputs!$B$38*0.2*N1437)*IF(Inputs!$B$39="pvp",1,(1+(Inputs!$B$21+Skills!Q17+B1461)/100)*(MIN(Skills!W17,Inputs!$B$37))),0)</f>
        <v/>
      </c>
    </row>
    <row r="1438">
      <c r="A1438">
        <f>Skills!A18</f>
        <v/>
      </c>
      <c r="B1438">
        <f>Skills!B18</f>
        <v/>
      </c>
      <c r="C1438">
        <f>Inputs!$B$3&gt;=115</f>
        <v/>
      </c>
      <c r="D1438">
        <f>IF(Skills!C18=1,60+Inputs!$B$25+Inputs!$B$29,IF(Skills!C18=2,90+Inputs!$B$26+Inputs!$B$29,IF(Skills!C18=3,120+Inputs!$B$27+Inputs!$B$29,MAX(0,(Inputs!$B$3-100)*3)+Inputs!$B$28+Inputs!$B$29)))</f>
        <v/>
      </c>
      <c r="E1438">
        <f>INDEX(FactorTable!$B$2:$Y$301, MATCH(ROUND(MIN(300,MAX(1,D1438)),0), FactorTable!$A$2:$A$301,0), Skills!M18+1)</f>
        <v/>
      </c>
      <c r="F1438">
        <f>IF(Skills!N18=TRUE,(Skills!L18/10)*(E1438/1000),Skills!L18/10)+Skills!O18</f>
        <v/>
      </c>
      <c r="G1438">
        <f>Calc!G18</f>
        <v/>
      </c>
      <c r="H1438">
        <f>Calc!H18</f>
        <v/>
      </c>
      <c r="I1438">
        <f>IF(Skills!AA18&lt;&gt;"",1+(Skills!AA18/10)*(U1423/1000)/100,1)</f>
        <v/>
      </c>
      <c r="J1438" t="inlineStr"/>
      <c r="K1438" t="inlineStr"/>
      <c r="L1438" t="inlineStr"/>
      <c r="M1438" t="inlineStr"/>
      <c r="N1438" t="inlineStr"/>
      <c r="O1438">
        <f>(1-Summary!$B$55)*T1438+Summary!$B$55*V1438</f>
        <v/>
      </c>
      <c r="P1438">
        <f>IF(B1464=0,0,O1438/B1464)</f>
        <v/>
      </c>
      <c r="Q1438" t="n">
        <v>0</v>
      </c>
      <c r="R1438" t="n">
        <v>0</v>
      </c>
      <c r="S1438">
        <f>IFERROR(O1438/N1438,0)</f>
        <v/>
      </c>
      <c r="T1438" t="n">
        <v>0</v>
      </c>
      <c r="V1438" t="n">
        <v>0</v>
      </c>
    </row>
    <row r="1439">
      <c r="A1439">
        <f>Skills!A19</f>
        <v/>
      </c>
      <c r="B1439">
        <f>Skills!B19</f>
        <v/>
      </c>
      <c r="C1439">
        <f>TRUE</f>
        <v/>
      </c>
      <c r="D1439">
        <f>IF(Skills!C19=1,60+Inputs!$B$25+Inputs!$B$29,IF(Skills!C19=2,90+Inputs!$B$26+Inputs!$B$29,IF(Skills!C19=3,120+Inputs!$B$27+Inputs!$B$29,MAX(0,(Inputs!$B$3-100)*3)+Inputs!$B$28+Inputs!$B$29)))</f>
        <v/>
      </c>
      <c r="E1439">
        <f>INDEX(FactorTable!$B$2:$Y$301, MATCH(ROUND(MIN(300,MAX(1,D1439)),0), FactorTable!$A$2:$A$301,0), Skills!M19+1)</f>
        <v/>
      </c>
      <c r="F1439">
        <f>IF(Skills!N19=TRUE,(Skills!L19/10)*(E1439/1000),Skills!L19/10)+Skills!O19</f>
        <v/>
      </c>
      <c r="G1439">
        <f>Calc!G19</f>
        <v/>
      </c>
      <c r="H1439">
        <f>Calc!H19</f>
        <v/>
      </c>
      <c r="I1439">
        <f>IF(Skills!AA19&lt;&gt;"",1+(Skills!AA19/10)*(U1423/1000)/100,1)</f>
        <v/>
      </c>
      <c r="J1439" t="inlineStr"/>
      <c r="K1439" t="inlineStr"/>
      <c r="L1439" t="inlineStr"/>
      <c r="M1439" t="inlineStr"/>
      <c r="N1439" t="inlineStr"/>
      <c r="O1439">
        <f>(1-Summary!$B$55)*T1439+Summary!$B$55*V1439</f>
        <v/>
      </c>
      <c r="P1439">
        <f>IF(B1464=0,0,O1439/B1464)</f>
        <v/>
      </c>
      <c r="Q1439">
        <f>IFERROR(1/IF(Inputs!$B$39="pvp",15,MAX(0.1,Skills!D19-IF(Skills!E19=TRUE,1.0,0))),0)</f>
        <v/>
      </c>
      <c r="R1439">
        <f>IF(AND(Inputs!$B$39&lt;&gt;"pvp",Inputs!$B$44&gt;0),IF(Inputs!$B$44&lt;=0,0,(INT(Inputs!$B$44/IF(Inputs!$B$39="pvp",15,MAX(0.1,Skills!D19-IF(Skills!E19=TRUE,1.0,0))))+1)),0)</f>
        <v/>
      </c>
      <c r="S1439">
        <f>IFERROR(O1439/N1439,0)</f>
        <v/>
      </c>
      <c r="T1439" t="n">
        <v>0</v>
      </c>
      <c r="V1439" t="n">
        <v>0</v>
      </c>
    </row>
    <row r="1440">
      <c r="A1440">
        <f>Skills!A20</f>
        <v/>
      </c>
      <c r="B1440">
        <f>Skills!B20</f>
        <v/>
      </c>
      <c r="C1440">
        <f>Inputs!$B$3&gt;=15</f>
        <v/>
      </c>
      <c r="D1440">
        <f>IF(Skills!C20=1,60+Inputs!$B$25+Inputs!$B$29,IF(Skills!C20=2,90+Inputs!$B$26+Inputs!$B$29,IF(Skills!C20=3,120+Inputs!$B$27+Inputs!$B$29,MAX(0,(Inputs!$B$3-100)*3)+Inputs!$B$28+Inputs!$B$29)))</f>
        <v/>
      </c>
      <c r="E1440">
        <f>INDEX(FactorTable!$B$2:$Y$301, MATCH(ROUND(MIN(300,MAX(1,D1440)),0), FactorTable!$A$2:$A$301,0), Skills!M20+1)</f>
        <v/>
      </c>
      <c r="F1440">
        <f>IF(Skills!N20=TRUE,(Skills!L20/10)*(E1440/1000),Skills!L20/10)+Skills!O20</f>
        <v/>
      </c>
      <c r="G1440">
        <f>Calc!G20</f>
        <v/>
      </c>
      <c r="H1440">
        <f>Calc!H20</f>
        <v/>
      </c>
      <c r="I1440">
        <f>IF(Skills!AA20&lt;&gt;"",1+(Skills!AA20/10)*(U1423/1000)/100,1)</f>
        <v/>
      </c>
      <c r="J1440" t="inlineStr"/>
      <c r="K1440" t="inlineStr"/>
      <c r="L1440" t="inlineStr"/>
      <c r="M1440" t="inlineStr"/>
      <c r="N1440" t="inlineStr"/>
      <c r="O1440">
        <f>(1-Summary!$B$55)*T1440+Summary!$B$55*V1440</f>
        <v/>
      </c>
      <c r="P1440">
        <f>IF(B1464=0,0,O1440/B1464)</f>
        <v/>
      </c>
      <c r="Q1440">
        <f>IFERROR(1/IF(Inputs!$B$39="pvp",15,MAX(0.1,Skills!D20-IF(Skills!E20=TRUE,1.0,0))),0)</f>
        <v/>
      </c>
      <c r="R1440">
        <f>IF(AND(Inputs!$B$39&lt;&gt;"pvp",Inputs!$B$44&gt;0),IF(Inputs!$B$44&lt;=0,0,(INT(Inputs!$B$44/IF(Inputs!$B$39="pvp",15,MAX(0.1,Skills!D20-IF(Skills!E20=TRUE,1.0,0))))+1)),0)</f>
        <v/>
      </c>
      <c r="S1440">
        <f>IFERROR(O1440/N1440,0)</f>
        <v/>
      </c>
      <c r="T1440" t="n">
        <v>0</v>
      </c>
      <c r="V1440" t="n">
        <v>0</v>
      </c>
    </row>
    <row r="1441">
      <c r="A1441">
        <f>Skills!A21</f>
        <v/>
      </c>
      <c r="B1441">
        <f>Skills!B21</f>
        <v/>
      </c>
      <c r="C1441">
        <f>Inputs!$B$3&gt;=15</f>
        <v/>
      </c>
      <c r="D1441">
        <f>IF(Skills!C21=1,60+Inputs!$B$25+Inputs!$B$29,IF(Skills!C21=2,90+Inputs!$B$26+Inputs!$B$29,IF(Skills!C21=3,120+Inputs!$B$27+Inputs!$B$29,MAX(0,(Inputs!$B$3-100)*3)+Inputs!$B$28+Inputs!$B$29)))</f>
        <v/>
      </c>
      <c r="E1441">
        <f>INDEX(FactorTable!$B$2:$Y$301, MATCH(ROUND(MIN(300,MAX(1,D1441)),0), FactorTable!$A$2:$A$301,0), Skills!M21+1)</f>
        <v/>
      </c>
      <c r="F1441">
        <f>IF(Skills!N21=TRUE,(Skills!L21/10)*(E1441/1000),Skills!L21/10)+Skills!O21</f>
        <v/>
      </c>
      <c r="G1441">
        <f>Calc!G21</f>
        <v/>
      </c>
      <c r="H1441">
        <f>Calc!H21</f>
        <v/>
      </c>
      <c r="I1441">
        <f>IF(Skills!AA21&lt;&gt;"",1+(Skills!AA21/10)*(U1423/1000)/100,1)</f>
        <v/>
      </c>
      <c r="J1441" t="inlineStr"/>
      <c r="K1441" t="inlineStr"/>
      <c r="L1441" t="inlineStr"/>
      <c r="M1441" t="inlineStr"/>
      <c r="N1441" t="inlineStr"/>
      <c r="O1441">
        <f>(1-Summary!$B$55)*T1441+Summary!$B$55*V1441</f>
        <v/>
      </c>
      <c r="P1441">
        <f>IF(B1464=0,0,O1441/B1464)</f>
        <v/>
      </c>
      <c r="Q1441">
        <f>IFERROR(1/IF(Inputs!$B$39="pvp",15,MAX(0.1,Skills!D21-IF(Skills!E21=TRUE,1.0,0))),0)</f>
        <v/>
      </c>
      <c r="R1441">
        <f>IF(AND(Inputs!$B$39&lt;&gt;"pvp",Inputs!$B$44&gt;0),IF(Inputs!$B$44&lt;=0,0,(INT(Inputs!$B$44/IF(Inputs!$B$39="pvp",15,MAX(0.1,Skills!D21-IF(Skills!E21=TRUE,1.0,0))))+1)),0)</f>
        <v/>
      </c>
      <c r="S1441">
        <f>IFERROR(O1441/N1441,0)</f>
        <v/>
      </c>
      <c r="T1441" t="n">
        <v>0</v>
      </c>
      <c r="V1441" t="n">
        <v>0</v>
      </c>
    </row>
    <row r="1442">
      <c r="A1442">
        <f>Skills!A22</f>
        <v/>
      </c>
      <c r="B1442">
        <f>Skills!B22</f>
        <v/>
      </c>
      <c r="C1442">
        <f>Inputs!$B$3&gt;=33</f>
        <v/>
      </c>
      <c r="D1442">
        <f>IF(Skills!C22=1,60+Inputs!$B$25+Inputs!$B$29,IF(Skills!C22=2,90+Inputs!$B$26+Inputs!$B$29,IF(Skills!C22=3,120+Inputs!$B$27+Inputs!$B$29,MAX(0,(Inputs!$B$3-100)*3)+Inputs!$B$28+Inputs!$B$29)))</f>
        <v/>
      </c>
      <c r="E1442">
        <f>INDEX(FactorTable!$B$2:$Y$301, MATCH(ROUND(MIN(300,MAX(1,D1442)),0), FactorTable!$A$2:$A$301,0), Skills!M22+1)</f>
        <v/>
      </c>
      <c r="F1442">
        <f>IF(Skills!N22=TRUE,(Skills!L22/10)*(E1442/1000),Skills!L22/10)+Skills!O22</f>
        <v/>
      </c>
      <c r="G1442">
        <f>Calc!G22</f>
        <v/>
      </c>
      <c r="H1442">
        <f>Calc!H22</f>
        <v/>
      </c>
      <c r="I1442">
        <f>IF(Skills!AA22&lt;&gt;"",1+(Skills!AA22/10)*(U1423/1000)/100,1)</f>
        <v/>
      </c>
      <c r="J1442" t="inlineStr"/>
      <c r="K1442" t="inlineStr"/>
      <c r="L1442" t="inlineStr"/>
      <c r="M1442" t="inlineStr"/>
      <c r="N1442" t="inlineStr"/>
      <c r="O1442">
        <f>(1-Summary!$B$55)*T1442+Summary!$B$55*V1442</f>
        <v/>
      </c>
      <c r="P1442">
        <f>IF(B1464=0,0,O1442/B1464)</f>
        <v/>
      </c>
      <c r="Q1442" t="n">
        <v>0</v>
      </c>
      <c r="R1442" t="n">
        <v>0</v>
      </c>
      <c r="S1442">
        <f>IFERROR(O1442/N1442,0)</f>
        <v/>
      </c>
      <c r="T1442" t="n">
        <v>0</v>
      </c>
      <c r="V1442" t="n">
        <v>0</v>
      </c>
    </row>
    <row r="1443">
      <c r="A1443">
        <f>Skills!A23</f>
        <v/>
      </c>
      <c r="B1443">
        <f>Skills!B23</f>
        <v/>
      </c>
      <c r="C1443">
        <f>Inputs!$B$3&gt;=38</f>
        <v/>
      </c>
      <c r="D1443">
        <f>IF(Skills!C23=1,60+Inputs!$B$25+Inputs!$B$29,IF(Skills!C23=2,90+Inputs!$B$26+Inputs!$B$29,IF(Skills!C23=3,120+Inputs!$B$27+Inputs!$B$29,MAX(0,(Inputs!$B$3-100)*3)+Inputs!$B$28+Inputs!$B$29)))</f>
        <v/>
      </c>
      <c r="E1443">
        <f>INDEX(FactorTable!$B$2:$Y$301, MATCH(ROUND(MIN(300,MAX(1,D1443)),0), FactorTable!$A$2:$A$301,0), Skills!M23+1)</f>
        <v/>
      </c>
      <c r="F1443">
        <f>IF(Skills!N23=TRUE,(Skills!L23/10)*(E1443/1000),Skills!L23/10)+Skills!O23</f>
        <v/>
      </c>
      <c r="G1443">
        <f>Calc!G23</f>
        <v/>
      </c>
      <c r="H1443">
        <f>Calc!H23</f>
        <v/>
      </c>
      <c r="I1443">
        <f>IF(Skills!AA23&lt;&gt;"",1+(Skills!AA23/10)*(U1423/1000)/100,1)</f>
        <v/>
      </c>
      <c r="J1443" t="inlineStr"/>
      <c r="K1443" t="inlineStr"/>
      <c r="L1443" t="inlineStr"/>
      <c r="M1443" t="inlineStr"/>
      <c r="N1443" t="inlineStr"/>
      <c r="O1443">
        <f>(1-Summary!$B$55)*T1443+Summary!$B$55*V1443</f>
        <v/>
      </c>
      <c r="P1443">
        <f>IF(B1464=0,0,O1443/B1464)</f>
        <v/>
      </c>
      <c r="Q1443" t="n">
        <v>0</v>
      </c>
      <c r="R1443" t="n">
        <v>0</v>
      </c>
      <c r="S1443">
        <f>IFERROR(O1443/N1443,0)</f>
        <v/>
      </c>
      <c r="T1443" t="n">
        <v>0</v>
      </c>
      <c r="V1443" t="n">
        <v>0</v>
      </c>
    </row>
    <row r="1444">
      <c r="A1444">
        <f>Skills!A24</f>
        <v/>
      </c>
      <c r="B1444">
        <f>Skills!B24</f>
        <v/>
      </c>
      <c r="C1444">
        <f>Inputs!$B$3&gt;=40</f>
        <v/>
      </c>
      <c r="D1444">
        <f>IF(Skills!C24=1,60+Inputs!$B$25+Inputs!$B$29,IF(Skills!C24=2,90+Inputs!$B$26+Inputs!$B$29,IF(Skills!C24=3,120+Inputs!$B$27+Inputs!$B$29,MAX(0,(Inputs!$B$3-100)*3)+Inputs!$B$28+Inputs!$B$29)))</f>
        <v/>
      </c>
      <c r="E1444">
        <f>INDEX(FactorTable!$B$2:$Y$301, MATCH(ROUND(MIN(300,MAX(1,D1444)),0), FactorTable!$A$2:$A$301,0), Skills!M24+1)</f>
        <v/>
      </c>
      <c r="F1444">
        <f>IF(Skills!N24=TRUE,(Skills!L24/10)*(E1444/1000),Skills!L24/10)+Skills!O24</f>
        <v/>
      </c>
      <c r="G1444">
        <f>Calc!G24</f>
        <v/>
      </c>
      <c r="H1444">
        <f>Calc!H24</f>
        <v/>
      </c>
      <c r="I1444">
        <f>IF(Skills!AA24&lt;&gt;"",1+(Skills!AA24/10)*(U1423/1000)/100,1)</f>
        <v/>
      </c>
      <c r="J1444" t="inlineStr"/>
      <c r="K1444" t="inlineStr"/>
      <c r="L1444" t="inlineStr"/>
      <c r="M1444" t="inlineStr"/>
      <c r="N1444" t="inlineStr"/>
      <c r="O1444">
        <f>(1-Summary!$B$55)*T1444+Summary!$B$55*V1444</f>
        <v/>
      </c>
      <c r="P1444">
        <f>IF(B1464=0,0,O1444/B1464)</f>
        <v/>
      </c>
      <c r="Q1444" t="n">
        <v>0</v>
      </c>
      <c r="R1444" t="n">
        <v>0</v>
      </c>
      <c r="S1444">
        <f>IFERROR(O1444/N1444,0)</f>
        <v/>
      </c>
      <c r="T1444" t="n">
        <v>0</v>
      </c>
      <c r="V1444" t="n">
        <v>0</v>
      </c>
    </row>
    <row r="1445">
      <c r="A1445">
        <f>Skills!A25</f>
        <v/>
      </c>
      <c r="B1445">
        <f>Skills!B25</f>
        <v/>
      </c>
      <c r="C1445">
        <f>Inputs!$B$3&gt;=45</f>
        <v/>
      </c>
      <c r="D1445">
        <f>IF(Skills!C25=1,60+Inputs!$B$25+Inputs!$B$29,IF(Skills!C25=2,90+Inputs!$B$26+Inputs!$B$29,IF(Skills!C25=3,120+Inputs!$B$27+Inputs!$B$29,MAX(0,(Inputs!$B$3-100)*3)+Inputs!$B$28+Inputs!$B$29)))</f>
        <v/>
      </c>
      <c r="E1445">
        <f>INDEX(FactorTable!$B$2:$Y$301, MATCH(ROUND(MIN(300,MAX(1,D1445)),0), FactorTable!$A$2:$A$301,0), Skills!M25+1)</f>
        <v/>
      </c>
      <c r="F1445">
        <f>IF(Skills!N25=TRUE,(Skills!L25/10)*(E1445/1000),Skills!L25/10)+Skills!O25</f>
        <v/>
      </c>
      <c r="G1445">
        <f>Calc!G25</f>
        <v/>
      </c>
      <c r="H1445">
        <f>Calc!H25</f>
        <v/>
      </c>
      <c r="I1445">
        <f>IF(Skills!AA25&lt;&gt;"",1+(Skills!AA25/10)*(U1423/1000)/100,1)</f>
        <v/>
      </c>
      <c r="J1445" t="inlineStr"/>
      <c r="K1445" t="inlineStr"/>
      <c r="L1445" t="inlineStr"/>
      <c r="M1445" t="inlineStr"/>
      <c r="N1445" t="inlineStr"/>
      <c r="O1445">
        <f>(1-Summary!$B$55)*T1445+Summary!$B$55*V1445</f>
        <v/>
      </c>
      <c r="P1445">
        <f>IF(B1464=0,0,O1445/B1464)</f>
        <v/>
      </c>
      <c r="Q1445" t="n">
        <v>0</v>
      </c>
      <c r="R1445" t="n">
        <v>0</v>
      </c>
      <c r="S1445">
        <f>IFERROR(O1445/N1445,0)</f>
        <v/>
      </c>
      <c r="T1445" t="n">
        <v>0</v>
      </c>
      <c r="V1445" t="n">
        <v>0</v>
      </c>
    </row>
    <row r="1446">
      <c r="A1446">
        <f>Skills!A26</f>
        <v/>
      </c>
      <c r="B1446">
        <f>Skills!B26</f>
        <v/>
      </c>
      <c r="C1446">
        <f>Inputs!$B$3&gt;=45</f>
        <v/>
      </c>
      <c r="D1446">
        <f>IF(Skills!C26=1,60+Inputs!$B$25+Inputs!$B$29,IF(Skills!C26=2,90+Inputs!$B$26+Inputs!$B$29,IF(Skills!C26=3,120+Inputs!$B$27+Inputs!$B$29,MAX(0,(Inputs!$B$3-100)*3)+Inputs!$B$28+Inputs!$B$29)))</f>
        <v/>
      </c>
      <c r="E1446">
        <f>INDEX(FactorTable!$B$2:$Y$301, MATCH(ROUND(MIN(300,MAX(1,D1446)),0), FactorTable!$A$2:$A$301,0), Skills!M26+1)</f>
        <v/>
      </c>
      <c r="F1446">
        <f>IF(Skills!N26=TRUE,(Skills!L26/10)*(E1446/1000),Skills!L26/10)+Skills!O26</f>
        <v/>
      </c>
      <c r="G1446">
        <f>Calc!G26</f>
        <v/>
      </c>
      <c r="H1446">
        <f>Calc!H26</f>
        <v/>
      </c>
      <c r="I1446">
        <f>IF(Skills!AA26&lt;&gt;"",1+(Skills!AA26/10)*(U1423/1000)/100,1)</f>
        <v/>
      </c>
      <c r="J1446" t="inlineStr"/>
      <c r="K1446" t="inlineStr"/>
      <c r="L1446" t="inlineStr"/>
      <c r="M1446" t="inlineStr"/>
      <c r="N1446" t="inlineStr"/>
      <c r="O1446">
        <f>(1-Summary!$B$55)*T1446+Summary!$B$55*V1446</f>
        <v/>
      </c>
      <c r="P1446">
        <f>IF(B1464=0,0,O1446/B1464)</f>
        <v/>
      </c>
      <c r="Q1446" t="n">
        <v>0</v>
      </c>
      <c r="R1446" t="n">
        <v>0</v>
      </c>
      <c r="S1446">
        <f>IFERROR(O1446/N1446,0)</f>
        <v/>
      </c>
      <c r="T1446" t="n">
        <v>0</v>
      </c>
      <c r="V1446" t="n">
        <v>0</v>
      </c>
    </row>
    <row r="1447">
      <c r="A1447">
        <f>Skills!A27</f>
        <v/>
      </c>
      <c r="B1447">
        <f>Skills!B27</f>
        <v/>
      </c>
      <c r="C1447">
        <f>Inputs!$B$3&gt;=72</f>
        <v/>
      </c>
      <c r="D1447">
        <f>IF(Skills!C27=1,60+Inputs!$B$25+Inputs!$B$29,IF(Skills!C27=2,90+Inputs!$B$26+Inputs!$B$29,IF(Skills!C27=3,120+Inputs!$B$27+Inputs!$B$29,MAX(0,(Inputs!$B$3-100)*3)+Inputs!$B$28+Inputs!$B$29)))</f>
        <v/>
      </c>
      <c r="E1447">
        <f>INDEX(FactorTable!$B$2:$Y$301, MATCH(ROUND(MIN(300,MAX(1,D1447)),0), FactorTable!$A$2:$A$301,0), Skills!M27+1)</f>
        <v/>
      </c>
      <c r="F1447">
        <f>IF(Skills!N27=TRUE,(Skills!L27/10)*(E1447/1000),Skills!L27/10)+Skills!O27</f>
        <v/>
      </c>
      <c r="G1447">
        <f>Calc!G27</f>
        <v/>
      </c>
      <c r="H1447">
        <f>Calc!H27</f>
        <v/>
      </c>
      <c r="I1447">
        <f>IF(Skills!AA27&lt;&gt;"",1+(Skills!AA27/10)*(U1423/1000)/100,1)</f>
        <v/>
      </c>
      <c r="J1447" t="inlineStr"/>
      <c r="K1447" t="inlineStr"/>
      <c r="L1447" t="inlineStr"/>
      <c r="M1447" t="inlineStr"/>
      <c r="N1447" t="inlineStr"/>
      <c r="O1447">
        <f>(1-Summary!$B$55)*T1447+Summary!$B$55*V1447</f>
        <v/>
      </c>
      <c r="P1447">
        <f>IF(B1464=0,0,O1447/B1464)</f>
        <v/>
      </c>
      <c r="Q1447" t="n">
        <v>0</v>
      </c>
      <c r="R1447" t="n">
        <v>0</v>
      </c>
      <c r="S1447">
        <f>IFERROR(O1447/N1447,0)</f>
        <v/>
      </c>
      <c r="T1447" t="n">
        <v>0</v>
      </c>
      <c r="V1447" t="n">
        <v>0</v>
      </c>
    </row>
    <row r="1448">
      <c r="A1448">
        <f>Skills!A28</f>
        <v/>
      </c>
      <c r="B1448">
        <f>Skills!B28</f>
        <v/>
      </c>
      <c r="C1448">
        <f>Inputs!$B$3&gt;=75</f>
        <v/>
      </c>
      <c r="D1448">
        <f>IF(Skills!C28=1,60+Inputs!$B$25+Inputs!$B$29,IF(Skills!C28=2,90+Inputs!$B$26+Inputs!$B$29,IF(Skills!C28=3,120+Inputs!$B$27+Inputs!$B$29,MAX(0,(Inputs!$B$3-100)*3)+Inputs!$B$28+Inputs!$B$29)))</f>
        <v/>
      </c>
      <c r="E1448">
        <f>INDEX(FactorTable!$B$2:$Y$301, MATCH(ROUND(MIN(300,MAX(1,D1448)),0), FactorTable!$A$2:$A$301,0), Skills!M28+1)</f>
        <v/>
      </c>
      <c r="F1448">
        <f>IF(Skills!N28=TRUE,(Skills!L28/10)*(E1448/1000),Skills!L28/10)+Skills!O28</f>
        <v/>
      </c>
      <c r="G1448">
        <f>Calc!G28</f>
        <v/>
      </c>
      <c r="H1448">
        <f>Calc!H28</f>
        <v/>
      </c>
      <c r="I1448">
        <f>IF(Skills!AA28&lt;&gt;"",1+(Skills!AA28/10)*(U1423/1000)/100,1)</f>
        <v/>
      </c>
      <c r="J1448" t="inlineStr"/>
      <c r="K1448" t="inlineStr"/>
      <c r="L1448" t="inlineStr"/>
      <c r="M1448" t="inlineStr"/>
      <c r="N1448" t="inlineStr"/>
      <c r="O1448">
        <f>(1-Summary!$B$55)*T1448+Summary!$B$55*V1448</f>
        <v/>
      </c>
      <c r="P1448">
        <f>IF(B1464=0,0,O1448/B1464)</f>
        <v/>
      </c>
      <c r="Q1448" t="n">
        <v>0</v>
      </c>
      <c r="R1448" t="n">
        <v>0</v>
      </c>
      <c r="S1448">
        <f>IFERROR(O1448/N1448,0)</f>
        <v/>
      </c>
      <c r="T1448" t="n">
        <v>0</v>
      </c>
      <c r="V1448" t="n">
        <v>0</v>
      </c>
    </row>
    <row r="1449">
      <c r="A1449">
        <f>Skills!A29</f>
        <v/>
      </c>
      <c r="B1449">
        <f>Skills!B29</f>
        <v/>
      </c>
      <c r="C1449">
        <f>Inputs!$B$3&gt;=120</f>
        <v/>
      </c>
      <c r="D1449">
        <f>IF(Skills!C29=1,60+Inputs!$B$25+Inputs!$B$29,IF(Skills!C29=2,90+Inputs!$B$26+Inputs!$B$29,IF(Skills!C29=3,120+Inputs!$B$27+Inputs!$B$29,MAX(0,(Inputs!$B$3-100)*3)+Inputs!$B$28+Inputs!$B$29)))</f>
        <v/>
      </c>
      <c r="E1449">
        <f>INDEX(FactorTable!$B$2:$Y$301, MATCH(ROUND(MIN(300,MAX(1,D1449)),0), FactorTable!$A$2:$A$301,0), Skills!M29+1)</f>
        <v/>
      </c>
      <c r="F1449">
        <f>IF(Skills!N29=TRUE,(Skills!L29/10)*(E1449/1000),Skills!L29/10)+Skills!O29</f>
        <v/>
      </c>
      <c r="G1449">
        <f>Calc!G29</f>
        <v/>
      </c>
      <c r="H1449">
        <f>Calc!H29</f>
        <v/>
      </c>
      <c r="I1449">
        <f>IF(Skills!AA29&lt;&gt;"",1+(Skills!AA29/10)*(U1423/1000)/100,1)</f>
        <v/>
      </c>
      <c r="J1449" t="inlineStr"/>
      <c r="K1449" t="inlineStr"/>
      <c r="L1449" t="inlineStr"/>
      <c r="M1449" t="inlineStr"/>
      <c r="N1449" t="inlineStr"/>
      <c r="O1449">
        <f>(1-Summary!$B$55)*T1449+Summary!$B$55*V1449</f>
        <v/>
      </c>
      <c r="P1449">
        <f>IF(B1464=0,0,O1449/B1464)</f>
        <v/>
      </c>
      <c r="Q1449" t="n">
        <v>0</v>
      </c>
      <c r="R1449" t="n">
        <v>0</v>
      </c>
      <c r="S1449">
        <f>IFERROR(O1449/N1449,0)</f>
        <v/>
      </c>
      <c r="T1449" t="n">
        <v>0</v>
      </c>
      <c r="V1449" t="n">
        <v>0</v>
      </c>
    </row>
    <row r="1450">
      <c r="A1450">
        <f>Skills!A30</f>
        <v/>
      </c>
      <c r="B1450">
        <f>Skills!B30</f>
        <v/>
      </c>
      <c r="C1450">
        <f>Inputs!$B$3&gt;=125</f>
        <v/>
      </c>
      <c r="D1450">
        <f>IF(Skills!C30=1,60+Inputs!$B$25+Inputs!$B$29,IF(Skills!C30=2,90+Inputs!$B$26+Inputs!$B$29,IF(Skills!C30=3,120+Inputs!$B$27+Inputs!$B$29,MAX(0,(Inputs!$B$3-100)*3)+Inputs!$B$28+Inputs!$B$29)))</f>
        <v/>
      </c>
      <c r="E1450">
        <f>INDEX(FactorTable!$B$2:$Y$301, MATCH(ROUND(MIN(300,MAX(1,D1450)),0), FactorTable!$A$2:$A$301,0), Skills!M30+1)</f>
        <v/>
      </c>
      <c r="F1450">
        <f>IF(Skills!N30=TRUE,(Skills!L30/10)*(E1450/1000),Skills!L30/10)+Skills!O30</f>
        <v/>
      </c>
      <c r="G1450">
        <f>Calc!G30</f>
        <v/>
      </c>
      <c r="H1450">
        <f>Calc!H30</f>
        <v/>
      </c>
      <c r="I1450">
        <f>IF(Skills!AA30&lt;&gt;"",1+(Skills!AA30/10)*(U1423/1000)/100,1)</f>
        <v/>
      </c>
      <c r="J1450" t="inlineStr"/>
      <c r="K1450" t="inlineStr"/>
      <c r="L1450" t="inlineStr"/>
      <c r="M1450" t="inlineStr"/>
      <c r="N1450" t="inlineStr"/>
      <c r="O1450">
        <f>(1-Summary!$B$55)*T1450+Summary!$B$55*V1450</f>
        <v/>
      </c>
      <c r="P1450">
        <f>IF(B1464=0,0,O1450/B1464)</f>
        <v/>
      </c>
      <c r="Q1450" t="n">
        <v>0</v>
      </c>
      <c r="R1450" t="n">
        <v>0</v>
      </c>
      <c r="S1450">
        <f>IFERROR(O1450/N1450,0)</f>
        <v/>
      </c>
      <c r="T1450" t="n">
        <v>0</v>
      </c>
      <c r="V1450" t="n">
        <v>0</v>
      </c>
    </row>
    <row r="1451">
      <c r="A1451">
        <f>Skills!A31</f>
        <v/>
      </c>
      <c r="B1451">
        <f>Skills!B31</f>
        <v/>
      </c>
      <c r="C1451">
        <f>Inputs!$B$3&gt;=107</f>
        <v/>
      </c>
      <c r="D1451">
        <f>IF(Skills!C31=1,60+Inputs!$B$25+Inputs!$B$29,IF(Skills!C31=2,90+Inputs!$B$26+Inputs!$B$29,IF(Skills!C31=3,120+Inputs!$B$27+Inputs!$B$29,MAX(0,(Inputs!$B$3-100)*3)+Inputs!$B$28+Inputs!$B$29)))</f>
        <v/>
      </c>
      <c r="E1451">
        <f>INDEX(FactorTable!$B$2:$Y$301, MATCH(ROUND(MIN(300,MAX(1,D1451)),0), FactorTable!$A$2:$A$301,0), Skills!M31+1)</f>
        <v/>
      </c>
      <c r="F1451">
        <f>IF(Skills!N31=TRUE,(Skills!L31/10)*(E1451/1000),Skills!L31/10)+Skills!O31</f>
        <v/>
      </c>
      <c r="G1451">
        <f>Calc!G31</f>
        <v/>
      </c>
      <c r="H1451">
        <f>Calc!H31</f>
        <v/>
      </c>
      <c r="I1451">
        <f>IF(Skills!AA31&lt;&gt;"",1+(Skills!AA31/10)*(U1423/1000)/100,1)</f>
        <v/>
      </c>
      <c r="J1451" t="inlineStr"/>
      <c r="K1451" t="inlineStr"/>
      <c r="L1451" t="inlineStr"/>
      <c r="M1451" t="inlineStr"/>
      <c r="N1451" t="inlineStr"/>
      <c r="O1451">
        <f>(1-Summary!$B$55)*T1451+Summary!$B$55*V1451</f>
        <v/>
      </c>
      <c r="P1451">
        <f>IF(B1464=0,0,O1451/B1464)</f>
        <v/>
      </c>
      <c r="Q1451" t="n">
        <v>0</v>
      </c>
      <c r="R1451" t="n">
        <v>0</v>
      </c>
      <c r="S1451">
        <f>IFERROR(O1451/N1451,0)</f>
        <v/>
      </c>
      <c r="T1451" t="n">
        <v>0</v>
      </c>
      <c r="V1451" t="n">
        <v>0</v>
      </c>
    </row>
    <row r="1453">
      <c r="A1453" t="inlineStr">
        <is>
          <t>Actions Per Second (pre-Adrenalin)</t>
        </is>
      </c>
      <c r="B1453">
        <f>1+MIN(150,150*(1-(1-(Inputs!$B$11+((C1442=TRUE)*(F1442-Calc!F22)))/150)*(1-((C1439=TRUE)*F1439*IF(AND(Inputs!$B$39&lt;&gt;"pvp",Inputs!$B$44&gt;0),(((R1439-1)*(Skills!Y19*(1+Inputs!$B$34/100))+MIN((Skills!Y19*(1+Inputs!$B$34/100)),MAX(0,Inputs!$B$44-((R1439-1)*Skills!D19))))/Inputs!$B$44),IF(Inputs!$B$39="pvp",MIN((Skills!Y19*(1+Inputs!$B$34/100)),15)/15,(Skills!Y19*(1+Inputs!$B$34/100))/Skills!D19)))/150)))/100</f>
        <v/>
      </c>
    </row>
    <row r="1454">
      <c r="A1454" t="inlineStr">
        <is>
          <t>Alchemic Adrenaline Uptime</t>
        </is>
      </c>
      <c r="B1454">
        <f>(Skills!Y6*(1+Inputs!$B$34/100))/((Skills!Y6*(1+Inputs!$B$34/100))+(5/B1453))</f>
        <v/>
      </c>
    </row>
    <row r="1455">
      <c r="A1455" t="inlineStr">
        <is>
          <t>Attack Speed Buff Bonus %</t>
        </is>
      </c>
      <c r="B1455">
        <f>((C1439=TRUE)*F1439*IF(AND(Inputs!$B$39&lt;&gt;"pvp",Inputs!$B$44&gt;0),(((R1439-1)*(Skills!Y19*(1+Inputs!$B$34/100))+MIN((Skills!Y19*(1+Inputs!$B$34/100)),MAX(0,Inputs!$B$44-((R1439-1)*Skills!D19))))/Inputs!$B$44),IF(Inputs!$B$39="pvp",MIN((Skills!Y19*(1+Inputs!$B$34/100)),15)/15,(Skills!Y19*(1+Inputs!$B$34/100))/Skills!D19)))+((C1427=TRUE)*F1427*B1454)</f>
        <v/>
      </c>
    </row>
    <row r="1456">
      <c r="A1456" t="inlineStr">
        <is>
          <t>Actions Per Second (final)</t>
        </is>
      </c>
      <c r="B1456">
        <f>1+MIN(150,150*(1-(1-(Inputs!$B$11+((C1442=TRUE)*(F1442-Calc!F22)))/150)*(1-B1455/150)))/100</f>
        <v/>
      </c>
    </row>
    <row r="1457">
      <c r="A1457" t="inlineStr">
        <is>
          <t>Skill + Buff Cast Rate</t>
        </is>
      </c>
      <c r="B1457">
        <f>IF(AND(Inputs!$B$39&lt;&gt;"pvp",Inputs!$B$44&gt;0),SUMPRODUCT((Skills!E2:E31=TRUE)*(C1422:C1451=TRUE)*R1422:R1451*Skills!F2:F31)/Inputs!$B$44,SUMPRODUCT((Skills!E2:E31=TRUE)*(C1422:C1451=TRUE)*Q1422:Q1451*Skills!F2:F31))</f>
        <v/>
      </c>
    </row>
    <row r="1458">
      <c r="A1458" t="inlineStr">
        <is>
          <t>Showdown Casts Per Second</t>
        </is>
      </c>
      <c r="B1458">
        <f>MAX(0,B1456-B1457)</f>
        <v/>
      </c>
    </row>
    <row r="1459">
      <c r="A1459" t="inlineStr">
        <is>
          <t>Average Buff Multiplier</t>
        </is>
      </c>
      <c r="B1459">
        <f>(1+(((C1441=TRUE)*F1441*IF(AND(Inputs!$B$39&lt;&gt;"pvp",Inputs!$B$44&gt;0),(((R1441-1)*(Skills!Y21*(1+Inputs!$B$34/100))+MIN((Skills!Y21*(1+Inputs!$B$34/100)),MAX(0,Inputs!$B$44-((R1441-1)*Skills!D21))))/Inputs!$B$44),IF(Inputs!$B$39="pvp",MIN((Skills!Y21*(1+Inputs!$B$34/100)),15)/15,(Skills!Y21*(1+Inputs!$B$34/100))/Skills!D21)))+((C1448=TRUE)*(F1448-Calc!F28))+((C1438=TRUE)*(F1438-Calc!F18)))/100)*(1+((C1435=TRUE)*F1435*IF(AND(Inputs!$B$39&lt;&gt;"pvp",Inputs!$B$44&gt;0),(((R1435-1)*(Skills!Y15*(1+Inputs!$B$34/100))+MIN((Skills!Y15*(1+Inputs!$B$34/100)),MAX(0,Inputs!$B$44-((R1435-1)*Skills!D15))))/Inputs!$B$44),IF(Inputs!$B$39="pvp",MIN((Skills!Y15*(1+Inputs!$B$34/100)),15)/15,(Skills!Y15*(1+Inputs!$B$34/100))/Skills!D15)))/100)*(1+((C1426=TRUE)*F1426*B1454)/100)</f>
        <v/>
      </c>
    </row>
    <row r="1460">
      <c r="A1460" t="inlineStr">
        <is>
          <t>Global Crit Rate Bonus %</t>
        </is>
      </c>
      <c r="B1460">
        <f>IF(Inputs!$B$3&gt;=47,8,0)+((C1440=TRUE)*F1440*IF(AND(Inputs!$B$39&lt;&gt;"pvp",Inputs!$B$44&gt;0),(((R1440-1)*(Skills!Y20*(1+Inputs!$B$34/100))+MIN((Skills!Y20*(1+Inputs!$B$34/100)),MAX(0,Inputs!$B$44-((R1440-1)*Skills!D20))))/Inputs!$B$44),IF(Inputs!$B$39="pvp",MIN((Skills!Y20*(1+Inputs!$B$34/100)),15)/15,(Skills!Y20*(1+Inputs!$B$34/100))/Skills!D20)))</f>
        <v/>
      </c>
    </row>
    <row r="1461">
      <c r="A1461" t="inlineStr">
        <is>
          <t>Global Monster Damage-Taken Bonus %</t>
        </is>
      </c>
      <c r="B1461">
        <f>IF(Inputs!$B$3&gt;=82,15,0)+((C1436=TRUE)*F1436*IF(AND(Inputs!$B$39&lt;&gt;"pvp",Inputs!$B$44&gt;0),(((R1436-1)*(Skills!Y16*(1+Inputs!$B$34/100))+MIN((Skills!Y16*(1+Inputs!$B$34/100)),MAX(0,Inputs!$B$44-((R1436-1)*Skills!D16))))/Inputs!$B$44),IF(Inputs!$B$39="pvp",MIN((Skills!Y16*(1+Inputs!$B$34/100)),15)/15,(Skills!Y16*(1+Inputs!$B$34/100))/Skills!D16)))</f>
        <v/>
      </c>
    </row>
    <row r="1462">
      <c r="A1462" t="inlineStr">
        <is>
          <t>Shadow Partner Average Multiplier</t>
        </is>
      </c>
      <c r="B1462">
        <f>1+((C1431=TRUE)*F1431*I1431*Skills!J11/100)/100</f>
        <v/>
      </c>
    </row>
    <row r="1463">
      <c r="A1463" t="inlineStr">
        <is>
          <t>Global Critical Damage Bonus % (Frailty Curse Mastery Lv.111)</t>
        </is>
      </c>
      <c r="B1463">
        <f>IF(Inputs!$B$3&gt;=111,30,0)*IF(AND(Inputs!$B$39&lt;&gt;"pvp",Inputs!$B$44&gt;0),(((R1436-1)*(Skills!Y16*(1+Inputs!$B$34/100))+MIN((Skills!Y16*(1+Inputs!$B$34/100)),MAX(0,Inputs!$B$44-((R1436-1)*Skills!D16))))/Inputs!$B$44),IF(Inputs!$B$39="pvp",MIN((Skills!Y16*(1+Inputs!$B$34/100)),15)/15,(Skills!Y16*(1+Inputs!$B$34/100))/Skills!D16))</f>
        <v/>
      </c>
    </row>
    <row r="1464">
      <c r="A1464" s="5" t="inlineStr">
        <is>
          <t>TOTAL DPS</t>
        </is>
      </c>
      <c r="B1464" s="5">
        <f>SUM(O1422:O1451)</f>
        <v/>
      </c>
    </row>
    <row r="1465">
      <c r="A1465" t="inlineStr">
        <is>
          <t>Buff-Casting Startup Delay (s, fixed-duration only)</t>
        </is>
      </c>
      <c r="B1465">
        <f>IF(AND(Inputs!$B$39&lt;&gt;"pvp",Inputs!$B$44&gt;0),SUMPRODUCT((Skills!Y2:Y31&gt;0)*(Skills!E2:E31=TRUE)*(C1422:C1451=TRUE))/B1456,0)</f>
        <v/>
      </c>
    </row>
    <row r="1466">
      <c r="A1466" t="inlineStr">
        <is>
          <t>Boss-Only Total DPS (this block's swept value)</t>
        </is>
      </c>
      <c r="B1466">
        <f>SUM(T1422:T1451)</f>
        <v/>
      </c>
    </row>
    <row r="1467">
      <c r="A1467" t="inlineStr">
        <is>
          <t>Normal-Only Total DPS (this block's swept value)</t>
        </is>
      </c>
      <c r="B1467">
        <f>SUM(V1422:V1451)</f>
        <v/>
      </c>
    </row>
    <row r="1469">
      <c r="A1469" s="5" t="inlineStr">
        <is>
          <t>Stat: CDR = 1.5s</t>
        </is>
      </c>
    </row>
    <row r="1470">
      <c r="A1470" s="9" t="inlineStr">
        <is>
          <t>Key</t>
        </is>
      </c>
      <c r="B1470" s="9" t="inlineStr">
        <is>
          <t>Name</t>
        </is>
      </c>
      <c r="C1470" s="9" t="inlineStr">
        <is>
          <t>Unlocked</t>
        </is>
      </c>
      <c r="D1470" s="9" t="inlineStr">
        <is>
          <t>InputLevel</t>
        </is>
      </c>
      <c r="E1470" s="9" t="inlineStr">
        <is>
          <t>Factor</t>
        </is>
      </c>
      <c r="F1470" s="9" t="inlineStr">
        <is>
          <t>CoefficientPercent</t>
        </is>
      </c>
      <c r="G1470" s="9" t="inlineStr">
        <is>
          <t>EffectiveHits</t>
        </is>
      </c>
      <c r="H1470" s="9" t="inlineStr">
        <is>
          <t>ProcProbability</t>
        </is>
      </c>
      <c r="I1470" s="9" t="inlineStr">
        <is>
          <t>MapleHeroMultiplier</t>
        </is>
      </c>
      <c r="J1470" s="9" t="inlineStr">
        <is>
          <t>BaseDamage</t>
        </is>
      </c>
      <c r="K1470" s="9" t="inlineStr">
        <is>
          <t>BaseHitDamage</t>
        </is>
      </c>
      <c r="L1470" s="9" t="inlineStr">
        <is>
          <t>NonCritAvg</t>
        </is>
      </c>
      <c r="M1470" s="9" t="inlineStr">
        <is>
          <t>CritAvg</t>
        </is>
      </c>
      <c r="N1470" s="9" t="inlineStr">
        <is>
          <t>ExpectedDamage(perHit)</t>
        </is>
      </c>
      <c r="O1470" s="9" t="inlineStr">
        <is>
          <t>DPS</t>
        </is>
      </c>
      <c r="P1470" s="9" t="inlineStr">
        <is>
          <t>% of Total</t>
        </is>
      </c>
      <c r="Q1470" s="9" t="inlineStr">
        <is>
          <t>InvCooldown</t>
        </is>
      </c>
      <c r="R1470" s="9" t="inlineStr">
        <is>
          <t>CastsInFight</t>
        </is>
      </c>
      <c r="S1470" s="9" t="inlineStr">
        <is>
          <t>HitRate(perSec)</t>
        </is>
      </c>
      <c r="U1470" t="inlineStr">
        <is>
          <t>helpers</t>
        </is>
      </c>
    </row>
    <row r="1471">
      <c r="A1471">
        <f>Skills!A2</f>
        <v/>
      </c>
      <c r="B1471">
        <f>Skills!B2</f>
        <v/>
      </c>
      <c r="C1471">
        <f>Inputs!$B$3&gt;=100</f>
        <v/>
      </c>
      <c r="D1471" t="inlineStr"/>
      <c r="E1471" t="inlineStr"/>
      <c r="F1471">
        <f>U1475+Skills!O2</f>
        <v/>
      </c>
      <c r="G1471">
        <f>Calc!G2</f>
        <v/>
      </c>
      <c r="H1471">
        <f>Calc!H2</f>
        <v/>
      </c>
      <c r="I1471">
        <f>IF(Skills!AA2&lt;&gt;"",1+(Skills!AA2/10)*(U1472/1000)/100,1)</f>
        <v/>
      </c>
      <c r="J1471">
        <f>((Inputs!$B$6*(1+Inputs!$B$7/100))+(((Inputs!$B$12*(1+Inputs!$B$13/100))-(Inputs!$B$12*(1+Inputs!$B$13/100)))+0.25*(Inputs!$B$14-Inputs!$B$14))*(1+Inputs!$B$7/100))*(F1471/100)</f>
        <v/>
      </c>
      <c r="K1471">
        <f>J1471*(1+((Inputs!$B$12*(1+Inputs!$B$13/100))*0.01+Inputs!$B$14*0.0025)/100)*(1+Inputs!$B$15/100)*(1+Inputs!$B$16/100)*(5000/(6000+Inputs!$B$43*(1-Inputs!$B$19/100)))*(1+(Inputs!$B$24+((C1499=TRUE)*(F1499-Calc!F30)))/100)*(1+Skills!R2/100)*(1+(IF(Skills!A2="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1471)</f>
        <v/>
      </c>
      <c r="L1471">
        <f>K1471*(MIN(Inputs!$B$22+((C1493=TRUE)*(F1493-Calc!F24)),Inputs!$B$23)/100+Inputs!$B$23/100)/2</f>
        <v/>
      </c>
      <c r="M1471">
        <f>L1471*(1+(Inputs!$B$10+((C1495=TRUE)*(F1495-Calc!F26))+B1512)/100)</f>
        <v/>
      </c>
      <c r="N1471">
        <f>L1471*(1-MIN((Inputs!$B$9+((C1494=TRUE)*(F1494-Calc!F25))+B1509),100)/100)+M1471*(MIN((Inputs!$B$9+((C1494=TRUE)*(F1494-Calc!F25))+B1509),100)/100)</f>
        <v/>
      </c>
      <c r="O1471">
        <f>(1-Summary!$B$55)*T1471+Summary!$B$55*V1471</f>
        <v/>
      </c>
      <c r="P1471">
        <f>IF(B1513=0,0,O1471/B1513)</f>
        <v/>
      </c>
      <c r="Q1471" t="n">
        <v>0</v>
      </c>
      <c r="R1471" t="n">
        <v>0</v>
      </c>
      <c r="S1471">
        <f>IFERROR(O1471/N1471,0)</f>
        <v/>
      </c>
      <c r="T1471">
        <f>IF(C1471,(Skills!G2*N1471*B1507)*IF(Inputs!$B$39="pvp",1,1+(Inputs!$B$20+((C1496=TRUE)*(F1496-Calc!F27))+Skills!P2+B1510)/100),0)</f>
        <v/>
      </c>
      <c r="U1471">
        <f>MAX(0,(Inputs!$B$3-100)*3)+Inputs!$B$28+Inputs!$B$29</f>
        <v/>
      </c>
      <c r="V1471">
        <f>IF(C1471,(Skills!G2*N1471*B1507)*IF(Inputs!$B$39="pvp",1,(1+(Inputs!$B$21+Skills!Q2+B1510)/100)*(MIN((6+Inputs!$B$33),Inputs!$B$37))),0)</f>
        <v/>
      </c>
    </row>
    <row r="1472">
      <c r="A1472">
        <f>Skills!A3</f>
        <v/>
      </c>
      <c r="B1472">
        <f>Skills!B3</f>
        <v/>
      </c>
      <c r="C1472">
        <f>Inputs!$B$3&gt;=35</f>
        <v/>
      </c>
      <c r="D1472">
        <f>IF(Skills!C3=1,60+Inputs!$B$25+Inputs!$B$29,IF(Skills!C3=2,90+Inputs!$B$26+Inputs!$B$29,IF(Skills!C3=3,120+Inputs!$B$27+Inputs!$B$29,MAX(0,(Inputs!$B$3-100)*3)+Inputs!$B$28+Inputs!$B$29)))</f>
        <v/>
      </c>
      <c r="E1472">
        <f>INDEX(FactorTable!$B$2:$Y$301, MATCH(ROUND(MIN(300,MAX(1,D1472)),0), FactorTable!$A$2:$A$301,0), Skills!M3+1)</f>
        <v/>
      </c>
      <c r="F1472">
        <f>IF(Skills!N3=TRUE,(Skills!L3/10)*(E1472/1000),Skills!L3/10)+Skills!O3</f>
        <v/>
      </c>
      <c r="G1472">
        <f>Calc!G3</f>
        <v/>
      </c>
      <c r="H1472">
        <f>Calc!H3</f>
        <v/>
      </c>
      <c r="I1472">
        <f>IF(Skills!AA3&lt;&gt;"",1+(Skills!AA3/10)*(U1472/1000)/100,1)</f>
        <v/>
      </c>
      <c r="J1472">
        <f>((Inputs!$B$6*(1+Inputs!$B$7/100))+(((Inputs!$B$12*(1+Inputs!$B$13/100))-(Inputs!$B$12*(1+Inputs!$B$13/100)))+0.25*(Inputs!$B$14-Inputs!$B$14))*(1+Inputs!$B$7/100))*(F1472/100)</f>
        <v/>
      </c>
      <c r="K1472">
        <f>J1472*(1+((Inputs!$B$12*(1+Inputs!$B$13/100))*0.01+Inputs!$B$14*0.0025)/100)*(1+Inputs!$B$15/100)*(1+Inputs!$B$16/100)*(5000/(6000+Inputs!$B$43*(1-Inputs!$B$19/100)))*(1+(Inputs!$B$24+((C1499=TRUE)*(F1499-Calc!F30)))/100)*(1+Skills!R3/100)*(1+(IF(Skills!A3="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1472)</f>
        <v/>
      </c>
      <c r="L1472">
        <f>K1472*(MIN(Inputs!$B$22+((C1493=TRUE)*(F1493-Calc!F24)),Inputs!$B$23)/100+Inputs!$B$23/100)/2</f>
        <v/>
      </c>
      <c r="M1472">
        <f>L1472*(1+(Inputs!$B$10+((C1495=TRUE)*(F1495-Calc!F26))+B1512)/100)</f>
        <v/>
      </c>
      <c r="N1472">
        <f>L1472*(1-MIN((Inputs!$B$9+((C1494=TRUE)*(F1494-Calc!F25))+B1509),100)/100)+M1472*(MIN((Inputs!$B$9+((C1494=TRUE)*(F1494-Calc!F25))+B1509),100)/100)</f>
        <v/>
      </c>
      <c r="O1472">
        <f>(1-Summary!$B$55)*T1472+Summary!$B$55*V1472</f>
        <v/>
      </c>
      <c r="P1472">
        <f>IF(B1513=0,0,O1472/B1513)</f>
        <v/>
      </c>
      <c r="Q1472">
        <f>IFERROR(1/IF(Inputs!$B$39="pvp",15,MAX(0.1,Skills!D3-IF(Skills!E3=TRUE,1.5,0))),0)</f>
        <v/>
      </c>
      <c r="R1472">
        <f>IF(AND(Inputs!$B$39&lt;&gt;"pvp",Inputs!$B$44&gt;0),IF(MAX(0,Inputs!$B$44-B1514)&lt;=0,0,(INT(MAX(0,Inputs!$B$44-B1514)/IF(Inputs!$B$39="pvp",15,MAX(0.1,Skills!D3-IF(Skills!E3=TRUE,1.5,0))))+1)),0)</f>
        <v/>
      </c>
      <c r="S1472">
        <f>IFERROR(O1472/N1472,0)</f>
        <v/>
      </c>
      <c r="T1472">
        <f>IF(C1472,(H1472*N1472*IF(AND(Inputs!$B$39&lt;&gt;"pvp",Inputs!$B$44&gt;0),((Skills!G3*((R1472-1)*IF(Skills!H3&gt;0,Skills!I3/Skills!H3,1)+IF(Skills!H3&gt;0,MIN(Skills!I3,MAX(0,MAX(0,Inputs!$B$44-B1514)-((R1472-1)*IF(Inputs!$B$39="pvp",15,MAX(0.1,Skills!D3-IF(Skills!E3=TRUE,1.5,0))))))/Skills!H3,1)))/Inputs!$B$44),G1472*Q1472))*IF(Inputs!$B$39="pvp",1,1+(Inputs!$B$20+((C1496=TRUE)*(F1496-Calc!F27))+Skills!P3+B1510)/100),0)</f>
        <v/>
      </c>
      <c r="U1472">
        <f>INDEX(FactorTable!$B$2:$Y$301, MATCH(ROUND(MIN(300,MAX(1,U1471)),0), FactorTable!$A$2:$A$301,0), 24)</f>
        <v/>
      </c>
      <c r="V1472">
        <f>IF(C1472,(H1472*N1472*IF(AND(Inputs!$B$39&lt;&gt;"pvp",Inputs!$B$44&gt;0),((Skills!G3*((R1472-1)*IF(Skills!H3&gt;0,Skills!I3/Skills!H3,1)+IF(Skills!H3&gt;0,MIN(Skills!I3,MAX(0,MAX(0,Inputs!$B$44-B1514)-((R1472-1)*IF(Inputs!$B$39="pvp",15,MAX(0.1,Skills!D3-IF(Skills!E3=TRUE,1.5,0))))))/Skills!H3,1)))/Inputs!$B$44),G1472*Q1472))*IF(Inputs!$B$39="pvp",1,(1+(Inputs!$B$21+Skills!Q3+B1510)/100)*(MIN(Skills!W3,Inputs!$B$37))),0)</f>
        <v/>
      </c>
    </row>
    <row r="1473">
      <c r="A1473">
        <f>Skills!A4</f>
        <v/>
      </c>
      <c r="B1473">
        <f>Skills!B4</f>
        <v/>
      </c>
      <c r="C1473">
        <f>Inputs!$B$3&gt;=40</f>
        <v/>
      </c>
      <c r="D1473">
        <f>IF(Skills!C4=1,60+Inputs!$B$25+Inputs!$B$29,IF(Skills!C4=2,90+Inputs!$B$26+Inputs!$B$29,IF(Skills!C4=3,120+Inputs!$B$27+Inputs!$B$29,MAX(0,(Inputs!$B$3-100)*3)+Inputs!$B$28+Inputs!$B$29)))</f>
        <v/>
      </c>
      <c r="E1473">
        <f>INDEX(FactorTable!$B$2:$Y$301, MATCH(ROUND(MIN(300,MAX(1,D1473)),0), FactorTable!$A$2:$A$301,0), Skills!M4+1)</f>
        <v/>
      </c>
      <c r="F1473">
        <f>IF(Skills!N4=TRUE,(Skills!L4/10)*(E1473/1000),Skills!L4/10)+Skills!O4</f>
        <v/>
      </c>
      <c r="G1473">
        <f>Calc!G4</f>
        <v/>
      </c>
      <c r="H1473">
        <f>Calc!H4</f>
        <v/>
      </c>
      <c r="I1473">
        <f>IF(Skills!AA4&lt;&gt;"",1+(Skills!AA4/10)*(U1472/1000)/100,1)</f>
        <v/>
      </c>
      <c r="J1473">
        <f>((Inputs!$B$6*(1+Inputs!$B$7/100))+(((Inputs!$B$12*(1+Inputs!$B$13/100))-(Inputs!$B$12*(1+Inputs!$B$13/100)))+0.25*(Inputs!$B$14-Inputs!$B$14))*(1+Inputs!$B$7/100))*(F1473/100)</f>
        <v/>
      </c>
      <c r="K1473">
        <f>J1473*(1+((Inputs!$B$12*(1+Inputs!$B$13/100))*0.01+Inputs!$B$14*0.0025)/100)*(1+Inputs!$B$15/100)*(1+Inputs!$B$16/100)*(5000/(6000+Inputs!$B$43*(1-Inputs!$B$19/100)))*(1+(Inputs!$B$24+((C1499=TRUE)*(F1499-Calc!F30)))/100)*(1+Skills!R4/100)*(1+(IF(Skills!A4="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1473)</f>
        <v/>
      </c>
      <c r="L1473">
        <f>K1473*(MIN(Inputs!$B$22+((C1493=TRUE)*(F1493-Calc!F24)),Inputs!$B$23)/100+Inputs!$B$23/100)/2</f>
        <v/>
      </c>
      <c r="M1473">
        <f>L1473*(1+(Inputs!$B$10+((C1495=TRUE)*(F1495-Calc!F26))+B1512)/100)</f>
        <v/>
      </c>
      <c r="N1473">
        <f>L1473*(1-MIN((Inputs!$B$9+((C1494=TRUE)*(F1494-Calc!F25))+B1509),100)/100)+M1473*(MIN((Inputs!$B$9+((C1494=TRUE)*(F1494-Calc!F25))+B1509),100)/100)</f>
        <v/>
      </c>
      <c r="O1473">
        <f>(1-Summary!$B$55)*T1473+Summary!$B$55*V1473</f>
        <v/>
      </c>
      <c r="P1473">
        <f>IF(B1513=0,0,O1473/B1513)</f>
        <v/>
      </c>
      <c r="Q1473">
        <f>IFERROR(1/IF(Inputs!$B$39="pvp",15,MAX(0.1,Skills!D4-IF(Skills!E4=TRUE,1.5,0))),0)</f>
        <v/>
      </c>
      <c r="R1473">
        <f>IF(AND(Inputs!$B$39&lt;&gt;"pvp",Inputs!$B$44&gt;0),IF(MAX(0,Inputs!$B$44-B1514)&lt;=0,0,(INT(MAX(0,Inputs!$B$44-B1514)/IF(Inputs!$B$39="pvp",15,MAX(0.1,Skills!D4-IF(Skills!E4=TRUE,1.5,0))))+1)),0)</f>
        <v/>
      </c>
      <c r="S1473">
        <f>IFERROR(O1473/N1473,0)</f>
        <v/>
      </c>
      <c r="T1473">
        <f>IF(C1473,(H1473*N1473*IF(AND(Inputs!$B$39&lt;&gt;"pvp",Inputs!$B$44&gt;0),((Skills!G4*((R1473-1)*IF(Skills!H4&gt;0,Skills!I4/Skills!H4,1)+IF(Skills!H4&gt;0,MIN(Skills!I4,MAX(0,MAX(0,Inputs!$B$44-B1514)-((R1473-1)*IF(Inputs!$B$39="pvp",15,MAX(0.1,Skills!D4-IF(Skills!E4=TRUE,1.5,0))))))/Skills!H4,1)))/Inputs!$B$44),G1473*Q1473))*IF(Inputs!$B$39="pvp",1,1+(Inputs!$B$20+((C1496=TRUE)*(F1496-Calc!F27))+Skills!P4+B1510)/100),0)</f>
        <v/>
      </c>
      <c r="U1473">
        <f>MAX(0,(Inputs!$B$3-100)*3)+Inputs!$B$28+Inputs!$B$29</f>
        <v/>
      </c>
      <c r="V1473">
        <f>IF(C1473,(H1473*N1473*IF(AND(Inputs!$B$39&lt;&gt;"pvp",Inputs!$B$44&gt;0),((Skills!G4*((R1473-1)*IF(Skills!H4&gt;0,Skills!I4/Skills!H4,1)+IF(Skills!H4&gt;0,MIN(Skills!I4,MAX(0,MAX(0,Inputs!$B$44-B1514)-((R1473-1)*IF(Inputs!$B$39="pvp",15,MAX(0.1,Skills!D4-IF(Skills!E4=TRUE,1.5,0))))))/Skills!H4,1)))/Inputs!$B$44),G1473*Q1473))*IF(Inputs!$B$39="pvp",1,(1+(Inputs!$B$21+Skills!Q4+B1510)/100)*(MIN(Skills!W4,Inputs!$B$37))),0)</f>
        <v/>
      </c>
    </row>
    <row r="1474">
      <c r="A1474">
        <f>Skills!A5</f>
        <v/>
      </c>
      <c r="B1474">
        <f>Skills!B5</f>
        <v/>
      </c>
      <c r="C1474">
        <f>Inputs!$B$3&gt;=63</f>
        <v/>
      </c>
      <c r="D1474">
        <f>IF(Skills!C5=1,60+Inputs!$B$25+Inputs!$B$29,IF(Skills!C5=2,90+Inputs!$B$26+Inputs!$B$29,IF(Skills!C5=3,120+Inputs!$B$27+Inputs!$B$29,MAX(0,(Inputs!$B$3-100)*3)+Inputs!$B$28+Inputs!$B$29)))</f>
        <v/>
      </c>
      <c r="E1474">
        <f>INDEX(FactorTable!$B$2:$Y$301, MATCH(ROUND(MIN(300,MAX(1,D1474)),0), FactorTable!$A$2:$A$301,0), Skills!M5+1)</f>
        <v/>
      </c>
      <c r="F1474">
        <f>IF(Skills!N5=TRUE,(Skills!L5/10)*(E1474/1000),Skills!L5/10)+Skills!O5</f>
        <v/>
      </c>
      <c r="G1474">
        <f>Calc!G5</f>
        <v/>
      </c>
      <c r="H1474">
        <f>Calc!H5</f>
        <v/>
      </c>
      <c r="I1474">
        <f>IF(Skills!AA5&lt;&gt;"",1+(Skills!AA5/10)*(U1472/1000)/100,1)</f>
        <v/>
      </c>
      <c r="J1474">
        <f>((Inputs!$B$6*(1+Inputs!$B$7/100))+(((Inputs!$B$12*(1+Inputs!$B$13/100))-(Inputs!$B$12*(1+Inputs!$B$13/100)))+0.25*(Inputs!$B$14-Inputs!$B$14))*(1+Inputs!$B$7/100))*(F1474/100)</f>
        <v/>
      </c>
      <c r="K1474">
        <f>J1474*(1+((Inputs!$B$12*(1+Inputs!$B$13/100))*0.01+Inputs!$B$14*0.0025)/100)*(1+Inputs!$B$15/100)*(1+Inputs!$B$16/100)*(5000/(6000+Inputs!$B$43*(1-Inputs!$B$19/100)))*(1+(Inputs!$B$24+((C1499=TRUE)*(F1499-Calc!F30)))/100)*(1+Skills!R5/100)*(1+(IF(Skills!A5="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1474)</f>
        <v/>
      </c>
      <c r="L1474">
        <f>K1474*(MIN(Inputs!$B$22+((C1493=TRUE)*(F1493-Calc!F24)),Inputs!$B$23)/100+Inputs!$B$23/100)/2</f>
        <v/>
      </c>
      <c r="M1474">
        <f>L1474*(1+(Inputs!$B$10+((C1495=TRUE)*(F1495-Calc!F26))+B1512)/100)</f>
        <v/>
      </c>
      <c r="N1474">
        <f>L1474*(1-MIN((Inputs!$B$9+((C1494=TRUE)*(F1494-Calc!F25))+B1509),100)/100)+M1474*(MIN((Inputs!$B$9+((C1494=TRUE)*(F1494-Calc!F25))+B1509),100)/100)</f>
        <v/>
      </c>
      <c r="O1474">
        <f>(1-Summary!$B$55)*T1474+Summary!$B$55*V1474</f>
        <v/>
      </c>
      <c r="P1474">
        <f>IF(B1513=0,0,O1474/B1513)</f>
        <v/>
      </c>
      <c r="Q1474">
        <f>IFERROR(1/IF(Inputs!$B$39="pvp",15,MAX(0.1,Skills!D5-IF(Skills!E5=TRUE,1.5,0))),0)</f>
        <v/>
      </c>
      <c r="R1474">
        <f>IF(AND(Inputs!$B$39&lt;&gt;"pvp",Inputs!$B$44&gt;0),IF(MAX(0,Inputs!$B$44-B1514)&lt;=0,0,(INT(MAX(0,Inputs!$B$44-B1514)/IF(Inputs!$B$39="pvp",15,MAX(0.1,Skills!D5-IF(Skills!E5=TRUE,1.5,0))))+1)),0)</f>
        <v/>
      </c>
      <c r="S1474">
        <f>IFERROR(O1474/N1474,0)</f>
        <v/>
      </c>
      <c r="T1474">
        <f>IF(C1474,(H1474*N1474*IF(AND(Inputs!$B$39&lt;&gt;"pvp",Inputs!$B$44&gt;0),((Skills!G5*((R1474-1)*IF(Skills!H5&gt;0,Skills!I5/Skills!H5,1)+IF(Skills!H5&gt;0,MIN(Skills!I5,MAX(0,MAX(0,Inputs!$B$44-B1514)-((R1474-1)*IF(Inputs!$B$39="pvp",15,MAX(0.1,Skills!D5-IF(Skills!E5=TRUE,1.5,0))))))/Skills!H5,1)))/Inputs!$B$44),G1474*Q1474))*IF(Inputs!$B$39="pvp",1,1+(Inputs!$B$20+((C1496=TRUE)*(F1496-Calc!F27))+Skills!P5+B1510)/100),0)</f>
        <v/>
      </c>
      <c r="U1474">
        <f>INDEX(FactorTable!$B$2:$Y$301, MATCH(ROUND(MIN(300,MAX(1,U1473)),0), FactorTable!$A$2:$A$301,0), 22)</f>
        <v/>
      </c>
      <c r="V1474">
        <f>IF(C1474,(H1474*N1474*IF(AND(Inputs!$B$39&lt;&gt;"pvp",Inputs!$B$44&gt;0),((Skills!G5*((R1474-1)*IF(Skills!H5&gt;0,Skills!I5/Skills!H5,1)+IF(Skills!H5&gt;0,MIN(Skills!I5,MAX(0,MAX(0,Inputs!$B$44-B1514)-((R1474-1)*IF(Inputs!$B$39="pvp",15,MAX(0.1,Skills!D5-IF(Skills!E5=TRUE,1.5,0))))))/Skills!H5,1)))/Inputs!$B$44),G1474*Q1474))*IF(Inputs!$B$39="pvp",1,(1+(Inputs!$B$21+Skills!Q5+B1510)/100)*(MIN(Skills!W5,Inputs!$B$37))),0)</f>
        <v/>
      </c>
    </row>
    <row r="1475">
      <c r="A1475">
        <f>Skills!A6</f>
        <v/>
      </c>
      <c r="B1475">
        <f>Skills!B6</f>
        <v/>
      </c>
      <c r="C1475">
        <f>Inputs!$B$3&gt;=66</f>
        <v/>
      </c>
      <c r="D1475">
        <f>IF(Skills!C6=1,60+Inputs!$B$25+Inputs!$B$29,IF(Skills!C6=2,90+Inputs!$B$26+Inputs!$B$29,IF(Skills!C6=3,120+Inputs!$B$27+Inputs!$B$29,MAX(0,(Inputs!$B$3-100)*3)+Inputs!$B$28+Inputs!$B$29)))</f>
        <v/>
      </c>
      <c r="E1475">
        <f>INDEX(FactorTable!$B$2:$Y$301, MATCH(ROUND(MIN(300,MAX(1,D1475)),0), FactorTable!$A$2:$A$301,0), Skills!M6+1)</f>
        <v/>
      </c>
      <c r="F1475">
        <f>IF(Skills!N6=TRUE,(Skills!L6/10)*(E1475/1000),Skills!L6/10)+Skills!O6</f>
        <v/>
      </c>
      <c r="G1475">
        <f>Calc!G6</f>
        <v/>
      </c>
      <c r="H1475">
        <f>Calc!H6</f>
        <v/>
      </c>
      <c r="I1475">
        <f>IF(Skills!AA6&lt;&gt;"",1+(Skills!AA6/10)*(U1472/1000)/100,1)</f>
        <v/>
      </c>
      <c r="J1475" t="inlineStr"/>
      <c r="K1475" t="inlineStr"/>
      <c r="L1475" t="inlineStr"/>
      <c r="M1475" t="inlineStr"/>
      <c r="N1475" t="inlineStr"/>
      <c r="O1475">
        <f>(1-Summary!$B$55)*T1475+Summary!$B$55*V1475</f>
        <v/>
      </c>
      <c r="P1475">
        <f>IF(B1513=0,0,O1475/B1513)</f>
        <v/>
      </c>
      <c r="Q1475" t="n">
        <v>0</v>
      </c>
      <c r="R1475" t="n">
        <v>0</v>
      </c>
      <c r="S1475">
        <f>IFERROR(O1475/N1475,0)</f>
        <v/>
      </c>
      <c r="T1475" t="n">
        <v>0</v>
      </c>
      <c r="U1475">
        <f>290*U1474/1000</f>
        <v/>
      </c>
      <c r="V1475" t="n">
        <v>0</v>
      </c>
    </row>
    <row r="1476">
      <c r="A1476">
        <f>Skills!A7</f>
        <v/>
      </c>
      <c r="B1476">
        <f>Skills!B7</f>
        <v/>
      </c>
      <c r="C1476">
        <f>Inputs!$B$3&gt;=66</f>
        <v/>
      </c>
      <c r="D1476">
        <f>IF(Skills!C7=1,60+Inputs!$B$25+Inputs!$B$29,IF(Skills!C7=2,90+Inputs!$B$26+Inputs!$B$29,IF(Skills!C7=3,120+Inputs!$B$27+Inputs!$B$29,MAX(0,(Inputs!$B$3-100)*3)+Inputs!$B$28+Inputs!$B$29)))</f>
        <v/>
      </c>
      <c r="E1476">
        <f>INDEX(FactorTable!$B$2:$Y$301, MATCH(ROUND(MIN(300,MAX(1,D1476)),0), FactorTable!$A$2:$A$301,0), Skills!M7+1)</f>
        <v/>
      </c>
      <c r="F1476">
        <f>IF(Skills!N7=TRUE,(Skills!L7/10)*(E1476/1000),Skills!L7/10)+Skills!O7</f>
        <v/>
      </c>
      <c r="G1476">
        <f>Calc!G7</f>
        <v/>
      </c>
      <c r="H1476">
        <f>Calc!H7</f>
        <v/>
      </c>
      <c r="I1476">
        <f>IF(Skills!AA7&lt;&gt;"",1+(Skills!AA7/10)*(U1472/1000)/100,1)</f>
        <v/>
      </c>
      <c r="J1476" t="inlineStr"/>
      <c r="K1476" t="inlineStr"/>
      <c r="L1476" t="inlineStr"/>
      <c r="M1476" t="inlineStr"/>
      <c r="N1476" t="inlineStr"/>
      <c r="O1476">
        <f>(1-Summary!$B$55)*T1476+Summary!$B$55*V1476</f>
        <v/>
      </c>
      <c r="P1476">
        <f>IF(B1513=0,0,O1476/B1513)</f>
        <v/>
      </c>
      <c r="Q1476" t="n">
        <v>0</v>
      </c>
      <c r="R1476" t="n">
        <v>0</v>
      </c>
      <c r="S1476">
        <f>IFERROR(O1476/N1476,0)</f>
        <v/>
      </c>
      <c r="T1476" t="n">
        <v>0</v>
      </c>
      <c r="V1476" t="n">
        <v>0</v>
      </c>
    </row>
    <row r="1477">
      <c r="A1477">
        <f>Skills!A8</f>
        <v/>
      </c>
      <c r="B1477">
        <f>Skills!B8</f>
        <v/>
      </c>
      <c r="C1477">
        <f>Inputs!$B$3&gt;=69</f>
        <v/>
      </c>
      <c r="D1477">
        <f>IF(Skills!C8=1,60+Inputs!$B$25+Inputs!$B$29,IF(Skills!C8=2,90+Inputs!$B$26+Inputs!$B$29,IF(Skills!C8=3,120+Inputs!$B$27+Inputs!$B$29,MAX(0,(Inputs!$B$3-100)*3)+Inputs!$B$28+Inputs!$B$29)))</f>
        <v/>
      </c>
      <c r="E1477">
        <f>INDEX(FactorTable!$B$2:$Y$301, MATCH(ROUND(MIN(300,MAX(1,D1477)),0), FactorTable!$A$2:$A$301,0), Skills!M8+1)</f>
        <v/>
      </c>
      <c r="F1477">
        <f>IF(Skills!N8=TRUE,(Skills!L8/10)*(E1477/1000),Skills!L8/10)+Skills!O8</f>
        <v/>
      </c>
      <c r="G1477">
        <f>Calc!G8</f>
        <v/>
      </c>
      <c r="H1477">
        <f>Calc!H8</f>
        <v/>
      </c>
      <c r="I1477">
        <f>IF(Skills!AA8&lt;&gt;"",1+(Skills!AA8/10)*(U1472/1000)/100,1)</f>
        <v/>
      </c>
      <c r="J1477">
        <f>((Inputs!$B$6*(1+Inputs!$B$7/100))+(((Inputs!$B$12*(1+Inputs!$B$13/100))-(Inputs!$B$12*(1+Inputs!$B$13/100)))+0.25*(Inputs!$B$14-Inputs!$B$14))*(1+Inputs!$B$7/100))*(F1477/100)</f>
        <v/>
      </c>
      <c r="K1477">
        <f>J1477*(1+((Inputs!$B$12*(1+Inputs!$B$13/100))*0.01+Inputs!$B$14*0.0025)/100)*(1+Inputs!$B$15/100)*(1+Inputs!$B$16/100)*(5000/(6000+Inputs!$B$43*(1-Inputs!$B$19/100)))*(1+(Inputs!$B$24+((C1499=TRUE)*(F1499-Calc!F30)))/100)*(1+Skills!R8/100)*(1+(IF(Skills!A8="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1477)</f>
        <v/>
      </c>
      <c r="L1477">
        <f>K1477*(MIN(Inputs!$B$22+((C1493=TRUE)*(F1493-Calc!F24)),Inputs!$B$23)/100+Inputs!$B$23/100)/2</f>
        <v/>
      </c>
      <c r="M1477">
        <f>L1477*(1+(Inputs!$B$10+((C1495=TRUE)*(F1495-Calc!F26))+B1512)/100)</f>
        <v/>
      </c>
      <c r="N1477">
        <f>L1477*(1-MIN((Inputs!$B$9+((C1494=TRUE)*(F1494-Calc!F25))+B1509),100)/100)+M1477*(MIN((Inputs!$B$9+((C1494=TRUE)*(F1494-Calc!F25))+B1509),100)/100)</f>
        <v/>
      </c>
      <c r="O1477">
        <f>(1-Summary!$B$55)*T1477+Summary!$B$55*V1477</f>
        <v/>
      </c>
      <c r="P1477">
        <f>IF(B1513=0,0,O1477/B1513)</f>
        <v/>
      </c>
      <c r="Q1477">
        <f>IFERROR(1/IF(Inputs!$B$39="pvp",15,MAX(0.1,Skills!D8-IF(Skills!E8=TRUE,1.5,0))),0)</f>
        <v/>
      </c>
      <c r="R1477">
        <f>IF(AND(Inputs!$B$39&lt;&gt;"pvp",Inputs!$B$44&gt;0),IF(MAX(0,Inputs!$B$44-B1514)&lt;=0,0,(INT(MAX(0,Inputs!$B$44-B1514)/IF(Inputs!$B$39="pvp",15,MAX(0.1,Skills!D8-IF(Skills!E8=TRUE,1.5,0))))+1)),0)</f>
        <v/>
      </c>
      <c r="S1477">
        <f>IFERROR(O1477/N1477,0)</f>
        <v/>
      </c>
      <c r="T1477">
        <f>IF(C1477,(H1477*N1477*IF(AND(Inputs!$B$39&lt;&gt;"pvp",Inputs!$B$44&gt;0),((Skills!G8*((R1477-1)*IF(Skills!H8&gt;0,Skills!I8/Skills!H8,1)+IF(Skills!H8&gt;0,MIN(Skills!I8,MAX(0,MAX(0,Inputs!$B$44-B1514)-((R1477-1)*IF(Inputs!$B$39="pvp",15,MAX(0.1,Skills!D8-IF(Skills!E8=TRUE,1.5,0))))))/Skills!H8,1)))/Inputs!$B$44),G1477*Q1477))*IF(Inputs!$B$39="pvp",1,1+(Inputs!$B$20+((C1496=TRUE)*(F1496-Calc!F27))+Skills!P8+B1510)/100),0)</f>
        <v/>
      </c>
      <c r="V1477">
        <f>IF(C1477,(H1477*N1477*IF(AND(Inputs!$B$39&lt;&gt;"pvp",Inputs!$B$44&gt;0),((Skills!G8*((R1477-1)*IF(Skills!H8&gt;0,Skills!I8/Skills!H8,1)+IF(Skills!H8&gt;0,MIN(Skills!I8,MAX(0,MAX(0,Inputs!$B$44-B1514)-((R1477-1)*IF(Inputs!$B$39="pvp",15,MAX(0.1,Skills!D8-IF(Skills!E8=TRUE,1.5,0))))))/Skills!H8,1)))/Inputs!$B$44),G1477*Q1477))*IF(Inputs!$B$39="pvp",1,(1+(Inputs!$B$21+Skills!Q8+B1510)/100)*(MIN(Skills!W8,Inputs!$B$37))),0)</f>
        <v/>
      </c>
    </row>
    <row r="1478">
      <c r="A1478">
        <f>Skills!A9</f>
        <v/>
      </c>
      <c r="B1478">
        <f>Skills!B9</f>
        <v/>
      </c>
      <c r="C1478">
        <f>Inputs!$B$3&gt;=72</f>
        <v/>
      </c>
      <c r="D1478">
        <f>IF(Skills!C9=1,60+Inputs!$B$25+Inputs!$B$29,IF(Skills!C9=2,90+Inputs!$B$26+Inputs!$B$29,IF(Skills!C9=3,120+Inputs!$B$27+Inputs!$B$29,MAX(0,(Inputs!$B$3-100)*3)+Inputs!$B$28+Inputs!$B$29)))</f>
        <v/>
      </c>
      <c r="E1478">
        <f>INDEX(FactorTable!$B$2:$Y$301, MATCH(ROUND(MIN(300,MAX(1,D1478)),0), FactorTable!$A$2:$A$301,0), Skills!M9+1)</f>
        <v/>
      </c>
      <c r="F1478">
        <f>IF(Skills!N9=TRUE,(Skills!L9/10)*(E1478/1000),Skills!L9/10)+Skills!O9</f>
        <v/>
      </c>
      <c r="G1478">
        <f>Calc!G9</f>
        <v/>
      </c>
      <c r="H1478">
        <f>Calc!H9</f>
        <v/>
      </c>
      <c r="I1478">
        <f>IF(Skills!AA9&lt;&gt;"",1+(Skills!AA9/10)*(U1472/1000)/100,1)</f>
        <v/>
      </c>
      <c r="J1478">
        <f>((Inputs!$B$6*(1+Inputs!$B$7/100))+(((Inputs!$B$12*(1+Inputs!$B$13/100))-(Inputs!$B$12*(1+Inputs!$B$13/100)))+0.25*(Inputs!$B$14-Inputs!$B$14))*(1+Inputs!$B$7/100))*(F1478/100)</f>
        <v/>
      </c>
      <c r="K1478">
        <f>J1478*(1+((Inputs!$B$12*(1+Inputs!$B$13/100))*0.01+Inputs!$B$14*0.0025)/100)*(1+Inputs!$B$15/100)*(1+Inputs!$B$16/100)*(5000/(6000+Inputs!$B$43*(1-Inputs!$B$19/100)))*(1+(Inputs!$B$24+((C1499=TRUE)*(F1499-Calc!F30)))/100)*(1+Skills!R9/100)*(1+(IF(Skills!A9="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1478)</f>
        <v/>
      </c>
      <c r="L1478">
        <f>K1478*(MIN(Inputs!$B$22+((C1493=TRUE)*(F1493-Calc!F24)),Inputs!$B$23)/100+Inputs!$B$23/100)/2</f>
        <v/>
      </c>
      <c r="M1478">
        <f>L1478*(1+(Inputs!$B$10+((C1495=TRUE)*(F1495-Calc!F26))+B1512)/100)</f>
        <v/>
      </c>
      <c r="N1478">
        <f>L1478*(1-MIN((Inputs!$B$9+((C1494=TRUE)*(F1494-Calc!F25))+B1509),100)/100)+M1478*(MIN((Inputs!$B$9+((C1494=TRUE)*(F1494-Calc!F25))+B1509),100)/100)</f>
        <v/>
      </c>
      <c r="O1478">
        <f>(1-Summary!$B$55)*T1478+Summary!$B$55*V1478</f>
        <v/>
      </c>
      <c r="P1478">
        <f>IF(B1513=0,0,O1478/B1513)</f>
        <v/>
      </c>
      <c r="Q1478">
        <f>IFERROR(1/IF(Inputs!$B$39="pvp",15,MAX(0.1,Skills!D9-IF(Skills!E9=TRUE,1.5,0))),0)</f>
        <v/>
      </c>
      <c r="R1478">
        <f>IF(AND(Inputs!$B$39&lt;&gt;"pvp",Inputs!$B$44&gt;0),IF(MAX(0,Inputs!$B$44-B1514)&lt;=0,0,(INT(MAX(0,Inputs!$B$44-B1514)/IF(Inputs!$B$39="pvp",15,MAX(0.1,Skills!D9-IF(Skills!E9=TRUE,1.5,0))))+1)),0)</f>
        <v/>
      </c>
      <c r="S1478">
        <f>IFERROR(O1478/N1478,0)</f>
        <v/>
      </c>
      <c r="T1478">
        <f>IF(C1478,(H1478*N1478*IF(AND(Inputs!$B$39&lt;&gt;"pvp",Inputs!$B$44&gt;0),((Skills!G9*((R1478-1)*IF(Skills!H9&gt;0,Skills!I9/Skills!H9,1)+IF(Skills!H9&gt;0,MIN(Skills!I9,MAX(0,MAX(0,Inputs!$B$44-B1514)-((R1478-1)*IF(Inputs!$B$39="pvp",15,MAX(0.1,Skills!D9-IF(Skills!E9=TRUE,1.5,0))))))/Skills!H9,1)))/Inputs!$B$44),G1478*Q1478))*IF(Inputs!$B$39="pvp",1,1+(Inputs!$B$20+((C1496=TRUE)*(F1496-Calc!F27))+Skills!P9+B1510)/100),0)</f>
        <v/>
      </c>
      <c r="V1478">
        <f>IF(C1478,(H1478*N1478*IF(AND(Inputs!$B$39&lt;&gt;"pvp",Inputs!$B$44&gt;0),((Skills!G9*((R1478-1)*IF(Skills!H9&gt;0,Skills!I9/Skills!H9,1)+IF(Skills!H9&gt;0,MIN(Skills!I9,MAX(0,MAX(0,Inputs!$B$44-B1514)-((R1478-1)*IF(Inputs!$B$39="pvp",15,MAX(0.1,Skills!D9-IF(Skills!E9=TRUE,1.5,0))))))/Skills!H9,1)))/Inputs!$B$44),G1478*Q1478))*IF(Inputs!$B$39="pvp",1,(1+(Inputs!$B$21+Skills!Q9+B1510)/100)*(MIN(Skills!W9,Inputs!$B$37))),0)</f>
        <v/>
      </c>
    </row>
    <row r="1479">
      <c r="A1479">
        <f>Skills!A10</f>
        <v/>
      </c>
      <c r="B1479">
        <f>Skills!B10</f>
        <v/>
      </c>
      <c r="C1479">
        <f>Inputs!$B$3&gt;=117</f>
        <v/>
      </c>
      <c r="D1479">
        <f>IF(Skills!C10=1,60+Inputs!$B$25+Inputs!$B$29,IF(Skills!C10=2,90+Inputs!$B$26+Inputs!$B$29,IF(Skills!C10=3,120+Inputs!$B$27+Inputs!$B$29,MAX(0,(Inputs!$B$3-100)*3)+Inputs!$B$28+Inputs!$B$29)))</f>
        <v/>
      </c>
      <c r="E1479">
        <f>INDEX(FactorTable!$B$2:$Y$301, MATCH(ROUND(MIN(300,MAX(1,D1479)),0), FactorTable!$A$2:$A$301,0), Skills!M10+1)</f>
        <v/>
      </c>
      <c r="F1479">
        <f>IF(Skills!N10=TRUE,(Skills!L10/10)*(E1479/1000),Skills!L10/10)+Skills!O10</f>
        <v/>
      </c>
      <c r="G1479">
        <f>Calc!G10</f>
        <v/>
      </c>
      <c r="H1479">
        <f>Calc!H10</f>
        <v/>
      </c>
      <c r="I1479">
        <f>IF(Skills!AA10&lt;&gt;"",1+(Skills!AA10/10)*(U1472/1000)/100,1)</f>
        <v/>
      </c>
      <c r="J1479">
        <f>((Inputs!$B$6*(1+Inputs!$B$7/100))+(((Inputs!$B$12*(1+Inputs!$B$13/100))-(Inputs!$B$12*(1+Inputs!$B$13/100)))+0.25*(Inputs!$B$14-Inputs!$B$14))*(1+Inputs!$B$7/100))*(F1479/100)</f>
        <v/>
      </c>
      <c r="K1479">
        <f>J1479*(1+((Inputs!$B$12*(1+Inputs!$B$13/100))*0.01+Inputs!$B$14*0.0025)/100)*(1+Inputs!$B$15/100)*(1+Inputs!$B$16/100)*(5000/(6000+Inputs!$B$43*(1-Inputs!$B$19/100)))*(1+(Inputs!$B$24+((C1499=TRUE)*(F1499-Calc!F30)))/100)*(1+Skills!R10/100)*(1+(IF(Skills!A10="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1479)</f>
        <v/>
      </c>
      <c r="L1479">
        <f>K1479*(MIN(Inputs!$B$22+((C1493=TRUE)*(F1493-Calc!F24)),Inputs!$B$23)/100+Inputs!$B$23/100)/2</f>
        <v/>
      </c>
      <c r="M1479">
        <f>L1479*(1+(Inputs!$B$10+((C1495=TRUE)*(F1495-Calc!F26))+B1512)/100)</f>
        <v/>
      </c>
      <c r="N1479">
        <f>L1479*(1-MIN((Inputs!$B$9+((C1494=TRUE)*(F1494-Calc!F25))+B1509),100)/100)+M1479*(MIN((Inputs!$B$9+((C1494=TRUE)*(F1494-Calc!F25))+B1509),100)/100)</f>
        <v/>
      </c>
      <c r="O1479">
        <f>(1-Summary!$B$55)*T1479+Summary!$B$55*V1479</f>
        <v/>
      </c>
      <c r="P1479">
        <f>IF(B1513=0,0,O1479/B1513)</f>
        <v/>
      </c>
      <c r="Q1479" t="n">
        <v>0</v>
      </c>
      <c r="R1479" t="n">
        <v>0</v>
      </c>
      <c r="S1479" t="n">
        <v>0</v>
      </c>
      <c r="T1479">
        <f>IF(C1479,(0.2*SUMPRODUCT((Skills!Z2:Z31=TRUE)*(C1471:C1500=TRUE)*S1471:S1500)*N1479)*IF(Inputs!$B$39="pvp",1,1+(Inputs!$B$20+((C1496=TRUE)*(F1496-Calc!F27))+Skills!P10+B1510)/100),0)</f>
        <v/>
      </c>
      <c r="V1479">
        <f>IF(C1479,(0.2*SUMPRODUCT((Skills!Z2:Z31=TRUE)*(C1471:C1500=TRUE)*S1471:S1500)*N1479)*IF(Inputs!$B$39="pvp",1,(1+(Inputs!$B$21+Skills!Q10+B1510)/100)*(MIN(Skills!W10,Inputs!$B$37))),0)</f>
        <v/>
      </c>
    </row>
    <row r="1480">
      <c r="A1480">
        <f>Skills!A11</f>
        <v/>
      </c>
      <c r="B1480">
        <f>Skills!B11</f>
        <v/>
      </c>
      <c r="C1480">
        <f>Inputs!$B$3&gt;=60</f>
        <v/>
      </c>
      <c r="D1480">
        <f>IF(Skills!C11=1,60+Inputs!$B$25+Inputs!$B$29,IF(Skills!C11=2,90+Inputs!$B$26+Inputs!$B$29,IF(Skills!C11=3,120+Inputs!$B$27+Inputs!$B$29,MAX(0,(Inputs!$B$3-100)*3)+Inputs!$B$28+Inputs!$B$29)))</f>
        <v/>
      </c>
      <c r="E1480">
        <f>INDEX(FactorTable!$B$2:$Y$301, MATCH(ROUND(MIN(300,MAX(1,D1480)),0), FactorTable!$A$2:$A$301,0), Skills!M11+1)</f>
        <v/>
      </c>
      <c r="F1480">
        <f>IF(Skills!N11=TRUE,(Skills!L11/10)*(E1480/1000),Skills!L11/10)+Skills!O11</f>
        <v/>
      </c>
      <c r="G1480">
        <f>Calc!G11</f>
        <v/>
      </c>
      <c r="H1480">
        <f>Calc!H11</f>
        <v/>
      </c>
      <c r="I1480">
        <f>IF(Skills!AA11&lt;&gt;"",1+(Skills!AA11/10)*(U1472/1000)/100,1)</f>
        <v/>
      </c>
      <c r="J1480" t="inlineStr"/>
      <c r="K1480" t="inlineStr"/>
      <c r="L1480" t="inlineStr"/>
      <c r="M1480" t="inlineStr"/>
      <c r="N1480" t="inlineStr"/>
      <c r="O1480">
        <f>(1-Summary!$B$55)*T1480+Summary!$B$55*V1480</f>
        <v/>
      </c>
      <c r="P1480">
        <f>IF(B1513=0,0,O1480/B1513)</f>
        <v/>
      </c>
      <c r="Q1480" t="n">
        <v>0</v>
      </c>
      <c r="R1480" t="n">
        <v>0</v>
      </c>
      <c r="S1480">
        <f>IFERROR(O1480/N1480,0)</f>
        <v/>
      </c>
      <c r="T1480" t="n">
        <v>0</v>
      </c>
      <c r="V1480" t="n">
        <v>0</v>
      </c>
    </row>
    <row r="1481">
      <c r="A1481">
        <f>Skills!A12</f>
        <v/>
      </c>
      <c r="B1481">
        <f>Skills!B12</f>
        <v/>
      </c>
      <c r="C1481">
        <f>Inputs!$B$3&gt;=103</f>
        <v/>
      </c>
      <c r="D1481">
        <f>IF(Skills!C12=1,60+Inputs!$B$25+Inputs!$B$29,IF(Skills!C12=2,90+Inputs!$B$26+Inputs!$B$29,IF(Skills!C12=3,120+Inputs!$B$27+Inputs!$B$29,MAX(0,(Inputs!$B$3-100)*3)+Inputs!$B$28+Inputs!$B$29)))</f>
        <v/>
      </c>
      <c r="E1481">
        <f>INDEX(FactorTable!$B$2:$Y$301, MATCH(ROUND(MIN(300,MAX(1,D1481)),0), FactorTable!$A$2:$A$301,0), Skills!M12+1)</f>
        <v/>
      </c>
      <c r="F1481">
        <f>IF(Skills!N12=TRUE,(Skills!L12/10)*(E1481/1000),Skills!L12/10)+Skills!O12</f>
        <v/>
      </c>
      <c r="G1481">
        <f>Calc!G12</f>
        <v/>
      </c>
      <c r="H1481">
        <f>Calc!H12</f>
        <v/>
      </c>
      <c r="I1481">
        <f>IF(Skills!AA12&lt;&gt;"",1+(Skills!AA12/10)*(U1472/1000)/100,1)</f>
        <v/>
      </c>
      <c r="J1481">
        <f>((Inputs!$B$6*(1+Inputs!$B$7/100))+(((Inputs!$B$12*(1+Inputs!$B$13/100))-(Inputs!$B$12*(1+Inputs!$B$13/100)))+0.25*(Inputs!$B$14-Inputs!$B$14))*(1+Inputs!$B$7/100))*(F1481/100)</f>
        <v/>
      </c>
      <c r="K1481">
        <f>J1481*(1+((Inputs!$B$12*(1+Inputs!$B$13/100))*0.01+Inputs!$B$14*0.0025)/100)*(1+Inputs!$B$15/100)*(1+Inputs!$B$16/100)*(5000/(6000+Inputs!$B$43*(1-Inputs!$B$19/100)))*(1+(Inputs!$B$24+((C1499=TRUE)*(F1499-Calc!F30)))/100)*(1+Skills!R12/100)*(1+(IF(Skills!A12="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1481)</f>
        <v/>
      </c>
      <c r="L1481">
        <f>K1481*(MIN(Inputs!$B$22+((C1493=TRUE)*(F1493-Calc!F24)),Inputs!$B$23)/100+Inputs!$B$23/100)/2</f>
        <v/>
      </c>
      <c r="M1481">
        <f>L1481*(1+(Inputs!$B$10+((C1495=TRUE)*(F1495-Calc!F26))+B1512)/100)</f>
        <v/>
      </c>
      <c r="N1481">
        <f>L1481*(1-MIN((Inputs!$B$9+((C1494=TRUE)*(F1494-Calc!F25))+B1509),100)/100)+M1481*(MIN((Inputs!$B$9+((C1494=TRUE)*(F1494-Calc!F25))+B1509),100)/100)</f>
        <v/>
      </c>
      <c r="O1481">
        <f>(1-Summary!$B$55)*T1481+Summary!$B$55*V1481</f>
        <v/>
      </c>
      <c r="P1481">
        <f>IF(B1513=0,0,O1481/B1513)</f>
        <v/>
      </c>
      <c r="Q1481">
        <f>IFERROR(1/IF(Inputs!$B$39="pvp",15,MAX(0.1,Skills!D12-IF(Skills!E12=TRUE,1.5,0))),0)</f>
        <v/>
      </c>
      <c r="R1481">
        <f>IF(AND(Inputs!$B$39&lt;&gt;"pvp",Inputs!$B$44&gt;0),IF(MAX(0,Inputs!$B$44-B1514)&lt;=0,0,(INT(MAX(0,Inputs!$B$44-B1514)/IF(Inputs!$B$39="pvp",15,MAX(0.1,Skills!D12-IF(Skills!E12=TRUE,1.5,0))))+1)),0)</f>
        <v/>
      </c>
      <c r="S1481">
        <f>IFERROR(O1481/N1481,0)</f>
        <v/>
      </c>
      <c r="T1481">
        <f>IF(C1481,(H1481*N1481*IF(AND(Inputs!$B$39&lt;&gt;"pvp",Inputs!$B$44&gt;0),((Skills!G12*((R1481-1)*IF(Skills!H12&gt;0,Skills!I12/Skills!H12,1)+IF(Skills!H12&gt;0,MIN(Skills!I12,MAX(0,MAX(0,Inputs!$B$44-B1514)-((R1481-1)*IF(Inputs!$B$39="pvp",15,MAX(0.1,Skills!D12-IF(Skills!E12=TRUE,1.5,0))))))/Skills!H12,1)))/Inputs!$B$44),G1481*Q1481))*IF(Inputs!$B$39="pvp",1,1+(Inputs!$B$20+((C1496=TRUE)*(F1496-Calc!F27))+Skills!P12+B1510)/100),0)</f>
        <v/>
      </c>
      <c r="V1481">
        <f>IF(C1481,(H1481*N1481*IF(AND(Inputs!$B$39&lt;&gt;"pvp",Inputs!$B$44&gt;0),((Skills!G12*((R1481-1)*IF(Skills!H12&gt;0,Skills!I12/Skills!H12,1)+IF(Skills!H12&gt;0,MIN(Skills!I12,MAX(0,MAX(0,Inputs!$B$44-B1514)-((R1481-1)*IF(Inputs!$B$39="pvp",15,MAX(0.1,Skills!D12-IF(Skills!E12=TRUE,1.5,0))))))/Skills!H12,1)))/Inputs!$B$44),G1481*Q1481))*IF(Inputs!$B$39="pvp",1,(1+(Inputs!$B$21+Skills!Q12+B1510)/100)*(MIN(Skills!W12,Inputs!$B$37))),0)</f>
        <v/>
      </c>
    </row>
    <row r="1482">
      <c r="A1482">
        <f>Skills!A13</f>
        <v/>
      </c>
      <c r="B1482">
        <f>Skills!B13</f>
        <v/>
      </c>
      <c r="C1482">
        <f>Inputs!$B$3&gt;=105</f>
        <v/>
      </c>
      <c r="D1482">
        <f>IF(Skills!C13=1,60+Inputs!$B$25+Inputs!$B$29,IF(Skills!C13=2,90+Inputs!$B$26+Inputs!$B$29,IF(Skills!C13=3,120+Inputs!$B$27+Inputs!$B$29,MAX(0,(Inputs!$B$3-100)*3)+Inputs!$B$28+Inputs!$B$29)))</f>
        <v/>
      </c>
      <c r="E1482">
        <f>INDEX(FactorTable!$B$2:$Y$301, MATCH(ROUND(MIN(300,MAX(1,D1482)),0), FactorTable!$A$2:$A$301,0), Skills!M13+1)</f>
        <v/>
      </c>
      <c r="F1482">
        <f>IF(Skills!N13=TRUE,(Skills!L13/10)*(E1482/1000),Skills!L13/10)+Skills!O13</f>
        <v/>
      </c>
      <c r="G1482">
        <f>Calc!G13</f>
        <v/>
      </c>
      <c r="H1482">
        <f>Calc!H13</f>
        <v/>
      </c>
      <c r="I1482">
        <f>IF(Skills!AA13&lt;&gt;"",1+(Skills!AA13/10)*(U1472/1000)/100,1)</f>
        <v/>
      </c>
      <c r="J1482">
        <f>((Inputs!$B$6*(1+Inputs!$B$7/100))+(((Inputs!$B$12*(1+Inputs!$B$13/100))-(Inputs!$B$12*(1+Inputs!$B$13/100)))+0.25*(Inputs!$B$14-Inputs!$B$14))*(1+Inputs!$B$7/100))*(F1482/100)</f>
        <v/>
      </c>
      <c r="K1482">
        <f>J1482*(1+((Inputs!$B$12*(1+Inputs!$B$13/100))*0.01+Inputs!$B$14*0.0025)/100)*(1+Inputs!$B$15/100)*(1+Inputs!$B$16/100)*(5000/(6000+Inputs!$B$43*(1-Inputs!$B$19/100)))*(1+(Inputs!$B$24+((C1499=TRUE)*(F1499-Calc!F30)))/100)*(1+Skills!R13/100)*(1+(IF(Skills!A13="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1482)</f>
        <v/>
      </c>
      <c r="L1482">
        <f>K1482*(MIN(Inputs!$B$22+((C1493=TRUE)*(F1493-Calc!F24)),Inputs!$B$23)/100+Inputs!$B$23/100)/2</f>
        <v/>
      </c>
      <c r="M1482">
        <f>L1482*(1+(Inputs!$B$10+((C1495=TRUE)*(F1495-Calc!F26))+B1512)/100)</f>
        <v/>
      </c>
      <c r="N1482">
        <f>L1482*(1-MIN((Inputs!$B$9+((C1494=TRUE)*(F1494-Calc!F25))+B1509),100)/100)+M1482*(MIN((Inputs!$B$9+((C1494=TRUE)*(F1494-Calc!F25))+B1509),100)/100)</f>
        <v/>
      </c>
      <c r="O1482">
        <f>(1-Summary!$B$55)*T1482+Summary!$B$55*V1482</f>
        <v/>
      </c>
      <c r="P1482">
        <f>IF(B1513=0,0,O1482/B1513)</f>
        <v/>
      </c>
      <c r="Q1482">
        <f>IFERROR(1/IF(Inputs!$B$39="pvp",15,MAX(0.1,Skills!D13-IF(Skills!E13=TRUE,1.5,0))),0)</f>
        <v/>
      </c>
      <c r="R1482">
        <f>IF(AND(Inputs!$B$39&lt;&gt;"pvp",Inputs!$B$44&gt;0),IF(MAX(0,Inputs!$B$44-B1514)&lt;=0,0,(INT(MAX(0,Inputs!$B$44-B1514)/IF(Inputs!$B$39="pvp",15,MAX(0.1,Skills!D13-IF(Skills!E13=TRUE,1.5,0))))+1)),0)</f>
        <v/>
      </c>
      <c r="S1482">
        <f>IFERROR(O1482/N1482,0)</f>
        <v/>
      </c>
      <c r="T1482">
        <f>IF(C1482,(H1482*N1482*IF(AND(Inputs!$B$39&lt;&gt;"pvp",Inputs!$B$44&gt;0),((Skills!G13*((R1482-1)*IF(Skills!H13&gt;0,Skills!I13/Skills!H13,1)+IF(Skills!H13&gt;0,MIN(Skills!I13,MAX(0,MAX(0,Inputs!$B$44-B1514)-((R1482-1)*IF(Inputs!$B$39="pvp",15,MAX(0.1,Skills!D13-IF(Skills!E13=TRUE,1.5,0))))))/Skills!H13,1)))/Inputs!$B$44),G1482*Q1482))*IF(Inputs!$B$39="pvp",1,1+(Inputs!$B$20+((C1496=TRUE)*(F1496-Calc!F27))+Skills!P13+B1510)/100),0)</f>
        <v/>
      </c>
      <c r="V1482">
        <f>IF(C1482,(H1482*N1482*IF(AND(Inputs!$B$39&lt;&gt;"pvp",Inputs!$B$44&gt;0),((Skills!G13*((R1482-1)*IF(Skills!H13&gt;0,Skills!I13/Skills!H13,1)+IF(Skills!H13&gt;0,MIN(Skills!I13,MAX(0,MAX(0,Inputs!$B$44-B1514)-((R1482-1)*IF(Inputs!$B$39="pvp",15,MAX(0.1,Skills!D13-IF(Skills!E13=TRUE,1.5,0))))))/Skills!H13,1)))/Inputs!$B$44),G1482*Q1482))*IF(Inputs!$B$39="pvp",1,(1+(Inputs!$B$21+Skills!Q13+B1510)/100)*(MIN(Skills!W13,Inputs!$B$37))),0)</f>
        <v/>
      </c>
    </row>
    <row r="1483">
      <c r="A1483">
        <f>Skills!A14</f>
        <v/>
      </c>
      <c r="B1483">
        <f>Skills!B14</f>
        <v/>
      </c>
      <c r="C1483">
        <f>Inputs!$B$3&gt;=105</f>
        <v/>
      </c>
      <c r="D1483">
        <f>IF(Skills!C14=1,60+Inputs!$B$25+Inputs!$B$29,IF(Skills!C14=2,90+Inputs!$B$26+Inputs!$B$29,IF(Skills!C14=3,120+Inputs!$B$27+Inputs!$B$29,MAX(0,(Inputs!$B$3-100)*3)+Inputs!$B$28+Inputs!$B$29)))</f>
        <v/>
      </c>
      <c r="E1483">
        <f>INDEX(FactorTable!$B$2:$Y$301, MATCH(ROUND(MIN(300,MAX(1,D1483)),0), FactorTable!$A$2:$A$301,0), Skills!M14+1)</f>
        <v/>
      </c>
      <c r="F1483">
        <f>IF(Skills!N14=TRUE,(Skills!L14/10)*(E1483/1000),Skills!L14/10)+Skills!O14</f>
        <v/>
      </c>
      <c r="G1483">
        <f>Calc!G14</f>
        <v/>
      </c>
      <c r="H1483">
        <f>Calc!H14</f>
        <v/>
      </c>
      <c r="I1483">
        <f>IF(Skills!AA14&lt;&gt;"",1+(Skills!AA14/10)*(U1472/1000)/100,1)</f>
        <v/>
      </c>
      <c r="J1483">
        <f>((Inputs!$B$6*(1+Inputs!$B$7/100))+(((Inputs!$B$12*(1+Inputs!$B$13/100))-(Inputs!$B$12*(1+Inputs!$B$13/100)))+0.25*(Inputs!$B$14-Inputs!$B$14))*(1+Inputs!$B$7/100))*(F1483/100)</f>
        <v/>
      </c>
      <c r="K1483">
        <f>J1483*(1+((Inputs!$B$12*(1+Inputs!$B$13/100))*0.01+Inputs!$B$14*0.0025)/100)*(1+Inputs!$B$15/100)*(1+Inputs!$B$16/100)*(5000/(6000+Inputs!$B$43*(1-Inputs!$B$19/100)))*(1+(Inputs!$B$24+((C1499=TRUE)*(F1499-Calc!F30)))/100)*(1+Skills!R14/100)*(1+(IF(Skills!A14="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1483)</f>
        <v/>
      </c>
      <c r="L1483">
        <f>K1483*(MIN(Inputs!$B$22+((C1493=TRUE)*(F1493-Calc!F24)),Inputs!$B$23)/100+Inputs!$B$23/100)/2</f>
        <v/>
      </c>
      <c r="M1483">
        <f>L1483*(1+(Inputs!$B$10+((C1495=TRUE)*(F1495-Calc!F26))+B1512)/100)</f>
        <v/>
      </c>
      <c r="N1483">
        <f>L1483*(1-MIN((Inputs!$B$9+((C1494=TRUE)*(F1494-Calc!F25))+B1509),100)/100)+M1483*(MIN((Inputs!$B$9+((C1494=TRUE)*(F1494-Calc!F25))+B1509),100)/100)</f>
        <v/>
      </c>
      <c r="O1483">
        <f>(1-Summary!$B$55)*T1483+Summary!$B$55*V1483</f>
        <v/>
      </c>
      <c r="P1483">
        <f>IF(B1513=0,0,O1483/B1513)</f>
        <v/>
      </c>
      <c r="Q1483">
        <f>IFERROR(1/IF(Inputs!$B$39="pvp",15,MAX(0.1,Skills!D14-IF(Skills!E14=TRUE,1.5,0))),0)</f>
        <v/>
      </c>
      <c r="R1483">
        <f>IF(AND(Inputs!$B$39&lt;&gt;"pvp",Inputs!$B$44&gt;0),IF(MAX(0,Inputs!$B$44-B1514)&lt;=0,0,(INT(MAX(0,Inputs!$B$44-B1514)/IF(Inputs!$B$39="pvp",15,MAX(0.1,Skills!D14-IF(Skills!E14=TRUE,1.5,0))))+1)),0)</f>
        <v/>
      </c>
      <c r="S1483">
        <f>IFERROR(O1483/N1483,0)</f>
        <v/>
      </c>
      <c r="T1483">
        <f>IF(C1483,(H1483*N1483*IF(AND(Inputs!$B$39&lt;&gt;"pvp",Inputs!$B$44&gt;0),((Skills!G14*((R1483-1)*IF(Skills!H14&gt;0,Skills!I14/Skills!H14,1)+IF(Skills!H14&gt;0,MIN(Skills!I14,MAX(0,MAX(0,Inputs!$B$44-B1514)-((R1483-1)*IF(Inputs!$B$39="pvp",15,MAX(0.1,Skills!D14-IF(Skills!E14=TRUE,1.5,0))))))/Skills!H14,1)))/Inputs!$B$44),G1483*Q1483))*IF(Inputs!$B$39="pvp",1,1+(Inputs!$B$20+((C1496=TRUE)*(F1496-Calc!F27))+Skills!P14+B1510)/100),0)</f>
        <v/>
      </c>
      <c r="V1483">
        <f>IF(C1483,(H1483*N1483*IF(AND(Inputs!$B$39&lt;&gt;"pvp",Inputs!$B$44&gt;0),((Skills!G14*((R1483-1)*IF(Skills!H14&gt;0,Skills!I14/Skills!H14,1)+IF(Skills!H14&gt;0,MIN(Skills!I14,MAX(0,MAX(0,Inputs!$B$44-B1514)-((R1483-1)*IF(Inputs!$B$39="pvp",15,MAX(0.1,Skills!D14-IF(Skills!E14=TRUE,1.5,0))))))/Skills!H14,1)))/Inputs!$B$44),G1483*Q1483))*IF(Inputs!$B$39="pvp",1,(1+(Inputs!$B$21+Skills!Q14+B1510)/100)*(MIN(Skills!W14,Inputs!$B$37))),0)</f>
        <v/>
      </c>
    </row>
    <row r="1484">
      <c r="A1484">
        <f>Skills!A15</f>
        <v/>
      </c>
      <c r="B1484">
        <f>Skills!B15</f>
        <v/>
      </c>
      <c r="C1484">
        <f>Inputs!$B$3&gt;=110</f>
        <v/>
      </c>
      <c r="D1484">
        <f>IF(Skills!C15=1,60+Inputs!$B$25+Inputs!$B$29,IF(Skills!C15=2,90+Inputs!$B$26+Inputs!$B$29,IF(Skills!C15=3,120+Inputs!$B$27+Inputs!$B$29,MAX(0,(Inputs!$B$3-100)*3)+Inputs!$B$28+Inputs!$B$29)))</f>
        <v/>
      </c>
      <c r="E1484">
        <f>INDEX(FactorTable!$B$2:$Y$301, MATCH(ROUND(MIN(300,MAX(1,D1484)),0), FactorTable!$A$2:$A$301,0), Skills!M15+1)</f>
        <v/>
      </c>
      <c r="F1484">
        <f>IF(Skills!N15=TRUE,(Skills!L15/10)*(E1484/1000),Skills!L15/10)+Skills!O15</f>
        <v/>
      </c>
      <c r="G1484">
        <f>Calc!G15</f>
        <v/>
      </c>
      <c r="H1484">
        <f>Calc!H15</f>
        <v/>
      </c>
      <c r="I1484">
        <f>IF(Skills!AA15&lt;&gt;"",1+(Skills!AA15/10)*(U1472/1000)/100,1)</f>
        <v/>
      </c>
      <c r="J1484" t="inlineStr"/>
      <c r="K1484" t="inlineStr"/>
      <c r="L1484" t="inlineStr"/>
      <c r="M1484" t="inlineStr"/>
      <c r="N1484" t="inlineStr"/>
      <c r="O1484">
        <f>(1-Summary!$B$55)*T1484+Summary!$B$55*V1484</f>
        <v/>
      </c>
      <c r="P1484">
        <f>IF(B1513=0,0,O1484/B1513)</f>
        <v/>
      </c>
      <c r="Q1484">
        <f>IFERROR(1/IF(Inputs!$B$39="pvp",15,MAX(0.1,Skills!D15-IF(Skills!E15=TRUE,1.5,0))),0)</f>
        <v/>
      </c>
      <c r="R1484">
        <f>IF(AND(Inputs!$B$39&lt;&gt;"pvp",Inputs!$B$44&gt;0),IF(Inputs!$B$44&lt;=0,0,(INT(Inputs!$B$44/IF(Inputs!$B$39="pvp",15,MAX(0.1,Skills!D15-IF(Skills!E15=TRUE,1.5,0))))+1)),0)</f>
        <v/>
      </c>
      <c r="S1484">
        <f>IFERROR(O1484/N1484,0)</f>
        <v/>
      </c>
      <c r="T1484" t="n">
        <v>0</v>
      </c>
      <c r="V1484" t="n">
        <v>0</v>
      </c>
    </row>
    <row r="1485">
      <c r="A1485">
        <f>Skills!A16</f>
        <v/>
      </c>
      <c r="B1485">
        <f>Skills!B16</f>
        <v/>
      </c>
      <c r="C1485">
        <f>Inputs!$B$3&gt;=110</f>
        <v/>
      </c>
      <c r="D1485">
        <f>IF(Skills!C16=1,60+Inputs!$B$25+Inputs!$B$29,IF(Skills!C16=2,90+Inputs!$B$26+Inputs!$B$29,IF(Skills!C16=3,120+Inputs!$B$27+Inputs!$B$29,MAX(0,(Inputs!$B$3-100)*3)+Inputs!$B$28+Inputs!$B$29)))</f>
        <v/>
      </c>
      <c r="E1485">
        <f>INDEX(FactorTable!$B$2:$Y$301, MATCH(ROUND(MIN(300,MAX(1,D1485)),0), FactorTable!$A$2:$A$301,0), Skills!M16+1)</f>
        <v/>
      </c>
      <c r="F1485">
        <f>IF(Skills!N16=TRUE,(Skills!L16/10)*(E1485/1000),Skills!L16/10)+Skills!O16</f>
        <v/>
      </c>
      <c r="G1485">
        <f>Calc!G16</f>
        <v/>
      </c>
      <c r="H1485">
        <f>Calc!H16</f>
        <v/>
      </c>
      <c r="I1485">
        <f>IF(Skills!AA16&lt;&gt;"",1+(Skills!AA16/10)*(U1472/1000)/100,1)</f>
        <v/>
      </c>
      <c r="J1485" t="inlineStr"/>
      <c r="K1485" t="inlineStr"/>
      <c r="L1485" t="inlineStr"/>
      <c r="M1485" t="inlineStr"/>
      <c r="N1485" t="inlineStr"/>
      <c r="O1485">
        <f>(1-Summary!$B$55)*T1485+Summary!$B$55*V1485</f>
        <v/>
      </c>
      <c r="P1485">
        <f>IF(B1513=0,0,O1485/B1513)</f>
        <v/>
      </c>
      <c r="Q1485">
        <f>IFERROR(1/IF(Inputs!$B$39="pvp",15,MAX(0.1,Skills!D16-IF(Skills!E16=TRUE,1.5,0))),0)</f>
        <v/>
      </c>
      <c r="R1485">
        <f>IF(AND(Inputs!$B$39&lt;&gt;"pvp",Inputs!$B$44&gt;0),IF(Inputs!$B$44&lt;=0,0,(INT(Inputs!$B$44/IF(Inputs!$B$39="pvp",15,MAX(0.1,Skills!D16-IF(Skills!E16=TRUE,1.5,0))))+1)),0)</f>
        <v/>
      </c>
      <c r="S1485">
        <f>IFERROR(O1485/N1485,0)</f>
        <v/>
      </c>
      <c r="T1485" t="n">
        <v>0</v>
      </c>
      <c r="V1485" t="n">
        <v>0</v>
      </c>
    </row>
    <row r="1486">
      <c r="A1486">
        <f>Skills!A17</f>
        <v/>
      </c>
      <c r="B1486">
        <f>Skills!B17</f>
        <v/>
      </c>
      <c r="C1486">
        <f>Inputs!$B$3&gt;=115</f>
        <v/>
      </c>
      <c r="D1486">
        <f>IF(Skills!C17=1,60+Inputs!$B$25+Inputs!$B$29,IF(Skills!C17=2,90+Inputs!$B$26+Inputs!$B$29,IF(Skills!C17=3,120+Inputs!$B$27+Inputs!$B$29,MAX(0,(Inputs!$B$3-100)*3)+Inputs!$B$28+Inputs!$B$29)))</f>
        <v/>
      </c>
      <c r="E1486">
        <f>INDEX(FactorTable!$B$2:$Y$301, MATCH(ROUND(MIN(300,MAX(1,D1486)),0), FactorTable!$A$2:$A$301,0), Skills!M17+1)</f>
        <v/>
      </c>
      <c r="F1486">
        <f>IF(Skills!N17=TRUE,(Skills!L17/10)*(E1486/1000),Skills!L17/10)+Skills!O17</f>
        <v/>
      </c>
      <c r="G1486">
        <f>Calc!G17</f>
        <v/>
      </c>
      <c r="H1486">
        <f>Calc!H17</f>
        <v/>
      </c>
      <c r="I1486">
        <f>IF(Skills!AA17&lt;&gt;"",1+(Skills!AA17/10)*(U1472/1000)/100,1)</f>
        <v/>
      </c>
      <c r="J1486">
        <f>((Inputs!$B$6*(1+Inputs!$B$7/100))+(((Inputs!$B$12*(1+Inputs!$B$13/100))-(Inputs!$B$12*(1+Inputs!$B$13/100)))+0.25*(Inputs!$B$14-Inputs!$B$14))*(1+Inputs!$B$7/100))*(F1486/100)</f>
        <v/>
      </c>
      <c r="K1486">
        <f>J1486*(1+((Inputs!$B$12*(1+Inputs!$B$13/100))*0.01+Inputs!$B$14*0.0025)/100)*(1+Inputs!$B$15/100)*(1+Inputs!$B$16/100)*(5000/(6000+Inputs!$B$43*(1-Inputs!$B$19/100)))*(1+(Inputs!$B$24+((C1499=TRUE)*(F1499-Calc!F30)))/100)*(1+Skills!R17/100)*(1+(IF(Skills!A17="SHOWDOWN",Inputs!$B$17+((C1492=TRUE)*(F1492-Calc!F23)),Inputs!$B$18+((C1498=TRUE)*(F1498-Calc!F29))))/100)*(((1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B1511*I1486)</f>
        <v/>
      </c>
      <c r="L1486">
        <f>K1486*(MIN(Inputs!$B$22+((C1493=TRUE)*(F1493-Calc!F24)),Inputs!$B$23)/100+Inputs!$B$23/100)/2</f>
        <v/>
      </c>
      <c r="M1486">
        <f>L1486*(1+(Inputs!$B$10+((C1495=TRUE)*(F1495-Calc!F26))+B1512)/100)</f>
        <v/>
      </c>
      <c r="N1486">
        <f>L1486*(1-MIN((Inputs!$B$9+((C1494=TRUE)*(F1494-Calc!F25))+B1509),100)/100)+M1486*(MIN((Inputs!$B$9+((C1494=TRUE)*(F1494-Calc!F25))+B1509),100)/100)</f>
        <v/>
      </c>
      <c r="O1486">
        <f>(1-Summary!$B$55)*T1486+Summary!$B$55*V1486</f>
        <v/>
      </c>
      <c r="P1486">
        <f>IF(B1513=0,0,O1486/B1513)</f>
        <v/>
      </c>
      <c r="Q1486" t="n">
        <v>0</v>
      </c>
      <c r="R1486" t="n">
        <v>0</v>
      </c>
      <c r="S1486">
        <f>IFERROR(O1486/N1486,0)</f>
        <v/>
      </c>
      <c r="T1486">
        <f>IF(C1486,(Inputs!$B$38*0.2*N1486)*IF(Inputs!$B$39="pvp",1,1+(Inputs!$B$20+((C1496=TRUE)*(F1496-Calc!F27))+Skills!P17+B1510)/100),0)</f>
        <v/>
      </c>
      <c r="V1486">
        <f>IF(C1486,(Inputs!$B$38*0.2*N1486)*IF(Inputs!$B$39="pvp",1,(1+(Inputs!$B$21+Skills!Q17+B1510)/100)*(MIN(Skills!W17,Inputs!$B$37))),0)</f>
        <v/>
      </c>
    </row>
    <row r="1487">
      <c r="A1487">
        <f>Skills!A18</f>
        <v/>
      </c>
      <c r="B1487">
        <f>Skills!B18</f>
        <v/>
      </c>
      <c r="C1487">
        <f>Inputs!$B$3&gt;=115</f>
        <v/>
      </c>
      <c r="D1487">
        <f>IF(Skills!C18=1,60+Inputs!$B$25+Inputs!$B$29,IF(Skills!C18=2,90+Inputs!$B$26+Inputs!$B$29,IF(Skills!C18=3,120+Inputs!$B$27+Inputs!$B$29,MAX(0,(Inputs!$B$3-100)*3)+Inputs!$B$28+Inputs!$B$29)))</f>
        <v/>
      </c>
      <c r="E1487">
        <f>INDEX(FactorTable!$B$2:$Y$301, MATCH(ROUND(MIN(300,MAX(1,D1487)),0), FactorTable!$A$2:$A$301,0), Skills!M18+1)</f>
        <v/>
      </c>
      <c r="F1487">
        <f>IF(Skills!N18=TRUE,(Skills!L18/10)*(E1487/1000),Skills!L18/10)+Skills!O18</f>
        <v/>
      </c>
      <c r="G1487">
        <f>Calc!G18</f>
        <v/>
      </c>
      <c r="H1487">
        <f>Calc!H18</f>
        <v/>
      </c>
      <c r="I1487">
        <f>IF(Skills!AA18&lt;&gt;"",1+(Skills!AA18/10)*(U1472/1000)/100,1)</f>
        <v/>
      </c>
      <c r="J1487" t="inlineStr"/>
      <c r="K1487" t="inlineStr"/>
      <c r="L1487" t="inlineStr"/>
      <c r="M1487" t="inlineStr"/>
      <c r="N1487" t="inlineStr"/>
      <c r="O1487">
        <f>(1-Summary!$B$55)*T1487+Summary!$B$55*V1487</f>
        <v/>
      </c>
      <c r="P1487">
        <f>IF(B1513=0,0,O1487/B1513)</f>
        <v/>
      </c>
      <c r="Q1487" t="n">
        <v>0</v>
      </c>
      <c r="R1487" t="n">
        <v>0</v>
      </c>
      <c r="S1487">
        <f>IFERROR(O1487/N1487,0)</f>
        <v/>
      </c>
      <c r="T1487" t="n">
        <v>0</v>
      </c>
      <c r="V1487" t="n">
        <v>0</v>
      </c>
    </row>
    <row r="1488">
      <c r="A1488">
        <f>Skills!A19</f>
        <v/>
      </c>
      <c r="B1488">
        <f>Skills!B19</f>
        <v/>
      </c>
      <c r="C1488">
        <f>TRUE</f>
        <v/>
      </c>
      <c r="D1488">
        <f>IF(Skills!C19=1,60+Inputs!$B$25+Inputs!$B$29,IF(Skills!C19=2,90+Inputs!$B$26+Inputs!$B$29,IF(Skills!C19=3,120+Inputs!$B$27+Inputs!$B$29,MAX(0,(Inputs!$B$3-100)*3)+Inputs!$B$28+Inputs!$B$29)))</f>
        <v/>
      </c>
      <c r="E1488">
        <f>INDEX(FactorTable!$B$2:$Y$301, MATCH(ROUND(MIN(300,MAX(1,D1488)),0), FactorTable!$A$2:$A$301,0), Skills!M19+1)</f>
        <v/>
      </c>
      <c r="F1488">
        <f>IF(Skills!N19=TRUE,(Skills!L19/10)*(E1488/1000),Skills!L19/10)+Skills!O19</f>
        <v/>
      </c>
      <c r="G1488">
        <f>Calc!G19</f>
        <v/>
      </c>
      <c r="H1488">
        <f>Calc!H19</f>
        <v/>
      </c>
      <c r="I1488">
        <f>IF(Skills!AA19&lt;&gt;"",1+(Skills!AA19/10)*(U1472/1000)/100,1)</f>
        <v/>
      </c>
      <c r="J1488" t="inlineStr"/>
      <c r="K1488" t="inlineStr"/>
      <c r="L1488" t="inlineStr"/>
      <c r="M1488" t="inlineStr"/>
      <c r="N1488" t="inlineStr"/>
      <c r="O1488">
        <f>(1-Summary!$B$55)*T1488+Summary!$B$55*V1488</f>
        <v/>
      </c>
      <c r="P1488">
        <f>IF(B1513=0,0,O1488/B1513)</f>
        <v/>
      </c>
      <c r="Q1488">
        <f>IFERROR(1/IF(Inputs!$B$39="pvp",15,MAX(0.1,Skills!D19-IF(Skills!E19=TRUE,1.5,0))),0)</f>
        <v/>
      </c>
      <c r="R1488">
        <f>IF(AND(Inputs!$B$39&lt;&gt;"pvp",Inputs!$B$44&gt;0),IF(Inputs!$B$44&lt;=0,0,(INT(Inputs!$B$44/IF(Inputs!$B$39="pvp",15,MAX(0.1,Skills!D19-IF(Skills!E19=TRUE,1.5,0))))+1)),0)</f>
        <v/>
      </c>
      <c r="S1488">
        <f>IFERROR(O1488/N1488,0)</f>
        <v/>
      </c>
      <c r="T1488" t="n">
        <v>0</v>
      </c>
      <c r="V1488" t="n">
        <v>0</v>
      </c>
    </row>
    <row r="1489">
      <c r="A1489">
        <f>Skills!A20</f>
        <v/>
      </c>
      <c r="B1489">
        <f>Skills!B20</f>
        <v/>
      </c>
      <c r="C1489">
        <f>Inputs!$B$3&gt;=15</f>
        <v/>
      </c>
      <c r="D1489">
        <f>IF(Skills!C20=1,60+Inputs!$B$25+Inputs!$B$29,IF(Skills!C20=2,90+Inputs!$B$26+Inputs!$B$29,IF(Skills!C20=3,120+Inputs!$B$27+Inputs!$B$29,MAX(0,(Inputs!$B$3-100)*3)+Inputs!$B$28+Inputs!$B$29)))</f>
        <v/>
      </c>
      <c r="E1489">
        <f>INDEX(FactorTable!$B$2:$Y$301, MATCH(ROUND(MIN(300,MAX(1,D1489)),0), FactorTable!$A$2:$A$301,0), Skills!M20+1)</f>
        <v/>
      </c>
      <c r="F1489">
        <f>IF(Skills!N20=TRUE,(Skills!L20/10)*(E1489/1000),Skills!L20/10)+Skills!O20</f>
        <v/>
      </c>
      <c r="G1489">
        <f>Calc!G20</f>
        <v/>
      </c>
      <c r="H1489">
        <f>Calc!H20</f>
        <v/>
      </c>
      <c r="I1489">
        <f>IF(Skills!AA20&lt;&gt;"",1+(Skills!AA20/10)*(U1472/1000)/100,1)</f>
        <v/>
      </c>
      <c r="J1489" t="inlineStr"/>
      <c r="K1489" t="inlineStr"/>
      <c r="L1489" t="inlineStr"/>
      <c r="M1489" t="inlineStr"/>
      <c r="N1489" t="inlineStr"/>
      <c r="O1489">
        <f>(1-Summary!$B$55)*T1489+Summary!$B$55*V1489</f>
        <v/>
      </c>
      <c r="P1489">
        <f>IF(B1513=0,0,O1489/B1513)</f>
        <v/>
      </c>
      <c r="Q1489">
        <f>IFERROR(1/IF(Inputs!$B$39="pvp",15,MAX(0.1,Skills!D20-IF(Skills!E20=TRUE,1.5,0))),0)</f>
        <v/>
      </c>
      <c r="R1489">
        <f>IF(AND(Inputs!$B$39&lt;&gt;"pvp",Inputs!$B$44&gt;0),IF(Inputs!$B$44&lt;=0,0,(INT(Inputs!$B$44/IF(Inputs!$B$39="pvp",15,MAX(0.1,Skills!D20-IF(Skills!E20=TRUE,1.5,0))))+1)),0)</f>
        <v/>
      </c>
      <c r="S1489">
        <f>IFERROR(O1489/N1489,0)</f>
        <v/>
      </c>
      <c r="T1489" t="n">
        <v>0</v>
      </c>
      <c r="V1489" t="n">
        <v>0</v>
      </c>
    </row>
    <row r="1490">
      <c r="A1490">
        <f>Skills!A21</f>
        <v/>
      </c>
      <c r="B1490">
        <f>Skills!B21</f>
        <v/>
      </c>
      <c r="C1490">
        <f>Inputs!$B$3&gt;=15</f>
        <v/>
      </c>
      <c r="D1490">
        <f>IF(Skills!C21=1,60+Inputs!$B$25+Inputs!$B$29,IF(Skills!C21=2,90+Inputs!$B$26+Inputs!$B$29,IF(Skills!C21=3,120+Inputs!$B$27+Inputs!$B$29,MAX(0,(Inputs!$B$3-100)*3)+Inputs!$B$28+Inputs!$B$29)))</f>
        <v/>
      </c>
      <c r="E1490">
        <f>INDEX(FactorTable!$B$2:$Y$301, MATCH(ROUND(MIN(300,MAX(1,D1490)),0), FactorTable!$A$2:$A$301,0), Skills!M21+1)</f>
        <v/>
      </c>
      <c r="F1490">
        <f>IF(Skills!N21=TRUE,(Skills!L21/10)*(E1490/1000),Skills!L21/10)+Skills!O21</f>
        <v/>
      </c>
      <c r="G1490">
        <f>Calc!G21</f>
        <v/>
      </c>
      <c r="H1490">
        <f>Calc!H21</f>
        <v/>
      </c>
      <c r="I1490">
        <f>IF(Skills!AA21&lt;&gt;"",1+(Skills!AA21/10)*(U1472/1000)/100,1)</f>
        <v/>
      </c>
      <c r="J1490" t="inlineStr"/>
      <c r="K1490" t="inlineStr"/>
      <c r="L1490" t="inlineStr"/>
      <c r="M1490" t="inlineStr"/>
      <c r="N1490" t="inlineStr"/>
      <c r="O1490">
        <f>(1-Summary!$B$55)*T1490+Summary!$B$55*V1490</f>
        <v/>
      </c>
      <c r="P1490">
        <f>IF(B1513=0,0,O1490/B1513)</f>
        <v/>
      </c>
      <c r="Q1490">
        <f>IFERROR(1/IF(Inputs!$B$39="pvp",15,MAX(0.1,Skills!D21-IF(Skills!E21=TRUE,1.5,0))),0)</f>
        <v/>
      </c>
      <c r="R1490">
        <f>IF(AND(Inputs!$B$39&lt;&gt;"pvp",Inputs!$B$44&gt;0),IF(Inputs!$B$44&lt;=0,0,(INT(Inputs!$B$44/IF(Inputs!$B$39="pvp",15,MAX(0.1,Skills!D21-IF(Skills!E21=TRUE,1.5,0))))+1)),0)</f>
        <v/>
      </c>
      <c r="S1490">
        <f>IFERROR(O1490/N1490,0)</f>
        <v/>
      </c>
      <c r="T1490" t="n">
        <v>0</v>
      </c>
      <c r="V1490" t="n">
        <v>0</v>
      </c>
    </row>
    <row r="1491">
      <c r="A1491">
        <f>Skills!A22</f>
        <v/>
      </c>
      <c r="B1491">
        <f>Skills!B22</f>
        <v/>
      </c>
      <c r="C1491">
        <f>Inputs!$B$3&gt;=33</f>
        <v/>
      </c>
      <c r="D1491">
        <f>IF(Skills!C22=1,60+Inputs!$B$25+Inputs!$B$29,IF(Skills!C22=2,90+Inputs!$B$26+Inputs!$B$29,IF(Skills!C22=3,120+Inputs!$B$27+Inputs!$B$29,MAX(0,(Inputs!$B$3-100)*3)+Inputs!$B$28+Inputs!$B$29)))</f>
        <v/>
      </c>
      <c r="E1491">
        <f>INDEX(FactorTable!$B$2:$Y$301, MATCH(ROUND(MIN(300,MAX(1,D1491)),0), FactorTable!$A$2:$A$301,0), Skills!M22+1)</f>
        <v/>
      </c>
      <c r="F1491">
        <f>IF(Skills!N22=TRUE,(Skills!L22/10)*(E1491/1000),Skills!L22/10)+Skills!O22</f>
        <v/>
      </c>
      <c r="G1491">
        <f>Calc!G22</f>
        <v/>
      </c>
      <c r="H1491">
        <f>Calc!H22</f>
        <v/>
      </c>
      <c r="I1491">
        <f>IF(Skills!AA22&lt;&gt;"",1+(Skills!AA22/10)*(U1472/1000)/100,1)</f>
        <v/>
      </c>
      <c r="J1491" t="inlineStr"/>
      <c r="K1491" t="inlineStr"/>
      <c r="L1491" t="inlineStr"/>
      <c r="M1491" t="inlineStr"/>
      <c r="N1491" t="inlineStr"/>
      <c r="O1491">
        <f>(1-Summary!$B$55)*T1491+Summary!$B$55*V1491</f>
        <v/>
      </c>
      <c r="P1491">
        <f>IF(B1513=0,0,O1491/B1513)</f>
        <v/>
      </c>
      <c r="Q1491" t="n">
        <v>0</v>
      </c>
      <c r="R1491" t="n">
        <v>0</v>
      </c>
      <c r="S1491">
        <f>IFERROR(O1491/N1491,0)</f>
        <v/>
      </c>
      <c r="T1491" t="n">
        <v>0</v>
      </c>
      <c r="V1491" t="n">
        <v>0</v>
      </c>
    </row>
    <row r="1492">
      <c r="A1492">
        <f>Skills!A23</f>
        <v/>
      </c>
      <c r="B1492">
        <f>Skills!B23</f>
        <v/>
      </c>
      <c r="C1492">
        <f>Inputs!$B$3&gt;=38</f>
        <v/>
      </c>
      <c r="D1492">
        <f>IF(Skills!C23=1,60+Inputs!$B$25+Inputs!$B$29,IF(Skills!C23=2,90+Inputs!$B$26+Inputs!$B$29,IF(Skills!C23=3,120+Inputs!$B$27+Inputs!$B$29,MAX(0,(Inputs!$B$3-100)*3)+Inputs!$B$28+Inputs!$B$29)))</f>
        <v/>
      </c>
      <c r="E1492">
        <f>INDEX(FactorTable!$B$2:$Y$301, MATCH(ROUND(MIN(300,MAX(1,D1492)),0), FactorTable!$A$2:$A$301,0), Skills!M23+1)</f>
        <v/>
      </c>
      <c r="F1492">
        <f>IF(Skills!N23=TRUE,(Skills!L23/10)*(E1492/1000),Skills!L23/10)+Skills!O23</f>
        <v/>
      </c>
      <c r="G1492">
        <f>Calc!G23</f>
        <v/>
      </c>
      <c r="H1492">
        <f>Calc!H23</f>
        <v/>
      </c>
      <c r="I1492">
        <f>IF(Skills!AA23&lt;&gt;"",1+(Skills!AA23/10)*(U1472/1000)/100,1)</f>
        <v/>
      </c>
      <c r="J1492" t="inlineStr"/>
      <c r="K1492" t="inlineStr"/>
      <c r="L1492" t="inlineStr"/>
      <c r="M1492" t="inlineStr"/>
      <c r="N1492" t="inlineStr"/>
      <c r="O1492">
        <f>(1-Summary!$B$55)*T1492+Summary!$B$55*V1492</f>
        <v/>
      </c>
      <c r="P1492">
        <f>IF(B1513=0,0,O1492/B1513)</f>
        <v/>
      </c>
      <c r="Q1492" t="n">
        <v>0</v>
      </c>
      <c r="R1492" t="n">
        <v>0</v>
      </c>
      <c r="S1492">
        <f>IFERROR(O1492/N1492,0)</f>
        <v/>
      </c>
      <c r="T1492" t="n">
        <v>0</v>
      </c>
      <c r="V1492" t="n">
        <v>0</v>
      </c>
    </row>
    <row r="1493">
      <c r="A1493">
        <f>Skills!A24</f>
        <v/>
      </c>
      <c r="B1493">
        <f>Skills!B24</f>
        <v/>
      </c>
      <c r="C1493">
        <f>Inputs!$B$3&gt;=40</f>
        <v/>
      </c>
      <c r="D1493">
        <f>IF(Skills!C24=1,60+Inputs!$B$25+Inputs!$B$29,IF(Skills!C24=2,90+Inputs!$B$26+Inputs!$B$29,IF(Skills!C24=3,120+Inputs!$B$27+Inputs!$B$29,MAX(0,(Inputs!$B$3-100)*3)+Inputs!$B$28+Inputs!$B$29)))</f>
        <v/>
      </c>
      <c r="E1493">
        <f>INDEX(FactorTable!$B$2:$Y$301, MATCH(ROUND(MIN(300,MAX(1,D1493)),0), FactorTable!$A$2:$A$301,0), Skills!M24+1)</f>
        <v/>
      </c>
      <c r="F1493">
        <f>IF(Skills!N24=TRUE,(Skills!L24/10)*(E1493/1000),Skills!L24/10)+Skills!O24</f>
        <v/>
      </c>
      <c r="G1493">
        <f>Calc!G24</f>
        <v/>
      </c>
      <c r="H1493">
        <f>Calc!H24</f>
        <v/>
      </c>
      <c r="I1493">
        <f>IF(Skills!AA24&lt;&gt;"",1+(Skills!AA24/10)*(U1472/1000)/100,1)</f>
        <v/>
      </c>
      <c r="J1493" t="inlineStr"/>
      <c r="K1493" t="inlineStr"/>
      <c r="L1493" t="inlineStr"/>
      <c r="M1493" t="inlineStr"/>
      <c r="N1493" t="inlineStr"/>
      <c r="O1493">
        <f>(1-Summary!$B$55)*T1493+Summary!$B$55*V1493</f>
        <v/>
      </c>
      <c r="P1493">
        <f>IF(B1513=0,0,O1493/B1513)</f>
        <v/>
      </c>
      <c r="Q1493" t="n">
        <v>0</v>
      </c>
      <c r="R1493" t="n">
        <v>0</v>
      </c>
      <c r="S1493">
        <f>IFERROR(O1493/N1493,0)</f>
        <v/>
      </c>
      <c r="T1493" t="n">
        <v>0</v>
      </c>
      <c r="V1493" t="n">
        <v>0</v>
      </c>
    </row>
    <row r="1494">
      <c r="A1494">
        <f>Skills!A25</f>
        <v/>
      </c>
      <c r="B1494">
        <f>Skills!B25</f>
        <v/>
      </c>
      <c r="C1494">
        <f>Inputs!$B$3&gt;=45</f>
        <v/>
      </c>
      <c r="D1494">
        <f>IF(Skills!C25=1,60+Inputs!$B$25+Inputs!$B$29,IF(Skills!C25=2,90+Inputs!$B$26+Inputs!$B$29,IF(Skills!C25=3,120+Inputs!$B$27+Inputs!$B$29,MAX(0,(Inputs!$B$3-100)*3)+Inputs!$B$28+Inputs!$B$29)))</f>
        <v/>
      </c>
      <c r="E1494">
        <f>INDEX(FactorTable!$B$2:$Y$301, MATCH(ROUND(MIN(300,MAX(1,D1494)),0), FactorTable!$A$2:$A$301,0), Skills!M25+1)</f>
        <v/>
      </c>
      <c r="F1494">
        <f>IF(Skills!N25=TRUE,(Skills!L25/10)*(E1494/1000),Skills!L25/10)+Skills!O25</f>
        <v/>
      </c>
      <c r="G1494">
        <f>Calc!G25</f>
        <v/>
      </c>
      <c r="H1494">
        <f>Calc!H25</f>
        <v/>
      </c>
      <c r="I1494">
        <f>IF(Skills!AA25&lt;&gt;"",1+(Skills!AA25/10)*(U1472/1000)/100,1)</f>
        <v/>
      </c>
      <c r="J1494" t="inlineStr"/>
      <c r="K1494" t="inlineStr"/>
      <c r="L1494" t="inlineStr"/>
      <c r="M1494" t="inlineStr"/>
      <c r="N1494" t="inlineStr"/>
      <c r="O1494">
        <f>(1-Summary!$B$55)*T1494+Summary!$B$55*V1494</f>
        <v/>
      </c>
      <c r="P1494">
        <f>IF(B1513=0,0,O1494/B1513)</f>
        <v/>
      </c>
      <c r="Q1494" t="n">
        <v>0</v>
      </c>
      <c r="R1494" t="n">
        <v>0</v>
      </c>
      <c r="S1494">
        <f>IFERROR(O1494/N1494,0)</f>
        <v/>
      </c>
      <c r="T1494" t="n">
        <v>0</v>
      </c>
      <c r="V1494" t="n">
        <v>0</v>
      </c>
    </row>
    <row r="1495">
      <c r="A1495">
        <f>Skills!A26</f>
        <v/>
      </c>
      <c r="B1495">
        <f>Skills!B26</f>
        <v/>
      </c>
      <c r="C1495">
        <f>Inputs!$B$3&gt;=45</f>
        <v/>
      </c>
      <c r="D1495">
        <f>IF(Skills!C26=1,60+Inputs!$B$25+Inputs!$B$29,IF(Skills!C26=2,90+Inputs!$B$26+Inputs!$B$29,IF(Skills!C26=3,120+Inputs!$B$27+Inputs!$B$29,MAX(0,(Inputs!$B$3-100)*3)+Inputs!$B$28+Inputs!$B$29)))</f>
        <v/>
      </c>
      <c r="E1495">
        <f>INDEX(FactorTable!$B$2:$Y$301, MATCH(ROUND(MIN(300,MAX(1,D1495)),0), FactorTable!$A$2:$A$301,0), Skills!M26+1)</f>
        <v/>
      </c>
      <c r="F1495">
        <f>IF(Skills!N26=TRUE,(Skills!L26/10)*(E1495/1000),Skills!L26/10)+Skills!O26</f>
        <v/>
      </c>
      <c r="G1495">
        <f>Calc!G26</f>
        <v/>
      </c>
      <c r="H1495">
        <f>Calc!H26</f>
        <v/>
      </c>
      <c r="I1495">
        <f>IF(Skills!AA26&lt;&gt;"",1+(Skills!AA26/10)*(U1472/1000)/100,1)</f>
        <v/>
      </c>
      <c r="J1495" t="inlineStr"/>
      <c r="K1495" t="inlineStr"/>
      <c r="L1495" t="inlineStr"/>
      <c r="M1495" t="inlineStr"/>
      <c r="N1495" t="inlineStr"/>
      <c r="O1495">
        <f>(1-Summary!$B$55)*T1495+Summary!$B$55*V1495</f>
        <v/>
      </c>
      <c r="P1495">
        <f>IF(B1513=0,0,O1495/B1513)</f>
        <v/>
      </c>
      <c r="Q1495" t="n">
        <v>0</v>
      </c>
      <c r="R1495" t="n">
        <v>0</v>
      </c>
      <c r="S1495">
        <f>IFERROR(O1495/N1495,0)</f>
        <v/>
      </c>
      <c r="T1495" t="n">
        <v>0</v>
      </c>
      <c r="V1495" t="n">
        <v>0</v>
      </c>
    </row>
    <row r="1496">
      <c r="A1496">
        <f>Skills!A27</f>
        <v/>
      </c>
      <c r="B1496">
        <f>Skills!B27</f>
        <v/>
      </c>
      <c r="C1496">
        <f>Inputs!$B$3&gt;=72</f>
        <v/>
      </c>
      <c r="D1496">
        <f>IF(Skills!C27=1,60+Inputs!$B$25+Inputs!$B$29,IF(Skills!C27=2,90+Inputs!$B$26+Inputs!$B$29,IF(Skills!C27=3,120+Inputs!$B$27+Inputs!$B$29,MAX(0,(Inputs!$B$3-100)*3)+Inputs!$B$28+Inputs!$B$29)))</f>
        <v/>
      </c>
      <c r="E1496">
        <f>INDEX(FactorTable!$B$2:$Y$301, MATCH(ROUND(MIN(300,MAX(1,D1496)),0), FactorTable!$A$2:$A$301,0), Skills!M27+1)</f>
        <v/>
      </c>
      <c r="F1496">
        <f>IF(Skills!N27=TRUE,(Skills!L27/10)*(E1496/1000),Skills!L27/10)+Skills!O27</f>
        <v/>
      </c>
      <c r="G1496">
        <f>Calc!G27</f>
        <v/>
      </c>
      <c r="H1496">
        <f>Calc!H27</f>
        <v/>
      </c>
      <c r="I1496">
        <f>IF(Skills!AA27&lt;&gt;"",1+(Skills!AA27/10)*(U1472/1000)/100,1)</f>
        <v/>
      </c>
      <c r="J1496" t="inlineStr"/>
      <c r="K1496" t="inlineStr"/>
      <c r="L1496" t="inlineStr"/>
      <c r="M1496" t="inlineStr"/>
      <c r="N1496" t="inlineStr"/>
      <c r="O1496">
        <f>(1-Summary!$B$55)*T1496+Summary!$B$55*V1496</f>
        <v/>
      </c>
      <c r="P1496">
        <f>IF(B1513=0,0,O1496/B1513)</f>
        <v/>
      </c>
      <c r="Q1496" t="n">
        <v>0</v>
      </c>
      <c r="R1496" t="n">
        <v>0</v>
      </c>
      <c r="S1496">
        <f>IFERROR(O1496/N1496,0)</f>
        <v/>
      </c>
      <c r="T1496" t="n">
        <v>0</v>
      </c>
      <c r="V1496" t="n">
        <v>0</v>
      </c>
    </row>
    <row r="1497">
      <c r="A1497">
        <f>Skills!A28</f>
        <v/>
      </c>
      <c r="B1497">
        <f>Skills!B28</f>
        <v/>
      </c>
      <c r="C1497">
        <f>Inputs!$B$3&gt;=75</f>
        <v/>
      </c>
      <c r="D1497">
        <f>IF(Skills!C28=1,60+Inputs!$B$25+Inputs!$B$29,IF(Skills!C28=2,90+Inputs!$B$26+Inputs!$B$29,IF(Skills!C28=3,120+Inputs!$B$27+Inputs!$B$29,MAX(0,(Inputs!$B$3-100)*3)+Inputs!$B$28+Inputs!$B$29)))</f>
        <v/>
      </c>
      <c r="E1497">
        <f>INDEX(FactorTable!$B$2:$Y$301, MATCH(ROUND(MIN(300,MAX(1,D1497)),0), FactorTable!$A$2:$A$301,0), Skills!M28+1)</f>
        <v/>
      </c>
      <c r="F1497">
        <f>IF(Skills!N28=TRUE,(Skills!L28/10)*(E1497/1000),Skills!L28/10)+Skills!O28</f>
        <v/>
      </c>
      <c r="G1497">
        <f>Calc!G28</f>
        <v/>
      </c>
      <c r="H1497">
        <f>Calc!H28</f>
        <v/>
      </c>
      <c r="I1497">
        <f>IF(Skills!AA28&lt;&gt;"",1+(Skills!AA28/10)*(U1472/1000)/100,1)</f>
        <v/>
      </c>
      <c r="J1497" t="inlineStr"/>
      <c r="K1497" t="inlineStr"/>
      <c r="L1497" t="inlineStr"/>
      <c r="M1497" t="inlineStr"/>
      <c r="N1497" t="inlineStr"/>
      <c r="O1497">
        <f>(1-Summary!$B$55)*T1497+Summary!$B$55*V1497</f>
        <v/>
      </c>
      <c r="P1497">
        <f>IF(B1513=0,0,O1497/B1513)</f>
        <v/>
      </c>
      <c r="Q1497" t="n">
        <v>0</v>
      </c>
      <c r="R1497" t="n">
        <v>0</v>
      </c>
      <c r="S1497">
        <f>IFERROR(O1497/N1497,0)</f>
        <v/>
      </c>
      <c r="T1497" t="n">
        <v>0</v>
      </c>
      <c r="V1497" t="n">
        <v>0</v>
      </c>
    </row>
    <row r="1498">
      <c r="A1498">
        <f>Skills!A29</f>
        <v/>
      </c>
      <c r="B1498">
        <f>Skills!B29</f>
        <v/>
      </c>
      <c r="C1498">
        <f>Inputs!$B$3&gt;=120</f>
        <v/>
      </c>
      <c r="D1498">
        <f>IF(Skills!C29=1,60+Inputs!$B$25+Inputs!$B$29,IF(Skills!C29=2,90+Inputs!$B$26+Inputs!$B$29,IF(Skills!C29=3,120+Inputs!$B$27+Inputs!$B$29,MAX(0,(Inputs!$B$3-100)*3)+Inputs!$B$28+Inputs!$B$29)))</f>
        <v/>
      </c>
      <c r="E1498">
        <f>INDEX(FactorTable!$B$2:$Y$301, MATCH(ROUND(MIN(300,MAX(1,D1498)),0), FactorTable!$A$2:$A$301,0), Skills!M29+1)</f>
        <v/>
      </c>
      <c r="F1498">
        <f>IF(Skills!N29=TRUE,(Skills!L29/10)*(E1498/1000),Skills!L29/10)+Skills!O29</f>
        <v/>
      </c>
      <c r="G1498">
        <f>Calc!G29</f>
        <v/>
      </c>
      <c r="H1498">
        <f>Calc!H29</f>
        <v/>
      </c>
      <c r="I1498">
        <f>IF(Skills!AA29&lt;&gt;"",1+(Skills!AA29/10)*(U1472/1000)/100,1)</f>
        <v/>
      </c>
      <c r="J1498" t="inlineStr"/>
      <c r="K1498" t="inlineStr"/>
      <c r="L1498" t="inlineStr"/>
      <c r="M1498" t="inlineStr"/>
      <c r="N1498" t="inlineStr"/>
      <c r="O1498">
        <f>(1-Summary!$B$55)*T1498+Summary!$B$55*V1498</f>
        <v/>
      </c>
      <c r="P1498">
        <f>IF(B1513=0,0,O1498/B1513)</f>
        <v/>
      </c>
      <c r="Q1498" t="n">
        <v>0</v>
      </c>
      <c r="R1498" t="n">
        <v>0</v>
      </c>
      <c r="S1498">
        <f>IFERROR(O1498/N1498,0)</f>
        <v/>
      </c>
      <c r="T1498" t="n">
        <v>0</v>
      </c>
      <c r="V1498" t="n">
        <v>0</v>
      </c>
    </row>
    <row r="1499">
      <c r="A1499">
        <f>Skills!A30</f>
        <v/>
      </c>
      <c r="B1499">
        <f>Skills!B30</f>
        <v/>
      </c>
      <c r="C1499">
        <f>Inputs!$B$3&gt;=125</f>
        <v/>
      </c>
      <c r="D1499">
        <f>IF(Skills!C30=1,60+Inputs!$B$25+Inputs!$B$29,IF(Skills!C30=2,90+Inputs!$B$26+Inputs!$B$29,IF(Skills!C30=3,120+Inputs!$B$27+Inputs!$B$29,MAX(0,(Inputs!$B$3-100)*3)+Inputs!$B$28+Inputs!$B$29)))</f>
        <v/>
      </c>
      <c r="E1499">
        <f>INDEX(FactorTable!$B$2:$Y$301, MATCH(ROUND(MIN(300,MAX(1,D1499)),0), FactorTable!$A$2:$A$301,0), Skills!M30+1)</f>
        <v/>
      </c>
      <c r="F1499">
        <f>IF(Skills!N30=TRUE,(Skills!L30/10)*(E1499/1000),Skills!L30/10)+Skills!O30</f>
        <v/>
      </c>
      <c r="G1499">
        <f>Calc!G30</f>
        <v/>
      </c>
      <c r="H1499">
        <f>Calc!H30</f>
        <v/>
      </c>
      <c r="I1499">
        <f>IF(Skills!AA30&lt;&gt;"",1+(Skills!AA30/10)*(U1472/1000)/100,1)</f>
        <v/>
      </c>
      <c r="J1499" t="inlineStr"/>
      <c r="K1499" t="inlineStr"/>
      <c r="L1499" t="inlineStr"/>
      <c r="M1499" t="inlineStr"/>
      <c r="N1499" t="inlineStr"/>
      <c r="O1499">
        <f>(1-Summary!$B$55)*T1499+Summary!$B$55*V1499</f>
        <v/>
      </c>
      <c r="P1499">
        <f>IF(B1513=0,0,O1499/B1513)</f>
        <v/>
      </c>
      <c r="Q1499" t="n">
        <v>0</v>
      </c>
      <c r="R1499" t="n">
        <v>0</v>
      </c>
      <c r="S1499">
        <f>IFERROR(O1499/N1499,0)</f>
        <v/>
      </c>
      <c r="T1499" t="n">
        <v>0</v>
      </c>
      <c r="V1499" t="n">
        <v>0</v>
      </c>
    </row>
    <row r="1500">
      <c r="A1500">
        <f>Skills!A31</f>
        <v/>
      </c>
      <c r="B1500">
        <f>Skills!B31</f>
        <v/>
      </c>
      <c r="C1500">
        <f>Inputs!$B$3&gt;=107</f>
        <v/>
      </c>
      <c r="D1500">
        <f>IF(Skills!C31=1,60+Inputs!$B$25+Inputs!$B$29,IF(Skills!C31=2,90+Inputs!$B$26+Inputs!$B$29,IF(Skills!C31=3,120+Inputs!$B$27+Inputs!$B$29,MAX(0,(Inputs!$B$3-100)*3)+Inputs!$B$28+Inputs!$B$29)))</f>
        <v/>
      </c>
      <c r="E1500">
        <f>INDEX(FactorTable!$B$2:$Y$301, MATCH(ROUND(MIN(300,MAX(1,D1500)),0), FactorTable!$A$2:$A$301,0), Skills!M31+1)</f>
        <v/>
      </c>
      <c r="F1500">
        <f>IF(Skills!N31=TRUE,(Skills!L31/10)*(E1500/1000),Skills!L31/10)+Skills!O31</f>
        <v/>
      </c>
      <c r="G1500">
        <f>Calc!G31</f>
        <v/>
      </c>
      <c r="H1500">
        <f>Calc!H31</f>
        <v/>
      </c>
      <c r="I1500">
        <f>IF(Skills!AA31&lt;&gt;"",1+(Skills!AA31/10)*(U1472/1000)/100,1)</f>
        <v/>
      </c>
      <c r="J1500" t="inlineStr"/>
      <c r="K1500" t="inlineStr"/>
      <c r="L1500" t="inlineStr"/>
      <c r="M1500" t="inlineStr"/>
      <c r="N1500" t="inlineStr"/>
      <c r="O1500">
        <f>(1-Summary!$B$55)*T1500+Summary!$B$55*V1500</f>
        <v/>
      </c>
      <c r="P1500">
        <f>IF(B1513=0,0,O1500/B1513)</f>
        <v/>
      </c>
      <c r="Q1500" t="n">
        <v>0</v>
      </c>
      <c r="R1500" t="n">
        <v>0</v>
      </c>
      <c r="S1500">
        <f>IFERROR(O1500/N1500,0)</f>
        <v/>
      </c>
      <c r="T1500" t="n">
        <v>0</v>
      </c>
      <c r="V1500" t="n">
        <v>0</v>
      </c>
    </row>
    <row r="1502">
      <c r="A1502" t="inlineStr">
        <is>
          <t>Actions Per Second (pre-Adrenalin)</t>
        </is>
      </c>
      <c r="B1502">
        <f>1+MIN(150,150*(1-(1-(Inputs!$B$11+((C1491=TRUE)*(F1491-Calc!F22)))/150)*(1-((C1488=TRUE)*F1488*IF(AND(Inputs!$B$39&lt;&gt;"pvp",Inputs!$B$44&gt;0),(((R1488-1)*(Skills!Y19*(1+Inputs!$B$34/100))+MIN((Skills!Y19*(1+Inputs!$B$34/100)),MAX(0,Inputs!$B$44-((R1488-1)*Skills!D19))))/Inputs!$B$44),IF(Inputs!$B$39="pvp",MIN((Skills!Y19*(1+Inputs!$B$34/100)),15)/15,(Skills!Y19*(1+Inputs!$B$34/100))/Skills!D19)))/150)))/100</f>
        <v/>
      </c>
    </row>
    <row r="1503">
      <c r="A1503" t="inlineStr">
        <is>
          <t>Alchemic Adrenaline Uptime</t>
        </is>
      </c>
      <c r="B1503">
        <f>(Skills!Y6*(1+Inputs!$B$34/100))/((Skills!Y6*(1+Inputs!$B$34/100))+(5/B1502))</f>
        <v/>
      </c>
    </row>
    <row r="1504">
      <c r="A1504" t="inlineStr">
        <is>
          <t>Attack Speed Buff Bonus %</t>
        </is>
      </c>
      <c r="B1504">
        <f>((C1488=TRUE)*F1488*IF(AND(Inputs!$B$39&lt;&gt;"pvp",Inputs!$B$44&gt;0),(((R1488-1)*(Skills!Y19*(1+Inputs!$B$34/100))+MIN((Skills!Y19*(1+Inputs!$B$34/100)),MAX(0,Inputs!$B$44-((R1488-1)*Skills!D19))))/Inputs!$B$44),IF(Inputs!$B$39="pvp",MIN((Skills!Y19*(1+Inputs!$B$34/100)),15)/15,(Skills!Y19*(1+Inputs!$B$34/100))/Skills!D19)))+((C1476=TRUE)*F1476*B1503)</f>
        <v/>
      </c>
    </row>
    <row r="1505">
      <c r="A1505" t="inlineStr">
        <is>
          <t>Actions Per Second (final)</t>
        </is>
      </c>
      <c r="B1505">
        <f>1+MIN(150,150*(1-(1-(Inputs!$B$11+((C1491=TRUE)*(F1491-Calc!F22)))/150)*(1-B1504/150)))/100</f>
        <v/>
      </c>
    </row>
    <row r="1506">
      <c r="A1506" t="inlineStr">
        <is>
          <t>Skill + Buff Cast Rate</t>
        </is>
      </c>
      <c r="B1506">
        <f>IF(AND(Inputs!$B$39&lt;&gt;"pvp",Inputs!$B$44&gt;0),SUMPRODUCT((Skills!E2:E31=TRUE)*(C1471:C1500=TRUE)*R1471:R1500*Skills!F2:F31)/Inputs!$B$44,SUMPRODUCT((Skills!E2:E31=TRUE)*(C1471:C1500=TRUE)*Q1471:Q1500*Skills!F2:F31))</f>
        <v/>
      </c>
    </row>
    <row r="1507">
      <c r="A1507" t="inlineStr">
        <is>
          <t>Showdown Casts Per Second</t>
        </is>
      </c>
      <c r="B1507">
        <f>MAX(0,B1505-B1506)</f>
        <v/>
      </c>
    </row>
    <row r="1508">
      <c r="A1508" t="inlineStr">
        <is>
          <t>Average Buff Multiplier</t>
        </is>
      </c>
      <c r="B1508">
        <f>(1+(((C1490=TRUE)*F1490*IF(AND(Inputs!$B$39&lt;&gt;"pvp",Inputs!$B$44&gt;0),(((R1490-1)*(Skills!Y21*(1+Inputs!$B$34/100))+MIN((Skills!Y21*(1+Inputs!$B$34/100)),MAX(0,Inputs!$B$44-((R1490-1)*Skills!D21))))/Inputs!$B$44),IF(Inputs!$B$39="pvp",MIN((Skills!Y21*(1+Inputs!$B$34/100)),15)/15,(Skills!Y21*(1+Inputs!$B$34/100))/Skills!D21)))+((C1497=TRUE)*(F1497-Calc!F28))+((C1487=TRUE)*(F1487-Calc!F18)))/100)*(1+((C1484=TRUE)*F1484*IF(AND(Inputs!$B$39&lt;&gt;"pvp",Inputs!$B$44&gt;0),(((R1484-1)*(Skills!Y15*(1+Inputs!$B$34/100))+MIN((Skills!Y15*(1+Inputs!$B$34/100)),MAX(0,Inputs!$B$44-((R1484-1)*Skills!D15))))/Inputs!$B$44),IF(Inputs!$B$39="pvp",MIN((Skills!Y15*(1+Inputs!$B$34/100)),15)/15,(Skills!Y15*(1+Inputs!$B$34/100))/Skills!D15)))/100)*(1+((C1475=TRUE)*F1475*B1503)/100)</f>
        <v/>
      </c>
    </row>
    <row r="1509">
      <c r="A1509" t="inlineStr">
        <is>
          <t>Global Crit Rate Bonus %</t>
        </is>
      </c>
      <c r="B1509">
        <f>IF(Inputs!$B$3&gt;=47,8,0)+((C1489=TRUE)*F1489*IF(AND(Inputs!$B$39&lt;&gt;"pvp",Inputs!$B$44&gt;0),(((R1489-1)*(Skills!Y20*(1+Inputs!$B$34/100))+MIN((Skills!Y20*(1+Inputs!$B$34/100)),MAX(0,Inputs!$B$44-((R1489-1)*Skills!D20))))/Inputs!$B$44),IF(Inputs!$B$39="pvp",MIN((Skills!Y20*(1+Inputs!$B$34/100)),15)/15,(Skills!Y20*(1+Inputs!$B$34/100))/Skills!D20)))</f>
        <v/>
      </c>
    </row>
    <row r="1510">
      <c r="A1510" t="inlineStr">
        <is>
          <t>Global Monster Damage-Taken Bonus %</t>
        </is>
      </c>
      <c r="B1510">
        <f>IF(Inputs!$B$3&gt;=82,15,0)+((C1485=TRUE)*F1485*IF(AND(Inputs!$B$39&lt;&gt;"pvp",Inputs!$B$44&gt;0),(((R1485-1)*(Skills!Y16*(1+Inputs!$B$34/100))+MIN((Skills!Y16*(1+Inputs!$B$34/100)),MAX(0,Inputs!$B$44-((R1485-1)*Skills!D16))))/Inputs!$B$44),IF(Inputs!$B$39="pvp",MIN((Skills!Y16*(1+Inputs!$B$34/100)),15)/15,(Skills!Y16*(1+Inputs!$B$34/100))/Skills!D16)))</f>
        <v/>
      </c>
    </row>
    <row r="1511">
      <c r="A1511" t="inlineStr">
        <is>
          <t>Shadow Partner Average Multiplier</t>
        </is>
      </c>
      <c r="B1511">
        <f>1+((C1480=TRUE)*F1480*I1480*Skills!J11/100)/100</f>
        <v/>
      </c>
    </row>
    <row r="1512">
      <c r="A1512" t="inlineStr">
        <is>
          <t>Global Critical Damage Bonus % (Frailty Curse Mastery Lv.111)</t>
        </is>
      </c>
      <c r="B1512">
        <f>IF(Inputs!$B$3&gt;=111,30,0)*IF(AND(Inputs!$B$39&lt;&gt;"pvp",Inputs!$B$44&gt;0),(((R1485-1)*(Skills!Y16*(1+Inputs!$B$34/100))+MIN((Skills!Y16*(1+Inputs!$B$34/100)),MAX(0,Inputs!$B$44-((R1485-1)*Skills!D16))))/Inputs!$B$44),IF(Inputs!$B$39="pvp",MIN((Skills!Y16*(1+Inputs!$B$34/100)),15)/15,(Skills!Y16*(1+Inputs!$B$34/100))/Skills!D16))</f>
        <v/>
      </c>
    </row>
    <row r="1513">
      <c r="A1513" s="5" t="inlineStr">
        <is>
          <t>TOTAL DPS</t>
        </is>
      </c>
      <c r="B1513" s="5">
        <f>SUM(O1471:O1500)</f>
        <v/>
      </c>
    </row>
    <row r="1514">
      <c r="A1514" t="inlineStr">
        <is>
          <t>Buff-Casting Startup Delay (s, fixed-duration only)</t>
        </is>
      </c>
      <c r="B1514">
        <f>IF(AND(Inputs!$B$39&lt;&gt;"pvp",Inputs!$B$44&gt;0),SUMPRODUCT((Skills!Y2:Y31&gt;0)*(Skills!E2:E31=TRUE)*(C1471:C1500=TRUE))/B1505,0)</f>
        <v/>
      </c>
    </row>
    <row r="1515">
      <c r="A1515" t="inlineStr">
        <is>
          <t>Boss-Only Total DPS (this block's swept value)</t>
        </is>
      </c>
      <c r="B1515">
        <f>SUM(T1471:T1500)</f>
        <v/>
      </c>
    </row>
    <row r="1516">
      <c r="A1516" t="inlineStr">
        <is>
          <t>Normal-Only Total DPS (this block's swept value)</t>
        </is>
      </c>
      <c r="B1516">
        <f>SUM(V1471:V1500)</f>
        <v/>
      </c>
    </row>
    <row r="1518">
      <c r="A1518" s="5" t="inlineStr">
        <is>
          <t>Stat: CDR = 2.0s</t>
        </is>
      </c>
    </row>
    <row r="1519">
      <c r="A1519" s="9" t="inlineStr">
        <is>
          <t>Key</t>
        </is>
      </c>
      <c r="B1519" s="9" t="inlineStr">
        <is>
          <t>Name</t>
        </is>
      </c>
      <c r="C1519" s="9" t="inlineStr">
        <is>
          <t>Unlocked</t>
        </is>
      </c>
      <c r="D1519" s="9" t="inlineStr">
        <is>
          <t>InputLevel</t>
        </is>
      </c>
      <c r="E1519" s="9" t="inlineStr">
        <is>
          <t>Factor</t>
        </is>
      </c>
      <c r="F1519" s="9" t="inlineStr">
        <is>
          <t>CoefficientPercent</t>
        </is>
      </c>
      <c r="G1519" s="9" t="inlineStr">
        <is>
          <t>EffectiveHits</t>
        </is>
      </c>
      <c r="H1519" s="9" t="inlineStr">
        <is>
          <t>ProcProbability</t>
        </is>
      </c>
      <c r="I1519" s="9" t="inlineStr">
        <is>
          <t>MapleHeroMultiplier</t>
        </is>
      </c>
      <c r="J1519" s="9" t="inlineStr">
        <is>
          <t>BaseDamage</t>
        </is>
      </c>
      <c r="K1519" s="9" t="inlineStr">
        <is>
          <t>BaseHitDamage</t>
        </is>
      </c>
      <c r="L1519" s="9" t="inlineStr">
        <is>
          <t>NonCritAvg</t>
        </is>
      </c>
      <c r="M1519" s="9" t="inlineStr">
        <is>
          <t>CritAvg</t>
        </is>
      </c>
      <c r="N1519" s="9" t="inlineStr">
        <is>
          <t>ExpectedDamage(perHit)</t>
        </is>
      </c>
      <c r="O1519" s="9" t="inlineStr">
        <is>
          <t>DPS</t>
        </is>
      </c>
      <c r="P1519" s="9" t="inlineStr">
        <is>
          <t>% of Total</t>
        </is>
      </c>
      <c r="Q1519" s="9" t="inlineStr">
        <is>
          <t>InvCooldown</t>
        </is>
      </c>
      <c r="R1519" s="9" t="inlineStr">
        <is>
          <t>CastsInFight</t>
        </is>
      </c>
      <c r="S1519" s="9" t="inlineStr">
        <is>
          <t>HitRate(perSec)</t>
        </is>
      </c>
      <c r="U1519" t="inlineStr">
        <is>
          <t>helpers</t>
        </is>
      </c>
    </row>
    <row r="1520">
      <c r="A1520">
        <f>Skills!A2</f>
        <v/>
      </c>
      <c r="B1520">
        <f>Skills!B2</f>
        <v/>
      </c>
      <c r="C1520">
        <f>Inputs!$B$3&gt;=100</f>
        <v/>
      </c>
      <c r="D1520" t="inlineStr"/>
      <c r="E1520" t="inlineStr"/>
      <c r="F1520">
        <f>U1524+Skills!O2</f>
        <v/>
      </c>
      <c r="G1520">
        <f>Calc!G2</f>
        <v/>
      </c>
      <c r="H1520">
        <f>Calc!H2</f>
        <v/>
      </c>
      <c r="I1520">
        <f>IF(Skills!AA2&lt;&gt;"",1+(Skills!AA2/10)*(U1521/1000)/100,1)</f>
        <v/>
      </c>
      <c r="J1520">
        <f>((Inputs!$B$6*(1+Inputs!$B$7/100))+(((Inputs!$B$12*(1+Inputs!$B$13/100))-(Inputs!$B$12*(1+Inputs!$B$13/100)))+0.25*(Inputs!$B$14-Inputs!$B$14))*(1+Inputs!$B$7/100))*(F1520/100)</f>
        <v/>
      </c>
      <c r="K1520">
        <f>J1520*(1+((Inputs!$B$12*(1+Inputs!$B$13/100))*0.01+Inputs!$B$14*0.0025)/100)*(1+Inputs!$B$15/100)*(1+Inputs!$B$16/100)*(5000/(6000+Inputs!$B$43*(1-Inputs!$B$19/100)))*(1+(Inputs!$B$24+((C1548=TRUE)*(F1548-Calc!F30)))/100)*(1+Skills!R2/100)*(1+(IF(Skills!A2="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1520)</f>
        <v/>
      </c>
      <c r="L1520">
        <f>K1520*(MIN(Inputs!$B$22+((C1542=TRUE)*(F1542-Calc!F24)),Inputs!$B$23)/100+Inputs!$B$23/100)/2</f>
        <v/>
      </c>
      <c r="M1520">
        <f>L1520*(1+(Inputs!$B$10+((C1544=TRUE)*(F1544-Calc!F26))+B1561)/100)</f>
        <v/>
      </c>
      <c r="N1520">
        <f>L1520*(1-MIN((Inputs!$B$9+((C1543=TRUE)*(F1543-Calc!F25))+B1558),100)/100)+M1520*(MIN((Inputs!$B$9+((C1543=TRUE)*(F1543-Calc!F25))+B1558),100)/100)</f>
        <v/>
      </c>
      <c r="O1520">
        <f>(1-Summary!$B$55)*T1520+Summary!$B$55*V1520</f>
        <v/>
      </c>
      <c r="P1520">
        <f>IF(B1562=0,0,O1520/B1562)</f>
        <v/>
      </c>
      <c r="Q1520" t="n">
        <v>0</v>
      </c>
      <c r="R1520" t="n">
        <v>0</v>
      </c>
      <c r="S1520">
        <f>IFERROR(O1520/N1520,0)</f>
        <v/>
      </c>
      <c r="T1520">
        <f>IF(C1520,(Skills!G2*N1520*B1556)*IF(Inputs!$B$39="pvp",1,1+(Inputs!$B$20+((C1545=TRUE)*(F1545-Calc!F27))+Skills!P2+B1559)/100),0)</f>
        <v/>
      </c>
      <c r="U1520">
        <f>MAX(0,(Inputs!$B$3-100)*3)+Inputs!$B$28+Inputs!$B$29</f>
        <v/>
      </c>
      <c r="V1520">
        <f>IF(C1520,(Skills!G2*N1520*B1556)*IF(Inputs!$B$39="pvp",1,(1+(Inputs!$B$21+Skills!Q2+B1559)/100)*(MIN((6+Inputs!$B$33),Inputs!$B$37))),0)</f>
        <v/>
      </c>
    </row>
    <row r="1521">
      <c r="A1521">
        <f>Skills!A3</f>
        <v/>
      </c>
      <c r="B1521">
        <f>Skills!B3</f>
        <v/>
      </c>
      <c r="C1521">
        <f>Inputs!$B$3&gt;=35</f>
        <v/>
      </c>
      <c r="D1521">
        <f>IF(Skills!C3=1,60+Inputs!$B$25+Inputs!$B$29,IF(Skills!C3=2,90+Inputs!$B$26+Inputs!$B$29,IF(Skills!C3=3,120+Inputs!$B$27+Inputs!$B$29,MAX(0,(Inputs!$B$3-100)*3)+Inputs!$B$28+Inputs!$B$29)))</f>
        <v/>
      </c>
      <c r="E1521">
        <f>INDEX(FactorTable!$B$2:$Y$301, MATCH(ROUND(MIN(300,MAX(1,D1521)),0), FactorTable!$A$2:$A$301,0), Skills!M3+1)</f>
        <v/>
      </c>
      <c r="F1521">
        <f>IF(Skills!N3=TRUE,(Skills!L3/10)*(E1521/1000),Skills!L3/10)+Skills!O3</f>
        <v/>
      </c>
      <c r="G1521">
        <f>Calc!G3</f>
        <v/>
      </c>
      <c r="H1521">
        <f>Calc!H3</f>
        <v/>
      </c>
      <c r="I1521">
        <f>IF(Skills!AA3&lt;&gt;"",1+(Skills!AA3/10)*(U1521/1000)/100,1)</f>
        <v/>
      </c>
      <c r="J1521">
        <f>((Inputs!$B$6*(1+Inputs!$B$7/100))+(((Inputs!$B$12*(1+Inputs!$B$13/100))-(Inputs!$B$12*(1+Inputs!$B$13/100)))+0.25*(Inputs!$B$14-Inputs!$B$14))*(1+Inputs!$B$7/100))*(F1521/100)</f>
        <v/>
      </c>
      <c r="K1521">
        <f>J1521*(1+((Inputs!$B$12*(1+Inputs!$B$13/100))*0.01+Inputs!$B$14*0.0025)/100)*(1+Inputs!$B$15/100)*(1+Inputs!$B$16/100)*(5000/(6000+Inputs!$B$43*(1-Inputs!$B$19/100)))*(1+(Inputs!$B$24+((C1548=TRUE)*(F1548-Calc!F30)))/100)*(1+Skills!R3/100)*(1+(IF(Skills!A3="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1521)</f>
        <v/>
      </c>
      <c r="L1521">
        <f>K1521*(MIN(Inputs!$B$22+((C1542=TRUE)*(F1542-Calc!F24)),Inputs!$B$23)/100+Inputs!$B$23/100)/2</f>
        <v/>
      </c>
      <c r="M1521">
        <f>L1521*(1+(Inputs!$B$10+((C1544=TRUE)*(F1544-Calc!F26))+B1561)/100)</f>
        <v/>
      </c>
      <c r="N1521">
        <f>L1521*(1-MIN((Inputs!$B$9+((C1543=TRUE)*(F1543-Calc!F25))+B1558),100)/100)+M1521*(MIN((Inputs!$B$9+((C1543=TRUE)*(F1543-Calc!F25))+B1558),100)/100)</f>
        <v/>
      </c>
      <c r="O1521">
        <f>(1-Summary!$B$55)*T1521+Summary!$B$55*V1521</f>
        <v/>
      </c>
      <c r="P1521">
        <f>IF(B1562=0,0,O1521/B1562)</f>
        <v/>
      </c>
      <c r="Q1521">
        <f>IFERROR(1/IF(Inputs!$B$39="pvp",15,MAX(0.1,Skills!D3-IF(Skills!E3=TRUE,2.0,0))),0)</f>
        <v/>
      </c>
      <c r="R1521">
        <f>IF(AND(Inputs!$B$39&lt;&gt;"pvp",Inputs!$B$44&gt;0),IF(MAX(0,Inputs!$B$44-B1563)&lt;=0,0,(INT(MAX(0,Inputs!$B$44-B1563)/IF(Inputs!$B$39="pvp",15,MAX(0.1,Skills!D3-IF(Skills!E3=TRUE,2.0,0))))+1)),0)</f>
        <v/>
      </c>
      <c r="S1521">
        <f>IFERROR(O1521/N1521,0)</f>
        <v/>
      </c>
      <c r="T1521">
        <f>IF(C1521,(H1521*N1521*IF(AND(Inputs!$B$39&lt;&gt;"pvp",Inputs!$B$44&gt;0),((Skills!G3*((R1521-1)*IF(Skills!H3&gt;0,Skills!I3/Skills!H3,1)+IF(Skills!H3&gt;0,MIN(Skills!I3,MAX(0,MAX(0,Inputs!$B$44-B1563)-((R1521-1)*IF(Inputs!$B$39="pvp",15,MAX(0.1,Skills!D3-IF(Skills!E3=TRUE,2.0,0))))))/Skills!H3,1)))/Inputs!$B$44),G1521*Q1521))*IF(Inputs!$B$39="pvp",1,1+(Inputs!$B$20+((C1545=TRUE)*(F1545-Calc!F27))+Skills!P3+B1559)/100),0)</f>
        <v/>
      </c>
      <c r="U1521">
        <f>INDEX(FactorTable!$B$2:$Y$301, MATCH(ROUND(MIN(300,MAX(1,U1520)),0), FactorTable!$A$2:$A$301,0), 24)</f>
        <v/>
      </c>
      <c r="V1521">
        <f>IF(C1521,(H1521*N1521*IF(AND(Inputs!$B$39&lt;&gt;"pvp",Inputs!$B$44&gt;0),((Skills!G3*((R1521-1)*IF(Skills!H3&gt;0,Skills!I3/Skills!H3,1)+IF(Skills!H3&gt;0,MIN(Skills!I3,MAX(0,MAX(0,Inputs!$B$44-B1563)-((R1521-1)*IF(Inputs!$B$39="pvp",15,MAX(0.1,Skills!D3-IF(Skills!E3=TRUE,2.0,0))))))/Skills!H3,1)))/Inputs!$B$44),G1521*Q1521))*IF(Inputs!$B$39="pvp",1,(1+(Inputs!$B$21+Skills!Q3+B1559)/100)*(MIN(Skills!W3,Inputs!$B$37))),0)</f>
        <v/>
      </c>
    </row>
    <row r="1522">
      <c r="A1522">
        <f>Skills!A4</f>
        <v/>
      </c>
      <c r="B1522">
        <f>Skills!B4</f>
        <v/>
      </c>
      <c r="C1522">
        <f>Inputs!$B$3&gt;=40</f>
        <v/>
      </c>
      <c r="D1522">
        <f>IF(Skills!C4=1,60+Inputs!$B$25+Inputs!$B$29,IF(Skills!C4=2,90+Inputs!$B$26+Inputs!$B$29,IF(Skills!C4=3,120+Inputs!$B$27+Inputs!$B$29,MAX(0,(Inputs!$B$3-100)*3)+Inputs!$B$28+Inputs!$B$29)))</f>
        <v/>
      </c>
      <c r="E1522">
        <f>INDEX(FactorTable!$B$2:$Y$301, MATCH(ROUND(MIN(300,MAX(1,D1522)),0), FactorTable!$A$2:$A$301,0), Skills!M4+1)</f>
        <v/>
      </c>
      <c r="F1522">
        <f>IF(Skills!N4=TRUE,(Skills!L4/10)*(E1522/1000),Skills!L4/10)+Skills!O4</f>
        <v/>
      </c>
      <c r="G1522">
        <f>Calc!G4</f>
        <v/>
      </c>
      <c r="H1522">
        <f>Calc!H4</f>
        <v/>
      </c>
      <c r="I1522">
        <f>IF(Skills!AA4&lt;&gt;"",1+(Skills!AA4/10)*(U1521/1000)/100,1)</f>
        <v/>
      </c>
      <c r="J1522">
        <f>((Inputs!$B$6*(1+Inputs!$B$7/100))+(((Inputs!$B$12*(1+Inputs!$B$13/100))-(Inputs!$B$12*(1+Inputs!$B$13/100)))+0.25*(Inputs!$B$14-Inputs!$B$14))*(1+Inputs!$B$7/100))*(F1522/100)</f>
        <v/>
      </c>
      <c r="K1522">
        <f>J1522*(1+((Inputs!$B$12*(1+Inputs!$B$13/100))*0.01+Inputs!$B$14*0.0025)/100)*(1+Inputs!$B$15/100)*(1+Inputs!$B$16/100)*(5000/(6000+Inputs!$B$43*(1-Inputs!$B$19/100)))*(1+(Inputs!$B$24+((C1548=TRUE)*(F1548-Calc!F30)))/100)*(1+Skills!R4/100)*(1+(IF(Skills!A4="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1522)</f>
        <v/>
      </c>
      <c r="L1522">
        <f>K1522*(MIN(Inputs!$B$22+((C1542=TRUE)*(F1542-Calc!F24)),Inputs!$B$23)/100+Inputs!$B$23/100)/2</f>
        <v/>
      </c>
      <c r="M1522">
        <f>L1522*(1+(Inputs!$B$10+((C1544=TRUE)*(F1544-Calc!F26))+B1561)/100)</f>
        <v/>
      </c>
      <c r="N1522">
        <f>L1522*(1-MIN((Inputs!$B$9+((C1543=TRUE)*(F1543-Calc!F25))+B1558),100)/100)+M1522*(MIN((Inputs!$B$9+((C1543=TRUE)*(F1543-Calc!F25))+B1558),100)/100)</f>
        <v/>
      </c>
      <c r="O1522">
        <f>(1-Summary!$B$55)*T1522+Summary!$B$55*V1522</f>
        <v/>
      </c>
      <c r="P1522">
        <f>IF(B1562=0,0,O1522/B1562)</f>
        <v/>
      </c>
      <c r="Q1522">
        <f>IFERROR(1/IF(Inputs!$B$39="pvp",15,MAX(0.1,Skills!D4-IF(Skills!E4=TRUE,2.0,0))),0)</f>
        <v/>
      </c>
      <c r="R1522">
        <f>IF(AND(Inputs!$B$39&lt;&gt;"pvp",Inputs!$B$44&gt;0),IF(MAX(0,Inputs!$B$44-B1563)&lt;=0,0,(INT(MAX(0,Inputs!$B$44-B1563)/IF(Inputs!$B$39="pvp",15,MAX(0.1,Skills!D4-IF(Skills!E4=TRUE,2.0,0))))+1)),0)</f>
        <v/>
      </c>
      <c r="S1522">
        <f>IFERROR(O1522/N1522,0)</f>
        <v/>
      </c>
      <c r="T1522">
        <f>IF(C1522,(H1522*N1522*IF(AND(Inputs!$B$39&lt;&gt;"pvp",Inputs!$B$44&gt;0),((Skills!G4*((R1522-1)*IF(Skills!H4&gt;0,Skills!I4/Skills!H4,1)+IF(Skills!H4&gt;0,MIN(Skills!I4,MAX(0,MAX(0,Inputs!$B$44-B1563)-((R1522-1)*IF(Inputs!$B$39="pvp",15,MAX(0.1,Skills!D4-IF(Skills!E4=TRUE,2.0,0))))))/Skills!H4,1)))/Inputs!$B$44),G1522*Q1522))*IF(Inputs!$B$39="pvp",1,1+(Inputs!$B$20+((C1545=TRUE)*(F1545-Calc!F27))+Skills!P4+B1559)/100),0)</f>
        <v/>
      </c>
      <c r="U1522">
        <f>MAX(0,(Inputs!$B$3-100)*3)+Inputs!$B$28+Inputs!$B$29</f>
        <v/>
      </c>
      <c r="V1522">
        <f>IF(C1522,(H1522*N1522*IF(AND(Inputs!$B$39&lt;&gt;"pvp",Inputs!$B$44&gt;0),((Skills!G4*((R1522-1)*IF(Skills!H4&gt;0,Skills!I4/Skills!H4,1)+IF(Skills!H4&gt;0,MIN(Skills!I4,MAX(0,MAX(0,Inputs!$B$44-B1563)-((R1522-1)*IF(Inputs!$B$39="pvp",15,MAX(0.1,Skills!D4-IF(Skills!E4=TRUE,2.0,0))))))/Skills!H4,1)))/Inputs!$B$44),G1522*Q1522))*IF(Inputs!$B$39="pvp",1,(1+(Inputs!$B$21+Skills!Q4+B1559)/100)*(MIN(Skills!W4,Inputs!$B$37))),0)</f>
        <v/>
      </c>
    </row>
    <row r="1523">
      <c r="A1523">
        <f>Skills!A5</f>
        <v/>
      </c>
      <c r="B1523">
        <f>Skills!B5</f>
        <v/>
      </c>
      <c r="C1523">
        <f>Inputs!$B$3&gt;=63</f>
        <v/>
      </c>
      <c r="D1523">
        <f>IF(Skills!C5=1,60+Inputs!$B$25+Inputs!$B$29,IF(Skills!C5=2,90+Inputs!$B$26+Inputs!$B$29,IF(Skills!C5=3,120+Inputs!$B$27+Inputs!$B$29,MAX(0,(Inputs!$B$3-100)*3)+Inputs!$B$28+Inputs!$B$29)))</f>
        <v/>
      </c>
      <c r="E1523">
        <f>INDEX(FactorTable!$B$2:$Y$301, MATCH(ROUND(MIN(300,MAX(1,D1523)),0), FactorTable!$A$2:$A$301,0), Skills!M5+1)</f>
        <v/>
      </c>
      <c r="F1523">
        <f>IF(Skills!N5=TRUE,(Skills!L5/10)*(E1523/1000),Skills!L5/10)+Skills!O5</f>
        <v/>
      </c>
      <c r="G1523">
        <f>Calc!G5</f>
        <v/>
      </c>
      <c r="H1523">
        <f>Calc!H5</f>
        <v/>
      </c>
      <c r="I1523">
        <f>IF(Skills!AA5&lt;&gt;"",1+(Skills!AA5/10)*(U1521/1000)/100,1)</f>
        <v/>
      </c>
      <c r="J1523">
        <f>((Inputs!$B$6*(1+Inputs!$B$7/100))+(((Inputs!$B$12*(1+Inputs!$B$13/100))-(Inputs!$B$12*(1+Inputs!$B$13/100)))+0.25*(Inputs!$B$14-Inputs!$B$14))*(1+Inputs!$B$7/100))*(F1523/100)</f>
        <v/>
      </c>
      <c r="K1523">
        <f>J1523*(1+((Inputs!$B$12*(1+Inputs!$B$13/100))*0.01+Inputs!$B$14*0.0025)/100)*(1+Inputs!$B$15/100)*(1+Inputs!$B$16/100)*(5000/(6000+Inputs!$B$43*(1-Inputs!$B$19/100)))*(1+(Inputs!$B$24+((C1548=TRUE)*(F1548-Calc!F30)))/100)*(1+Skills!R5/100)*(1+(IF(Skills!A5="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1523)</f>
        <v/>
      </c>
      <c r="L1523">
        <f>K1523*(MIN(Inputs!$B$22+((C1542=TRUE)*(F1542-Calc!F24)),Inputs!$B$23)/100+Inputs!$B$23/100)/2</f>
        <v/>
      </c>
      <c r="M1523">
        <f>L1523*(1+(Inputs!$B$10+((C1544=TRUE)*(F1544-Calc!F26))+B1561)/100)</f>
        <v/>
      </c>
      <c r="N1523">
        <f>L1523*(1-MIN((Inputs!$B$9+((C1543=TRUE)*(F1543-Calc!F25))+B1558),100)/100)+M1523*(MIN((Inputs!$B$9+((C1543=TRUE)*(F1543-Calc!F25))+B1558),100)/100)</f>
        <v/>
      </c>
      <c r="O1523">
        <f>(1-Summary!$B$55)*T1523+Summary!$B$55*V1523</f>
        <v/>
      </c>
      <c r="P1523">
        <f>IF(B1562=0,0,O1523/B1562)</f>
        <v/>
      </c>
      <c r="Q1523">
        <f>IFERROR(1/IF(Inputs!$B$39="pvp",15,MAX(0.1,Skills!D5-IF(Skills!E5=TRUE,2.0,0))),0)</f>
        <v/>
      </c>
      <c r="R1523">
        <f>IF(AND(Inputs!$B$39&lt;&gt;"pvp",Inputs!$B$44&gt;0),IF(MAX(0,Inputs!$B$44-B1563)&lt;=0,0,(INT(MAX(0,Inputs!$B$44-B1563)/IF(Inputs!$B$39="pvp",15,MAX(0.1,Skills!D5-IF(Skills!E5=TRUE,2.0,0))))+1)),0)</f>
        <v/>
      </c>
      <c r="S1523">
        <f>IFERROR(O1523/N1523,0)</f>
        <v/>
      </c>
      <c r="T1523">
        <f>IF(C1523,(H1523*N1523*IF(AND(Inputs!$B$39&lt;&gt;"pvp",Inputs!$B$44&gt;0),((Skills!G5*((R1523-1)*IF(Skills!H5&gt;0,Skills!I5/Skills!H5,1)+IF(Skills!H5&gt;0,MIN(Skills!I5,MAX(0,MAX(0,Inputs!$B$44-B1563)-((R1523-1)*IF(Inputs!$B$39="pvp",15,MAX(0.1,Skills!D5-IF(Skills!E5=TRUE,2.0,0))))))/Skills!H5,1)))/Inputs!$B$44),G1523*Q1523))*IF(Inputs!$B$39="pvp",1,1+(Inputs!$B$20+((C1545=TRUE)*(F1545-Calc!F27))+Skills!P5+B1559)/100),0)</f>
        <v/>
      </c>
      <c r="U1523">
        <f>INDEX(FactorTable!$B$2:$Y$301, MATCH(ROUND(MIN(300,MAX(1,U1522)),0), FactorTable!$A$2:$A$301,0), 22)</f>
        <v/>
      </c>
      <c r="V1523">
        <f>IF(C1523,(H1523*N1523*IF(AND(Inputs!$B$39&lt;&gt;"pvp",Inputs!$B$44&gt;0),((Skills!G5*((R1523-1)*IF(Skills!H5&gt;0,Skills!I5/Skills!H5,1)+IF(Skills!H5&gt;0,MIN(Skills!I5,MAX(0,MAX(0,Inputs!$B$44-B1563)-((R1523-1)*IF(Inputs!$B$39="pvp",15,MAX(0.1,Skills!D5-IF(Skills!E5=TRUE,2.0,0))))))/Skills!H5,1)))/Inputs!$B$44),G1523*Q1523))*IF(Inputs!$B$39="pvp",1,(1+(Inputs!$B$21+Skills!Q5+B1559)/100)*(MIN(Skills!W5,Inputs!$B$37))),0)</f>
        <v/>
      </c>
    </row>
    <row r="1524">
      <c r="A1524">
        <f>Skills!A6</f>
        <v/>
      </c>
      <c r="B1524">
        <f>Skills!B6</f>
        <v/>
      </c>
      <c r="C1524">
        <f>Inputs!$B$3&gt;=66</f>
        <v/>
      </c>
      <c r="D1524">
        <f>IF(Skills!C6=1,60+Inputs!$B$25+Inputs!$B$29,IF(Skills!C6=2,90+Inputs!$B$26+Inputs!$B$29,IF(Skills!C6=3,120+Inputs!$B$27+Inputs!$B$29,MAX(0,(Inputs!$B$3-100)*3)+Inputs!$B$28+Inputs!$B$29)))</f>
        <v/>
      </c>
      <c r="E1524">
        <f>INDEX(FactorTable!$B$2:$Y$301, MATCH(ROUND(MIN(300,MAX(1,D1524)),0), FactorTable!$A$2:$A$301,0), Skills!M6+1)</f>
        <v/>
      </c>
      <c r="F1524">
        <f>IF(Skills!N6=TRUE,(Skills!L6/10)*(E1524/1000),Skills!L6/10)+Skills!O6</f>
        <v/>
      </c>
      <c r="G1524">
        <f>Calc!G6</f>
        <v/>
      </c>
      <c r="H1524">
        <f>Calc!H6</f>
        <v/>
      </c>
      <c r="I1524">
        <f>IF(Skills!AA6&lt;&gt;"",1+(Skills!AA6/10)*(U1521/1000)/100,1)</f>
        <v/>
      </c>
      <c r="J1524" t="inlineStr"/>
      <c r="K1524" t="inlineStr"/>
      <c r="L1524" t="inlineStr"/>
      <c r="M1524" t="inlineStr"/>
      <c r="N1524" t="inlineStr"/>
      <c r="O1524">
        <f>(1-Summary!$B$55)*T1524+Summary!$B$55*V1524</f>
        <v/>
      </c>
      <c r="P1524">
        <f>IF(B1562=0,0,O1524/B1562)</f>
        <v/>
      </c>
      <c r="Q1524" t="n">
        <v>0</v>
      </c>
      <c r="R1524" t="n">
        <v>0</v>
      </c>
      <c r="S1524">
        <f>IFERROR(O1524/N1524,0)</f>
        <v/>
      </c>
      <c r="T1524" t="n">
        <v>0</v>
      </c>
      <c r="U1524">
        <f>290*U1523/1000</f>
        <v/>
      </c>
      <c r="V1524" t="n">
        <v>0</v>
      </c>
    </row>
    <row r="1525">
      <c r="A1525">
        <f>Skills!A7</f>
        <v/>
      </c>
      <c r="B1525">
        <f>Skills!B7</f>
        <v/>
      </c>
      <c r="C1525">
        <f>Inputs!$B$3&gt;=66</f>
        <v/>
      </c>
      <c r="D1525">
        <f>IF(Skills!C7=1,60+Inputs!$B$25+Inputs!$B$29,IF(Skills!C7=2,90+Inputs!$B$26+Inputs!$B$29,IF(Skills!C7=3,120+Inputs!$B$27+Inputs!$B$29,MAX(0,(Inputs!$B$3-100)*3)+Inputs!$B$28+Inputs!$B$29)))</f>
        <v/>
      </c>
      <c r="E1525">
        <f>INDEX(FactorTable!$B$2:$Y$301, MATCH(ROUND(MIN(300,MAX(1,D1525)),0), FactorTable!$A$2:$A$301,0), Skills!M7+1)</f>
        <v/>
      </c>
      <c r="F1525">
        <f>IF(Skills!N7=TRUE,(Skills!L7/10)*(E1525/1000),Skills!L7/10)+Skills!O7</f>
        <v/>
      </c>
      <c r="G1525">
        <f>Calc!G7</f>
        <v/>
      </c>
      <c r="H1525">
        <f>Calc!H7</f>
        <v/>
      </c>
      <c r="I1525">
        <f>IF(Skills!AA7&lt;&gt;"",1+(Skills!AA7/10)*(U1521/1000)/100,1)</f>
        <v/>
      </c>
      <c r="J1525" t="inlineStr"/>
      <c r="K1525" t="inlineStr"/>
      <c r="L1525" t="inlineStr"/>
      <c r="M1525" t="inlineStr"/>
      <c r="N1525" t="inlineStr"/>
      <c r="O1525">
        <f>(1-Summary!$B$55)*T1525+Summary!$B$55*V1525</f>
        <v/>
      </c>
      <c r="P1525">
        <f>IF(B1562=0,0,O1525/B1562)</f>
        <v/>
      </c>
      <c r="Q1525" t="n">
        <v>0</v>
      </c>
      <c r="R1525" t="n">
        <v>0</v>
      </c>
      <c r="S1525">
        <f>IFERROR(O1525/N1525,0)</f>
        <v/>
      </c>
      <c r="T1525" t="n">
        <v>0</v>
      </c>
      <c r="V1525" t="n">
        <v>0</v>
      </c>
    </row>
    <row r="1526">
      <c r="A1526">
        <f>Skills!A8</f>
        <v/>
      </c>
      <c r="B1526">
        <f>Skills!B8</f>
        <v/>
      </c>
      <c r="C1526">
        <f>Inputs!$B$3&gt;=69</f>
        <v/>
      </c>
      <c r="D1526">
        <f>IF(Skills!C8=1,60+Inputs!$B$25+Inputs!$B$29,IF(Skills!C8=2,90+Inputs!$B$26+Inputs!$B$29,IF(Skills!C8=3,120+Inputs!$B$27+Inputs!$B$29,MAX(0,(Inputs!$B$3-100)*3)+Inputs!$B$28+Inputs!$B$29)))</f>
        <v/>
      </c>
      <c r="E1526">
        <f>INDEX(FactorTable!$B$2:$Y$301, MATCH(ROUND(MIN(300,MAX(1,D1526)),0), FactorTable!$A$2:$A$301,0), Skills!M8+1)</f>
        <v/>
      </c>
      <c r="F1526">
        <f>IF(Skills!N8=TRUE,(Skills!L8/10)*(E1526/1000),Skills!L8/10)+Skills!O8</f>
        <v/>
      </c>
      <c r="G1526">
        <f>Calc!G8</f>
        <v/>
      </c>
      <c r="H1526">
        <f>Calc!H8</f>
        <v/>
      </c>
      <c r="I1526">
        <f>IF(Skills!AA8&lt;&gt;"",1+(Skills!AA8/10)*(U1521/1000)/100,1)</f>
        <v/>
      </c>
      <c r="J1526">
        <f>((Inputs!$B$6*(1+Inputs!$B$7/100))+(((Inputs!$B$12*(1+Inputs!$B$13/100))-(Inputs!$B$12*(1+Inputs!$B$13/100)))+0.25*(Inputs!$B$14-Inputs!$B$14))*(1+Inputs!$B$7/100))*(F1526/100)</f>
        <v/>
      </c>
      <c r="K1526">
        <f>J1526*(1+((Inputs!$B$12*(1+Inputs!$B$13/100))*0.01+Inputs!$B$14*0.0025)/100)*(1+Inputs!$B$15/100)*(1+Inputs!$B$16/100)*(5000/(6000+Inputs!$B$43*(1-Inputs!$B$19/100)))*(1+(Inputs!$B$24+((C1548=TRUE)*(F1548-Calc!F30)))/100)*(1+Skills!R8/100)*(1+(IF(Skills!A8="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1526)</f>
        <v/>
      </c>
      <c r="L1526">
        <f>K1526*(MIN(Inputs!$B$22+((C1542=TRUE)*(F1542-Calc!F24)),Inputs!$B$23)/100+Inputs!$B$23/100)/2</f>
        <v/>
      </c>
      <c r="M1526">
        <f>L1526*(1+(Inputs!$B$10+((C1544=TRUE)*(F1544-Calc!F26))+B1561)/100)</f>
        <v/>
      </c>
      <c r="N1526">
        <f>L1526*(1-MIN((Inputs!$B$9+((C1543=TRUE)*(F1543-Calc!F25))+B1558),100)/100)+M1526*(MIN((Inputs!$B$9+((C1543=TRUE)*(F1543-Calc!F25))+B1558),100)/100)</f>
        <v/>
      </c>
      <c r="O1526">
        <f>(1-Summary!$B$55)*T1526+Summary!$B$55*V1526</f>
        <v/>
      </c>
      <c r="P1526">
        <f>IF(B1562=0,0,O1526/B1562)</f>
        <v/>
      </c>
      <c r="Q1526">
        <f>IFERROR(1/IF(Inputs!$B$39="pvp",15,MAX(0.1,Skills!D8-IF(Skills!E8=TRUE,2.0,0))),0)</f>
        <v/>
      </c>
      <c r="R1526">
        <f>IF(AND(Inputs!$B$39&lt;&gt;"pvp",Inputs!$B$44&gt;0),IF(MAX(0,Inputs!$B$44-B1563)&lt;=0,0,(INT(MAX(0,Inputs!$B$44-B1563)/IF(Inputs!$B$39="pvp",15,MAX(0.1,Skills!D8-IF(Skills!E8=TRUE,2.0,0))))+1)),0)</f>
        <v/>
      </c>
      <c r="S1526">
        <f>IFERROR(O1526/N1526,0)</f>
        <v/>
      </c>
      <c r="T1526">
        <f>IF(C1526,(H1526*N1526*IF(AND(Inputs!$B$39&lt;&gt;"pvp",Inputs!$B$44&gt;0),((Skills!G8*((R1526-1)*IF(Skills!H8&gt;0,Skills!I8/Skills!H8,1)+IF(Skills!H8&gt;0,MIN(Skills!I8,MAX(0,MAX(0,Inputs!$B$44-B1563)-((R1526-1)*IF(Inputs!$B$39="pvp",15,MAX(0.1,Skills!D8-IF(Skills!E8=TRUE,2.0,0))))))/Skills!H8,1)))/Inputs!$B$44),G1526*Q1526))*IF(Inputs!$B$39="pvp",1,1+(Inputs!$B$20+((C1545=TRUE)*(F1545-Calc!F27))+Skills!P8+B1559)/100),0)</f>
        <v/>
      </c>
      <c r="V1526">
        <f>IF(C1526,(H1526*N1526*IF(AND(Inputs!$B$39&lt;&gt;"pvp",Inputs!$B$44&gt;0),((Skills!G8*((R1526-1)*IF(Skills!H8&gt;0,Skills!I8/Skills!H8,1)+IF(Skills!H8&gt;0,MIN(Skills!I8,MAX(0,MAX(0,Inputs!$B$44-B1563)-((R1526-1)*IF(Inputs!$B$39="pvp",15,MAX(0.1,Skills!D8-IF(Skills!E8=TRUE,2.0,0))))))/Skills!H8,1)))/Inputs!$B$44),G1526*Q1526))*IF(Inputs!$B$39="pvp",1,(1+(Inputs!$B$21+Skills!Q8+B1559)/100)*(MIN(Skills!W8,Inputs!$B$37))),0)</f>
        <v/>
      </c>
    </row>
    <row r="1527">
      <c r="A1527">
        <f>Skills!A9</f>
        <v/>
      </c>
      <c r="B1527">
        <f>Skills!B9</f>
        <v/>
      </c>
      <c r="C1527">
        <f>Inputs!$B$3&gt;=72</f>
        <v/>
      </c>
      <c r="D1527">
        <f>IF(Skills!C9=1,60+Inputs!$B$25+Inputs!$B$29,IF(Skills!C9=2,90+Inputs!$B$26+Inputs!$B$29,IF(Skills!C9=3,120+Inputs!$B$27+Inputs!$B$29,MAX(0,(Inputs!$B$3-100)*3)+Inputs!$B$28+Inputs!$B$29)))</f>
        <v/>
      </c>
      <c r="E1527">
        <f>INDEX(FactorTable!$B$2:$Y$301, MATCH(ROUND(MIN(300,MAX(1,D1527)),0), FactorTable!$A$2:$A$301,0), Skills!M9+1)</f>
        <v/>
      </c>
      <c r="F1527">
        <f>IF(Skills!N9=TRUE,(Skills!L9/10)*(E1527/1000),Skills!L9/10)+Skills!O9</f>
        <v/>
      </c>
      <c r="G1527">
        <f>Calc!G9</f>
        <v/>
      </c>
      <c r="H1527">
        <f>Calc!H9</f>
        <v/>
      </c>
      <c r="I1527">
        <f>IF(Skills!AA9&lt;&gt;"",1+(Skills!AA9/10)*(U1521/1000)/100,1)</f>
        <v/>
      </c>
      <c r="J1527">
        <f>((Inputs!$B$6*(1+Inputs!$B$7/100))+(((Inputs!$B$12*(1+Inputs!$B$13/100))-(Inputs!$B$12*(1+Inputs!$B$13/100)))+0.25*(Inputs!$B$14-Inputs!$B$14))*(1+Inputs!$B$7/100))*(F1527/100)</f>
        <v/>
      </c>
      <c r="K1527">
        <f>J1527*(1+((Inputs!$B$12*(1+Inputs!$B$13/100))*0.01+Inputs!$B$14*0.0025)/100)*(1+Inputs!$B$15/100)*(1+Inputs!$B$16/100)*(5000/(6000+Inputs!$B$43*(1-Inputs!$B$19/100)))*(1+(Inputs!$B$24+((C1548=TRUE)*(F1548-Calc!F30)))/100)*(1+Skills!R9/100)*(1+(IF(Skills!A9="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1527)</f>
        <v/>
      </c>
      <c r="L1527">
        <f>K1527*(MIN(Inputs!$B$22+((C1542=TRUE)*(F1542-Calc!F24)),Inputs!$B$23)/100+Inputs!$B$23/100)/2</f>
        <v/>
      </c>
      <c r="M1527">
        <f>L1527*(1+(Inputs!$B$10+((C1544=TRUE)*(F1544-Calc!F26))+B1561)/100)</f>
        <v/>
      </c>
      <c r="N1527">
        <f>L1527*(1-MIN((Inputs!$B$9+((C1543=TRUE)*(F1543-Calc!F25))+B1558),100)/100)+M1527*(MIN((Inputs!$B$9+((C1543=TRUE)*(F1543-Calc!F25))+B1558),100)/100)</f>
        <v/>
      </c>
      <c r="O1527">
        <f>(1-Summary!$B$55)*T1527+Summary!$B$55*V1527</f>
        <v/>
      </c>
      <c r="P1527">
        <f>IF(B1562=0,0,O1527/B1562)</f>
        <v/>
      </c>
      <c r="Q1527">
        <f>IFERROR(1/IF(Inputs!$B$39="pvp",15,MAX(0.1,Skills!D9-IF(Skills!E9=TRUE,2.0,0))),0)</f>
        <v/>
      </c>
      <c r="R1527">
        <f>IF(AND(Inputs!$B$39&lt;&gt;"pvp",Inputs!$B$44&gt;0),IF(MAX(0,Inputs!$B$44-B1563)&lt;=0,0,(INT(MAX(0,Inputs!$B$44-B1563)/IF(Inputs!$B$39="pvp",15,MAX(0.1,Skills!D9-IF(Skills!E9=TRUE,2.0,0))))+1)),0)</f>
        <v/>
      </c>
      <c r="S1527">
        <f>IFERROR(O1527/N1527,0)</f>
        <v/>
      </c>
      <c r="T1527">
        <f>IF(C1527,(H1527*N1527*IF(AND(Inputs!$B$39&lt;&gt;"pvp",Inputs!$B$44&gt;0),((Skills!G9*((R1527-1)*IF(Skills!H9&gt;0,Skills!I9/Skills!H9,1)+IF(Skills!H9&gt;0,MIN(Skills!I9,MAX(0,MAX(0,Inputs!$B$44-B1563)-((R1527-1)*IF(Inputs!$B$39="pvp",15,MAX(0.1,Skills!D9-IF(Skills!E9=TRUE,2.0,0))))))/Skills!H9,1)))/Inputs!$B$44),G1527*Q1527))*IF(Inputs!$B$39="pvp",1,1+(Inputs!$B$20+((C1545=TRUE)*(F1545-Calc!F27))+Skills!P9+B1559)/100),0)</f>
        <v/>
      </c>
      <c r="V1527">
        <f>IF(C1527,(H1527*N1527*IF(AND(Inputs!$B$39&lt;&gt;"pvp",Inputs!$B$44&gt;0),((Skills!G9*((R1527-1)*IF(Skills!H9&gt;0,Skills!I9/Skills!H9,1)+IF(Skills!H9&gt;0,MIN(Skills!I9,MAX(0,MAX(0,Inputs!$B$44-B1563)-((R1527-1)*IF(Inputs!$B$39="pvp",15,MAX(0.1,Skills!D9-IF(Skills!E9=TRUE,2.0,0))))))/Skills!H9,1)))/Inputs!$B$44),G1527*Q1527))*IF(Inputs!$B$39="pvp",1,(1+(Inputs!$B$21+Skills!Q9+B1559)/100)*(MIN(Skills!W9,Inputs!$B$37))),0)</f>
        <v/>
      </c>
    </row>
    <row r="1528">
      <c r="A1528">
        <f>Skills!A10</f>
        <v/>
      </c>
      <c r="B1528">
        <f>Skills!B10</f>
        <v/>
      </c>
      <c r="C1528">
        <f>Inputs!$B$3&gt;=117</f>
        <v/>
      </c>
      <c r="D1528">
        <f>IF(Skills!C10=1,60+Inputs!$B$25+Inputs!$B$29,IF(Skills!C10=2,90+Inputs!$B$26+Inputs!$B$29,IF(Skills!C10=3,120+Inputs!$B$27+Inputs!$B$29,MAX(0,(Inputs!$B$3-100)*3)+Inputs!$B$28+Inputs!$B$29)))</f>
        <v/>
      </c>
      <c r="E1528">
        <f>INDEX(FactorTable!$B$2:$Y$301, MATCH(ROUND(MIN(300,MAX(1,D1528)),0), FactorTable!$A$2:$A$301,0), Skills!M10+1)</f>
        <v/>
      </c>
      <c r="F1528">
        <f>IF(Skills!N10=TRUE,(Skills!L10/10)*(E1528/1000),Skills!L10/10)+Skills!O10</f>
        <v/>
      </c>
      <c r="G1528">
        <f>Calc!G10</f>
        <v/>
      </c>
      <c r="H1528">
        <f>Calc!H10</f>
        <v/>
      </c>
      <c r="I1528">
        <f>IF(Skills!AA10&lt;&gt;"",1+(Skills!AA10/10)*(U1521/1000)/100,1)</f>
        <v/>
      </c>
      <c r="J1528">
        <f>((Inputs!$B$6*(1+Inputs!$B$7/100))+(((Inputs!$B$12*(1+Inputs!$B$13/100))-(Inputs!$B$12*(1+Inputs!$B$13/100)))+0.25*(Inputs!$B$14-Inputs!$B$14))*(1+Inputs!$B$7/100))*(F1528/100)</f>
        <v/>
      </c>
      <c r="K1528">
        <f>J1528*(1+((Inputs!$B$12*(1+Inputs!$B$13/100))*0.01+Inputs!$B$14*0.0025)/100)*(1+Inputs!$B$15/100)*(1+Inputs!$B$16/100)*(5000/(6000+Inputs!$B$43*(1-Inputs!$B$19/100)))*(1+(Inputs!$B$24+((C1548=TRUE)*(F1548-Calc!F30)))/100)*(1+Skills!R10/100)*(1+(IF(Skills!A10="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1528)</f>
        <v/>
      </c>
      <c r="L1528">
        <f>K1528*(MIN(Inputs!$B$22+((C1542=TRUE)*(F1542-Calc!F24)),Inputs!$B$23)/100+Inputs!$B$23/100)/2</f>
        <v/>
      </c>
      <c r="M1528">
        <f>L1528*(1+(Inputs!$B$10+((C1544=TRUE)*(F1544-Calc!F26))+B1561)/100)</f>
        <v/>
      </c>
      <c r="N1528">
        <f>L1528*(1-MIN((Inputs!$B$9+((C1543=TRUE)*(F1543-Calc!F25))+B1558),100)/100)+M1528*(MIN((Inputs!$B$9+((C1543=TRUE)*(F1543-Calc!F25))+B1558),100)/100)</f>
        <v/>
      </c>
      <c r="O1528">
        <f>(1-Summary!$B$55)*T1528+Summary!$B$55*V1528</f>
        <v/>
      </c>
      <c r="P1528">
        <f>IF(B1562=0,0,O1528/B1562)</f>
        <v/>
      </c>
      <c r="Q1528" t="n">
        <v>0</v>
      </c>
      <c r="R1528" t="n">
        <v>0</v>
      </c>
      <c r="S1528" t="n">
        <v>0</v>
      </c>
      <c r="T1528">
        <f>IF(C1528,(0.2*SUMPRODUCT((Skills!Z2:Z31=TRUE)*(C1520:C1549=TRUE)*S1520:S1549)*N1528)*IF(Inputs!$B$39="pvp",1,1+(Inputs!$B$20+((C1545=TRUE)*(F1545-Calc!F27))+Skills!P10+B1559)/100),0)</f>
        <v/>
      </c>
      <c r="V1528">
        <f>IF(C1528,(0.2*SUMPRODUCT((Skills!Z2:Z31=TRUE)*(C1520:C1549=TRUE)*S1520:S1549)*N1528)*IF(Inputs!$B$39="pvp",1,(1+(Inputs!$B$21+Skills!Q10+B1559)/100)*(MIN(Skills!W10,Inputs!$B$37))),0)</f>
        <v/>
      </c>
    </row>
    <row r="1529">
      <c r="A1529">
        <f>Skills!A11</f>
        <v/>
      </c>
      <c r="B1529">
        <f>Skills!B11</f>
        <v/>
      </c>
      <c r="C1529">
        <f>Inputs!$B$3&gt;=60</f>
        <v/>
      </c>
      <c r="D1529">
        <f>IF(Skills!C11=1,60+Inputs!$B$25+Inputs!$B$29,IF(Skills!C11=2,90+Inputs!$B$26+Inputs!$B$29,IF(Skills!C11=3,120+Inputs!$B$27+Inputs!$B$29,MAX(0,(Inputs!$B$3-100)*3)+Inputs!$B$28+Inputs!$B$29)))</f>
        <v/>
      </c>
      <c r="E1529">
        <f>INDEX(FactorTable!$B$2:$Y$301, MATCH(ROUND(MIN(300,MAX(1,D1529)),0), FactorTable!$A$2:$A$301,0), Skills!M11+1)</f>
        <v/>
      </c>
      <c r="F1529">
        <f>IF(Skills!N11=TRUE,(Skills!L11/10)*(E1529/1000),Skills!L11/10)+Skills!O11</f>
        <v/>
      </c>
      <c r="G1529">
        <f>Calc!G11</f>
        <v/>
      </c>
      <c r="H1529">
        <f>Calc!H11</f>
        <v/>
      </c>
      <c r="I1529">
        <f>IF(Skills!AA11&lt;&gt;"",1+(Skills!AA11/10)*(U1521/1000)/100,1)</f>
        <v/>
      </c>
      <c r="J1529" t="inlineStr"/>
      <c r="K1529" t="inlineStr"/>
      <c r="L1529" t="inlineStr"/>
      <c r="M1529" t="inlineStr"/>
      <c r="N1529" t="inlineStr"/>
      <c r="O1529">
        <f>(1-Summary!$B$55)*T1529+Summary!$B$55*V1529</f>
        <v/>
      </c>
      <c r="P1529">
        <f>IF(B1562=0,0,O1529/B1562)</f>
        <v/>
      </c>
      <c r="Q1529" t="n">
        <v>0</v>
      </c>
      <c r="R1529" t="n">
        <v>0</v>
      </c>
      <c r="S1529">
        <f>IFERROR(O1529/N1529,0)</f>
        <v/>
      </c>
      <c r="T1529" t="n">
        <v>0</v>
      </c>
      <c r="V1529" t="n">
        <v>0</v>
      </c>
    </row>
    <row r="1530">
      <c r="A1530">
        <f>Skills!A12</f>
        <v/>
      </c>
      <c r="B1530">
        <f>Skills!B12</f>
        <v/>
      </c>
      <c r="C1530">
        <f>Inputs!$B$3&gt;=103</f>
        <v/>
      </c>
      <c r="D1530">
        <f>IF(Skills!C12=1,60+Inputs!$B$25+Inputs!$B$29,IF(Skills!C12=2,90+Inputs!$B$26+Inputs!$B$29,IF(Skills!C12=3,120+Inputs!$B$27+Inputs!$B$29,MAX(0,(Inputs!$B$3-100)*3)+Inputs!$B$28+Inputs!$B$29)))</f>
        <v/>
      </c>
      <c r="E1530">
        <f>INDEX(FactorTable!$B$2:$Y$301, MATCH(ROUND(MIN(300,MAX(1,D1530)),0), FactorTable!$A$2:$A$301,0), Skills!M12+1)</f>
        <v/>
      </c>
      <c r="F1530">
        <f>IF(Skills!N12=TRUE,(Skills!L12/10)*(E1530/1000),Skills!L12/10)+Skills!O12</f>
        <v/>
      </c>
      <c r="G1530">
        <f>Calc!G12</f>
        <v/>
      </c>
      <c r="H1530">
        <f>Calc!H12</f>
        <v/>
      </c>
      <c r="I1530">
        <f>IF(Skills!AA12&lt;&gt;"",1+(Skills!AA12/10)*(U1521/1000)/100,1)</f>
        <v/>
      </c>
      <c r="J1530">
        <f>((Inputs!$B$6*(1+Inputs!$B$7/100))+(((Inputs!$B$12*(1+Inputs!$B$13/100))-(Inputs!$B$12*(1+Inputs!$B$13/100)))+0.25*(Inputs!$B$14-Inputs!$B$14))*(1+Inputs!$B$7/100))*(F1530/100)</f>
        <v/>
      </c>
      <c r="K1530">
        <f>J1530*(1+((Inputs!$B$12*(1+Inputs!$B$13/100))*0.01+Inputs!$B$14*0.0025)/100)*(1+Inputs!$B$15/100)*(1+Inputs!$B$16/100)*(5000/(6000+Inputs!$B$43*(1-Inputs!$B$19/100)))*(1+(Inputs!$B$24+((C1548=TRUE)*(F1548-Calc!F30)))/100)*(1+Skills!R12/100)*(1+(IF(Skills!A12="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1530)</f>
        <v/>
      </c>
      <c r="L1530">
        <f>K1530*(MIN(Inputs!$B$22+((C1542=TRUE)*(F1542-Calc!F24)),Inputs!$B$23)/100+Inputs!$B$23/100)/2</f>
        <v/>
      </c>
      <c r="M1530">
        <f>L1530*(1+(Inputs!$B$10+((C1544=TRUE)*(F1544-Calc!F26))+B1561)/100)</f>
        <v/>
      </c>
      <c r="N1530">
        <f>L1530*(1-MIN((Inputs!$B$9+((C1543=TRUE)*(F1543-Calc!F25))+B1558),100)/100)+M1530*(MIN((Inputs!$B$9+((C1543=TRUE)*(F1543-Calc!F25))+B1558),100)/100)</f>
        <v/>
      </c>
      <c r="O1530">
        <f>(1-Summary!$B$55)*T1530+Summary!$B$55*V1530</f>
        <v/>
      </c>
      <c r="P1530">
        <f>IF(B1562=0,0,O1530/B1562)</f>
        <v/>
      </c>
      <c r="Q1530">
        <f>IFERROR(1/IF(Inputs!$B$39="pvp",15,MAX(0.1,Skills!D12-IF(Skills!E12=TRUE,2.0,0))),0)</f>
        <v/>
      </c>
      <c r="R1530">
        <f>IF(AND(Inputs!$B$39&lt;&gt;"pvp",Inputs!$B$44&gt;0),IF(MAX(0,Inputs!$B$44-B1563)&lt;=0,0,(INT(MAX(0,Inputs!$B$44-B1563)/IF(Inputs!$B$39="pvp",15,MAX(0.1,Skills!D12-IF(Skills!E12=TRUE,2.0,0))))+1)),0)</f>
        <v/>
      </c>
      <c r="S1530">
        <f>IFERROR(O1530/N1530,0)</f>
        <v/>
      </c>
      <c r="T1530">
        <f>IF(C1530,(H1530*N1530*IF(AND(Inputs!$B$39&lt;&gt;"pvp",Inputs!$B$44&gt;0),((Skills!G12*((R1530-1)*IF(Skills!H12&gt;0,Skills!I12/Skills!H12,1)+IF(Skills!H12&gt;0,MIN(Skills!I12,MAX(0,MAX(0,Inputs!$B$44-B1563)-((R1530-1)*IF(Inputs!$B$39="pvp",15,MAX(0.1,Skills!D12-IF(Skills!E12=TRUE,2.0,0))))))/Skills!H12,1)))/Inputs!$B$44),G1530*Q1530))*IF(Inputs!$B$39="pvp",1,1+(Inputs!$B$20+((C1545=TRUE)*(F1545-Calc!F27))+Skills!P12+B1559)/100),0)</f>
        <v/>
      </c>
      <c r="V1530">
        <f>IF(C1530,(H1530*N1530*IF(AND(Inputs!$B$39&lt;&gt;"pvp",Inputs!$B$44&gt;0),((Skills!G12*((R1530-1)*IF(Skills!H12&gt;0,Skills!I12/Skills!H12,1)+IF(Skills!H12&gt;0,MIN(Skills!I12,MAX(0,MAX(0,Inputs!$B$44-B1563)-((R1530-1)*IF(Inputs!$B$39="pvp",15,MAX(0.1,Skills!D12-IF(Skills!E12=TRUE,2.0,0))))))/Skills!H12,1)))/Inputs!$B$44),G1530*Q1530))*IF(Inputs!$B$39="pvp",1,(1+(Inputs!$B$21+Skills!Q12+B1559)/100)*(MIN(Skills!W12,Inputs!$B$37))),0)</f>
        <v/>
      </c>
    </row>
    <row r="1531">
      <c r="A1531">
        <f>Skills!A13</f>
        <v/>
      </c>
      <c r="B1531">
        <f>Skills!B13</f>
        <v/>
      </c>
      <c r="C1531">
        <f>Inputs!$B$3&gt;=105</f>
        <v/>
      </c>
      <c r="D1531">
        <f>IF(Skills!C13=1,60+Inputs!$B$25+Inputs!$B$29,IF(Skills!C13=2,90+Inputs!$B$26+Inputs!$B$29,IF(Skills!C13=3,120+Inputs!$B$27+Inputs!$B$29,MAX(0,(Inputs!$B$3-100)*3)+Inputs!$B$28+Inputs!$B$29)))</f>
        <v/>
      </c>
      <c r="E1531">
        <f>INDEX(FactorTable!$B$2:$Y$301, MATCH(ROUND(MIN(300,MAX(1,D1531)),0), FactorTable!$A$2:$A$301,0), Skills!M13+1)</f>
        <v/>
      </c>
      <c r="F1531">
        <f>IF(Skills!N13=TRUE,(Skills!L13/10)*(E1531/1000),Skills!L13/10)+Skills!O13</f>
        <v/>
      </c>
      <c r="G1531">
        <f>Calc!G13</f>
        <v/>
      </c>
      <c r="H1531">
        <f>Calc!H13</f>
        <v/>
      </c>
      <c r="I1531">
        <f>IF(Skills!AA13&lt;&gt;"",1+(Skills!AA13/10)*(U1521/1000)/100,1)</f>
        <v/>
      </c>
      <c r="J1531">
        <f>((Inputs!$B$6*(1+Inputs!$B$7/100))+(((Inputs!$B$12*(1+Inputs!$B$13/100))-(Inputs!$B$12*(1+Inputs!$B$13/100)))+0.25*(Inputs!$B$14-Inputs!$B$14))*(1+Inputs!$B$7/100))*(F1531/100)</f>
        <v/>
      </c>
      <c r="K1531">
        <f>J1531*(1+((Inputs!$B$12*(1+Inputs!$B$13/100))*0.01+Inputs!$B$14*0.0025)/100)*(1+Inputs!$B$15/100)*(1+Inputs!$B$16/100)*(5000/(6000+Inputs!$B$43*(1-Inputs!$B$19/100)))*(1+(Inputs!$B$24+((C1548=TRUE)*(F1548-Calc!F30)))/100)*(1+Skills!R13/100)*(1+(IF(Skills!A13="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1531)</f>
        <v/>
      </c>
      <c r="L1531">
        <f>K1531*(MIN(Inputs!$B$22+((C1542=TRUE)*(F1542-Calc!F24)),Inputs!$B$23)/100+Inputs!$B$23/100)/2</f>
        <v/>
      </c>
      <c r="M1531">
        <f>L1531*(1+(Inputs!$B$10+((C1544=TRUE)*(F1544-Calc!F26))+B1561)/100)</f>
        <v/>
      </c>
      <c r="N1531">
        <f>L1531*(1-MIN((Inputs!$B$9+((C1543=TRUE)*(F1543-Calc!F25))+B1558),100)/100)+M1531*(MIN((Inputs!$B$9+((C1543=TRUE)*(F1543-Calc!F25))+B1558),100)/100)</f>
        <v/>
      </c>
      <c r="O1531">
        <f>(1-Summary!$B$55)*T1531+Summary!$B$55*V1531</f>
        <v/>
      </c>
      <c r="P1531">
        <f>IF(B1562=0,0,O1531/B1562)</f>
        <v/>
      </c>
      <c r="Q1531">
        <f>IFERROR(1/IF(Inputs!$B$39="pvp",15,MAX(0.1,Skills!D13-IF(Skills!E13=TRUE,2.0,0))),0)</f>
        <v/>
      </c>
      <c r="R1531">
        <f>IF(AND(Inputs!$B$39&lt;&gt;"pvp",Inputs!$B$44&gt;0),IF(MAX(0,Inputs!$B$44-B1563)&lt;=0,0,(INT(MAX(0,Inputs!$B$44-B1563)/IF(Inputs!$B$39="pvp",15,MAX(0.1,Skills!D13-IF(Skills!E13=TRUE,2.0,0))))+1)),0)</f>
        <v/>
      </c>
      <c r="S1531">
        <f>IFERROR(O1531/N1531,0)</f>
        <v/>
      </c>
      <c r="T1531">
        <f>IF(C1531,(H1531*N1531*IF(AND(Inputs!$B$39&lt;&gt;"pvp",Inputs!$B$44&gt;0),((Skills!G13*((R1531-1)*IF(Skills!H13&gt;0,Skills!I13/Skills!H13,1)+IF(Skills!H13&gt;0,MIN(Skills!I13,MAX(0,MAX(0,Inputs!$B$44-B1563)-((R1531-1)*IF(Inputs!$B$39="pvp",15,MAX(0.1,Skills!D13-IF(Skills!E13=TRUE,2.0,0))))))/Skills!H13,1)))/Inputs!$B$44),G1531*Q1531))*IF(Inputs!$B$39="pvp",1,1+(Inputs!$B$20+((C1545=TRUE)*(F1545-Calc!F27))+Skills!P13+B1559)/100),0)</f>
        <v/>
      </c>
      <c r="V1531">
        <f>IF(C1531,(H1531*N1531*IF(AND(Inputs!$B$39&lt;&gt;"pvp",Inputs!$B$44&gt;0),((Skills!G13*((R1531-1)*IF(Skills!H13&gt;0,Skills!I13/Skills!H13,1)+IF(Skills!H13&gt;0,MIN(Skills!I13,MAX(0,MAX(0,Inputs!$B$44-B1563)-((R1531-1)*IF(Inputs!$B$39="pvp",15,MAX(0.1,Skills!D13-IF(Skills!E13=TRUE,2.0,0))))))/Skills!H13,1)))/Inputs!$B$44),G1531*Q1531))*IF(Inputs!$B$39="pvp",1,(1+(Inputs!$B$21+Skills!Q13+B1559)/100)*(MIN(Skills!W13,Inputs!$B$37))),0)</f>
        <v/>
      </c>
    </row>
    <row r="1532">
      <c r="A1532">
        <f>Skills!A14</f>
        <v/>
      </c>
      <c r="B1532">
        <f>Skills!B14</f>
        <v/>
      </c>
      <c r="C1532">
        <f>Inputs!$B$3&gt;=105</f>
        <v/>
      </c>
      <c r="D1532">
        <f>IF(Skills!C14=1,60+Inputs!$B$25+Inputs!$B$29,IF(Skills!C14=2,90+Inputs!$B$26+Inputs!$B$29,IF(Skills!C14=3,120+Inputs!$B$27+Inputs!$B$29,MAX(0,(Inputs!$B$3-100)*3)+Inputs!$B$28+Inputs!$B$29)))</f>
        <v/>
      </c>
      <c r="E1532">
        <f>INDEX(FactorTable!$B$2:$Y$301, MATCH(ROUND(MIN(300,MAX(1,D1532)),0), FactorTable!$A$2:$A$301,0), Skills!M14+1)</f>
        <v/>
      </c>
      <c r="F1532">
        <f>IF(Skills!N14=TRUE,(Skills!L14/10)*(E1532/1000),Skills!L14/10)+Skills!O14</f>
        <v/>
      </c>
      <c r="G1532">
        <f>Calc!G14</f>
        <v/>
      </c>
      <c r="H1532">
        <f>Calc!H14</f>
        <v/>
      </c>
      <c r="I1532">
        <f>IF(Skills!AA14&lt;&gt;"",1+(Skills!AA14/10)*(U1521/1000)/100,1)</f>
        <v/>
      </c>
      <c r="J1532">
        <f>((Inputs!$B$6*(1+Inputs!$B$7/100))+(((Inputs!$B$12*(1+Inputs!$B$13/100))-(Inputs!$B$12*(1+Inputs!$B$13/100)))+0.25*(Inputs!$B$14-Inputs!$B$14))*(1+Inputs!$B$7/100))*(F1532/100)</f>
        <v/>
      </c>
      <c r="K1532">
        <f>J1532*(1+((Inputs!$B$12*(1+Inputs!$B$13/100))*0.01+Inputs!$B$14*0.0025)/100)*(1+Inputs!$B$15/100)*(1+Inputs!$B$16/100)*(5000/(6000+Inputs!$B$43*(1-Inputs!$B$19/100)))*(1+(Inputs!$B$24+((C1548=TRUE)*(F1548-Calc!F30)))/100)*(1+Skills!R14/100)*(1+(IF(Skills!A14="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1532)</f>
        <v/>
      </c>
      <c r="L1532">
        <f>K1532*(MIN(Inputs!$B$22+((C1542=TRUE)*(F1542-Calc!F24)),Inputs!$B$23)/100+Inputs!$B$23/100)/2</f>
        <v/>
      </c>
      <c r="M1532">
        <f>L1532*(1+(Inputs!$B$10+((C1544=TRUE)*(F1544-Calc!F26))+B1561)/100)</f>
        <v/>
      </c>
      <c r="N1532">
        <f>L1532*(1-MIN((Inputs!$B$9+((C1543=TRUE)*(F1543-Calc!F25))+B1558),100)/100)+M1532*(MIN((Inputs!$B$9+((C1543=TRUE)*(F1543-Calc!F25))+B1558),100)/100)</f>
        <v/>
      </c>
      <c r="O1532">
        <f>(1-Summary!$B$55)*T1532+Summary!$B$55*V1532</f>
        <v/>
      </c>
      <c r="P1532">
        <f>IF(B1562=0,0,O1532/B1562)</f>
        <v/>
      </c>
      <c r="Q1532">
        <f>IFERROR(1/IF(Inputs!$B$39="pvp",15,MAX(0.1,Skills!D14-IF(Skills!E14=TRUE,2.0,0))),0)</f>
        <v/>
      </c>
      <c r="R1532">
        <f>IF(AND(Inputs!$B$39&lt;&gt;"pvp",Inputs!$B$44&gt;0),IF(MAX(0,Inputs!$B$44-B1563)&lt;=0,0,(INT(MAX(0,Inputs!$B$44-B1563)/IF(Inputs!$B$39="pvp",15,MAX(0.1,Skills!D14-IF(Skills!E14=TRUE,2.0,0))))+1)),0)</f>
        <v/>
      </c>
      <c r="S1532">
        <f>IFERROR(O1532/N1532,0)</f>
        <v/>
      </c>
      <c r="T1532">
        <f>IF(C1532,(H1532*N1532*IF(AND(Inputs!$B$39&lt;&gt;"pvp",Inputs!$B$44&gt;0),((Skills!G14*((R1532-1)*IF(Skills!H14&gt;0,Skills!I14/Skills!H14,1)+IF(Skills!H14&gt;0,MIN(Skills!I14,MAX(0,MAX(0,Inputs!$B$44-B1563)-((R1532-1)*IF(Inputs!$B$39="pvp",15,MAX(0.1,Skills!D14-IF(Skills!E14=TRUE,2.0,0))))))/Skills!H14,1)))/Inputs!$B$44),G1532*Q1532))*IF(Inputs!$B$39="pvp",1,1+(Inputs!$B$20+((C1545=TRUE)*(F1545-Calc!F27))+Skills!P14+B1559)/100),0)</f>
        <v/>
      </c>
      <c r="V1532">
        <f>IF(C1532,(H1532*N1532*IF(AND(Inputs!$B$39&lt;&gt;"pvp",Inputs!$B$44&gt;0),((Skills!G14*((R1532-1)*IF(Skills!H14&gt;0,Skills!I14/Skills!H14,1)+IF(Skills!H14&gt;0,MIN(Skills!I14,MAX(0,MAX(0,Inputs!$B$44-B1563)-((R1532-1)*IF(Inputs!$B$39="pvp",15,MAX(0.1,Skills!D14-IF(Skills!E14=TRUE,2.0,0))))))/Skills!H14,1)))/Inputs!$B$44),G1532*Q1532))*IF(Inputs!$B$39="pvp",1,(1+(Inputs!$B$21+Skills!Q14+B1559)/100)*(MIN(Skills!W14,Inputs!$B$37))),0)</f>
        <v/>
      </c>
    </row>
    <row r="1533">
      <c r="A1533">
        <f>Skills!A15</f>
        <v/>
      </c>
      <c r="B1533">
        <f>Skills!B15</f>
        <v/>
      </c>
      <c r="C1533">
        <f>Inputs!$B$3&gt;=110</f>
        <v/>
      </c>
      <c r="D1533">
        <f>IF(Skills!C15=1,60+Inputs!$B$25+Inputs!$B$29,IF(Skills!C15=2,90+Inputs!$B$26+Inputs!$B$29,IF(Skills!C15=3,120+Inputs!$B$27+Inputs!$B$29,MAX(0,(Inputs!$B$3-100)*3)+Inputs!$B$28+Inputs!$B$29)))</f>
        <v/>
      </c>
      <c r="E1533">
        <f>INDEX(FactorTable!$B$2:$Y$301, MATCH(ROUND(MIN(300,MAX(1,D1533)),0), FactorTable!$A$2:$A$301,0), Skills!M15+1)</f>
        <v/>
      </c>
      <c r="F1533">
        <f>IF(Skills!N15=TRUE,(Skills!L15/10)*(E1533/1000),Skills!L15/10)+Skills!O15</f>
        <v/>
      </c>
      <c r="G1533">
        <f>Calc!G15</f>
        <v/>
      </c>
      <c r="H1533">
        <f>Calc!H15</f>
        <v/>
      </c>
      <c r="I1533">
        <f>IF(Skills!AA15&lt;&gt;"",1+(Skills!AA15/10)*(U1521/1000)/100,1)</f>
        <v/>
      </c>
      <c r="J1533" t="inlineStr"/>
      <c r="K1533" t="inlineStr"/>
      <c r="L1533" t="inlineStr"/>
      <c r="M1533" t="inlineStr"/>
      <c r="N1533" t="inlineStr"/>
      <c r="O1533">
        <f>(1-Summary!$B$55)*T1533+Summary!$B$55*V1533</f>
        <v/>
      </c>
      <c r="P1533">
        <f>IF(B1562=0,0,O1533/B1562)</f>
        <v/>
      </c>
      <c r="Q1533">
        <f>IFERROR(1/IF(Inputs!$B$39="pvp",15,MAX(0.1,Skills!D15-IF(Skills!E15=TRUE,2.0,0))),0)</f>
        <v/>
      </c>
      <c r="R1533">
        <f>IF(AND(Inputs!$B$39&lt;&gt;"pvp",Inputs!$B$44&gt;0),IF(Inputs!$B$44&lt;=0,0,(INT(Inputs!$B$44/IF(Inputs!$B$39="pvp",15,MAX(0.1,Skills!D15-IF(Skills!E15=TRUE,2.0,0))))+1)),0)</f>
        <v/>
      </c>
      <c r="S1533">
        <f>IFERROR(O1533/N1533,0)</f>
        <v/>
      </c>
      <c r="T1533" t="n">
        <v>0</v>
      </c>
      <c r="V1533" t="n">
        <v>0</v>
      </c>
    </row>
    <row r="1534">
      <c r="A1534">
        <f>Skills!A16</f>
        <v/>
      </c>
      <c r="B1534">
        <f>Skills!B16</f>
        <v/>
      </c>
      <c r="C1534">
        <f>Inputs!$B$3&gt;=110</f>
        <v/>
      </c>
      <c r="D1534">
        <f>IF(Skills!C16=1,60+Inputs!$B$25+Inputs!$B$29,IF(Skills!C16=2,90+Inputs!$B$26+Inputs!$B$29,IF(Skills!C16=3,120+Inputs!$B$27+Inputs!$B$29,MAX(0,(Inputs!$B$3-100)*3)+Inputs!$B$28+Inputs!$B$29)))</f>
        <v/>
      </c>
      <c r="E1534">
        <f>INDEX(FactorTable!$B$2:$Y$301, MATCH(ROUND(MIN(300,MAX(1,D1534)),0), FactorTable!$A$2:$A$301,0), Skills!M16+1)</f>
        <v/>
      </c>
      <c r="F1534">
        <f>IF(Skills!N16=TRUE,(Skills!L16/10)*(E1534/1000),Skills!L16/10)+Skills!O16</f>
        <v/>
      </c>
      <c r="G1534">
        <f>Calc!G16</f>
        <v/>
      </c>
      <c r="H1534">
        <f>Calc!H16</f>
        <v/>
      </c>
      <c r="I1534">
        <f>IF(Skills!AA16&lt;&gt;"",1+(Skills!AA16/10)*(U1521/1000)/100,1)</f>
        <v/>
      </c>
      <c r="J1534" t="inlineStr"/>
      <c r="K1534" t="inlineStr"/>
      <c r="L1534" t="inlineStr"/>
      <c r="M1534" t="inlineStr"/>
      <c r="N1534" t="inlineStr"/>
      <c r="O1534">
        <f>(1-Summary!$B$55)*T1534+Summary!$B$55*V1534</f>
        <v/>
      </c>
      <c r="P1534">
        <f>IF(B1562=0,0,O1534/B1562)</f>
        <v/>
      </c>
      <c r="Q1534">
        <f>IFERROR(1/IF(Inputs!$B$39="pvp",15,MAX(0.1,Skills!D16-IF(Skills!E16=TRUE,2.0,0))),0)</f>
        <v/>
      </c>
      <c r="R1534">
        <f>IF(AND(Inputs!$B$39&lt;&gt;"pvp",Inputs!$B$44&gt;0),IF(Inputs!$B$44&lt;=0,0,(INT(Inputs!$B$44/IF(Inputs!$B$39="pvp",15,MAX(0.1,Skills!D16-IF(Skills!E16=TRUE,2.0,0))))+1)),0)</f>
        <v/>
      </c>
      <c r="S1534">
        <f>IFERROR(O1534/N1534,0)</f>
        <v/>
      </c>
      <c r="T1534" t="n">
        <v>0</v>
      </c>
      <c r="V1534" t="n">
        <v>0</v>
      </c>
    </row>
    <row r="1535">
      <c r="A1535">
        <f>Skills!A17</f>
        <v/>
      </c>
      <c r="B1535">
        <f>Skills!B17</f>
        <v/>
      </c>
      <c r="C1535">
        <f>Inputs!$B$3&gt;=115</f>
        <v/>
      </c>
      <c r="D1535">
        <f>IF(Skills!C17=1,60+Inputs!$B$25+Inputs!$B$29,IF(Skills!C17=2,90+Inputs!$B$26+Inputs!$B$29,IF(Skills!C17=3,120+Inputs!$B$27+Inputs!$B$29,MAX(0,(Inputs!$B$3-100)*3)+Inputs!$B$28+Inputs!$B$29)))</f>
        <v/>
      </c>
      <c r="E1535">
        <f>INDEX(FactorTable!$B$2:$Y$301, MATCH(ROUND(MIN(300,MAX(1,D1535)),0), FactorTable!$A$2:$A$301,0), Skills!M17+1)</f>
        <v/>
      </c>
      <c r="F1535">
        <f>IF(Skills!N17=TRUE,(Skills!L17/10)*(E1535/1000),Skills!L17/10)+Skills!O17</f>
        <v/>
      </c>
      <c r="G1535">
        <f>Calc!G17</f>
        <v/>
      </c>
      <c r="H1535">
        <f>Calc!H17</f>
        <v/>
      </c>
      <c r="I1535">
        <f>IF(Skills!AA17&lt;&gt;"",1+(Skills!AA17/10)*(U1521/1000)/100,1)</f>
        <v/>
      </c>
      <c r="J1535">
        <f>((Inputs!$B$6*(1+Inputs!$B$7/100))+(((Inputs!$B$12*(1+Inputs!$B$13/100))-(Inputs!$B$12*(1+Inputs!$B$13/100)))+0.25*(Inputs!$B$14-Inputs!$B$14))*(1+Inputs!$B$7/100))*(F1535/100)</f>
        <v/>
      </c>
      <c r="K1535">
        <f>J1535*(1+((Inputs!$B$12*(1+Inputs!$B$13/100))*0.01+Inputs!$B$14*0.0025)/100)*(1+Inputs!$B$15/100)*(1+Inputs!$B$16/100)*(5000/(6000+Inputs!$B$43*(1-Inputs!$B$19/100)))*(1+(Inputs!$B$24+((C1548=TRUE)*(F1548-Calc!F30)))/100)*(1+Skills!R17/100)*(1+(IF(Skills!A17="SHOWDOWN",Inputs!$B$17+((C1541=TRUE)*(F1541-Calc!F23)),Inputs!$B$18+((C1547=TRUE)*(F1547-Calc!F29))))/100)*(((1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B1560*I1535)</f>
        <v/>
      </c>
      <c r="L1535">
        <f>K1535*(MIN(Inputs!$B$22+((C1542=TRUE)*(F1542-Calc!F24)),Inputs!$B$23)/100+Inputs!$B$23/100)/2</f>
        <v/>
      </c>
      <c r="M1535">
        <f>L1535*(1+(Inputs!$B$10+((C1544=TRUE)*(F1544-Calc!F26))+B1561)/100)</f>
        <v/>
      </c>
      <c r="N1535">
        <f>L1535*(1-MIN((Inputs!$B$9+((C1543=TRUE)*(F1543-Calc!F25))+B1558),100)/100)+M1535*(MIN((Inputs!$B$9+((C1543=TRUE)*(F1543-Calc!F25))+B1558),100)/100)</f>
        <v/>
      </c>
      <c r="O1535">
        <f>(1-Summary!$B$55)*T1535+Summary!$B$55*V1535</f>
        <v/>
      </c>
      <c r="P1535">
        <f>IF(B1562=0,0,O1535/B1562)</f>
        <v/>
      </c>
      <c r="Q1535" t="n">
        <v>0</v>
      </c>
      <c r="R1535" t="n">
        <v>0</v>
      </c>
      <c r="S1535">
        <f>IFERROR(O1535/N1535,0)</f>
        <v/>
      </c>
      <c r="T1535">
        <f>IF(C1535,(Inputs!$B$38*0.2*N1535)*IF(Inputs!$B$39="pvp",1,1+(Inputs!$B$20+((C1545=TRUE)*(F1545-Calc!F27))+Skills!P17+B1559)/100),0)</f>
        <v/>
      </c>
      <c r="V1535">
        <f>IF(C1535,(Inputs!$B$38*0.2*N1535)*IF(Inputs!$B$39="pvp",1,(1+(Inputs!$B$21+Skills!Q17+B1559)/100)*(MIN(Skills!W17,Inputs!$B$37))),0)</f>
        <v/>
      </c>
    </row>
    <row r="1536">
      <c r="A1536">
        <f>Skills!A18</f>
        <v/>
      </c>
      <c r="B1536">
        <f>Skills!B18</f>
        <v/>
      </c>
      <c r="C1536">
        <f>Inputs!$B$3&gt;=115</f>
        <v/>
      </c>
      <c r="D1536">
        <f>IF(Skills!C18=1,60+Inputs!$B$25+Inputs!$B$29,IF(Skills!C18=2,90+Inputs!$B$26+Inputs!$B$29,IF(Skills!C18=3,120+Inputs!$B$27+Inputs!$B$29,MAX(0,(Inputs!$B$3-100)*3)+Inputs!$B$28+Inputs!$B$29)))</f>
        <v/>
      </c>
      <c r="E1536">
        <f>INDEX(FactorTable!$B$2:$Y$301, MATCH(ROUND(MIN(300,MAX(1,D1536)),0), FactorTable!$A$2:$A$301,0), Skills!M18+1)</f>
        <v/>
      </c>
      <c r="F1536">
        <f>IF(Skills!N18=TRUE,(Skills!L18/10)*(E1536/1000),Skills!L18/10)+Skills!O18</f>
        <v/>
      </c>
      <c r="G1536">
        <f>Calc!G18</f>
        <v/>
      </c>
      <c r="H1536">
        <f>Calc!H18</f>
        <v/>
      </c>
      <c r="I1536">
        <f>IF(Skills!AA18&lt;&gt;"",1+(Skills!AA18/10)*(U1521/1000)/100,1)</f>
        <v/>
      </c>
      <c r="J1536" t="inlineStr"/>
      <c r="K1536" t="inlineStr"/>
      <c r="L1536" t="inlineStr"/>
      <c r="M1536" t="inlineStr"/>
      <c r="N1536" t="inlineStr"/>
      <c r="O1536">
        <f>(1-Summary!$B$55)*T1536+Summary!$B$55*V1536</f>
        <v/>
      </c>
      <c r="P1536">
        <f>IF(B1562=0,0,O1536/B1562)</f>
        <v/>
      </c>
      <c r="Q1536" t="n">
        <v>0</v>
      </c>
      <c r="R1536" t="n">
        <v>0</v>
      </c>
      <c r="S1536">
        <f>IFERROR(O1536/N1536,0)</f>
        <v/>
      </c>
      <c r="T1536" t="n">
        <v>0</v>
      </c>
      <c r="V1536" t="n">
        <v>0</v>
      </c>
    </row>
    <row r="1537">
      <c r="A1537">
        <f>Skills!A19</f>
        <v/>
      </c>
      <c r="B1537">
        <f>Skills!B19</f>
        <v/>
      </c>
      <c r="C1537">
        <f>TRUE</f>
        <v/>
      </c>
      <c r="D1537">
        <f>IF(Skills!C19=1,60+Inputs!$B$25+Inputs!$B$29,IF(Skills!C19=2,90+Inputs!$B$26+Inputs!$B$29,IF(Skills!C19=3,120+Inputs!$B$27+Inputs!$B$29,MAX(0,(Inputs!$B$3-100)*3)+Inputs!$B$28+Inputs!$B$29)))</f>
        <v/>
      </c>
      <c r="E1537">
        <f>INDEX(FactorTable!$B$2:$Y$301, MATCH(ROUND(MIN(300,MAX(1,D1537)),0), FactorTable!$A$2:$A$301,0), Skills!M19+1)</f>
        <v/>
      </c>
      <c r="F1537">
        <f>IF(Skills!N19=TRUE,(Skills!L19/10)*(E1537/1000),Skills!L19/10)+Skills!O19</f>
        <v/>
      </c>
      <c r="G1537">
        <f>Calc!G19</f>
        <v/>
      </c>
      <c r="H1537">
        <f>Calc!H19</f>
        <v/>
      </c>
      <c r="I1537">
        <f>IF(Skills!AA19&lt;&gt;"",1+(Skills!AA19/10)*(U1521/1000)/100,1)</f>
        <v/>
      </c>
      <c r="J1537" t="inlineStr"/>
      <c r="K1537" t="inlineStr"/>
      <c r="L1537" t="inlineStr"/>
      <c r="M1537" t="inlineStr"/>
      <c r="N1537" t="inlineStr"/>
      <c r="O1537">
        <f>(1-Summary!$B$55)*T1537+Summary!$B$55*V1537</f>
        <v/>
      </c>
      <c r="P1537">
        <f>IF(B1562=0,0,O1537/B1562)</f>
        <v/>
      </c>
      <c r="Q1537">
        <f>IFERROR(1/IF(Inputs!$B$39="pvp",15,MAX(0.1,Skills!D19-IF(Skills!E19=TRUE,2.0,0))),0)</f>
        <v/>
      </c>
      <c r="R1537">
        <f>IF(AND(Inputs!$B$39&lt;&gt;"pvp",Inputs!$B$44&gt;0),IF(Inputs!$B$44&lt;=0,0,(INT(Inputs!$B$44/IF(Inputs!$B$39="pvp",15,MAX(0.1,Skills!D19-IF(Skills!E19=TRUE,2.0,0))))+1)),0)</f>
        <v/>
      </c>
      <c r="S1537">
        <f>IFERROR(O1537/N1537,0)</f>
        <v/>
      </c>
      <c r="T1537" t="n">
        <v>0</v>
      </c>
      <c r="V1537" t="n">
        <v>0</v>
      </c>
    </row>
    <row r="1538">
      <c r="A1538">
        <f>Skills!A20</f>
        <v/>
      </c>
      <c r="B1538">
        <f>Skills!B20</f>
        <v/>
      </c>
      <c r="C1538">
        <f>Inputs!$B$3&gt;=15</f>
        <v/>
      </c>
      <c r="D1538">
        <f>IF(Skills!C20=1,60+Inputs!$B$25+Inputs!$B$29,IF(Skills!C20=2,90+Inputs!$B$26+Inputs!$B$29,IF(Skills!C20=3,120+Inputs!$B$27+Inputs!$B$29,MAX(0,(Inputs!$B$3-100)*3)+Inputs!$B$28+Inputs!$B$29)))</f>
        <v/>
      </c>
      <c r="E1538">
        <f>INDEX(FactorTable!$B$2:$Y$301, MATCH(ROUND(MIN(300,MAX(1,D1538)),0), FactorTable!$A$2:$A$301,0), Skills!M20+1)</f>
        <v/>
      </c>
      <c r="F1538">
        <f>IF(Skills!N20=TRUE,(Skills!L20/10)*(E1538/1000),Skills!L20/10)+Skills!O20</f>
        <v/>
      </c>
      <c r="G1538">
        <f>Calc!G20</f>
        <v/>
      </c>
      <c r="H1538">
        <f>Calc!H20</f>
        <v/>
      </c>
      <c r="I1538">
        <f>IF(Skills!AA20&lt;&gt;"",1+(Skills!AA20/10)*(U1521/1000)/100,1)</f>
        <v/>
      </c>
      <c r="J1538" t="inlineStr"/>
      <c r="K1538" t="inlineStr"/>
      <c r="L1538" t="inlineStr"/>
      <c r="M1538" t="inlineStr"/>
      <c r="N1538" t="inlineStr"/>
      <c r="O1538">
        <f>(1-Summary!$B$55)*T1538+Summary!$B$55*V1538</f>
        <v/>
      </c>
      <c r="P1538">
        <f>IF(B1562=0,0,O1538/B1562)</f>
        <v/>
      </c>
      <c r="Q1538">
        <f>IFERROR(1/IF(Inputs!$B$39="pvp",15,MAX(0.1,Skills!D20-IF(Skills!E20=TRUE,2.0,0))),0)</f>
        <v/>
      </c>
      <c r="R1538">
        <f>IF(AND(Inputs!$B$39&lt;&gt;"pvp",Inputs!$B$44&gt;0),IF(Inputs!$B$44&lt;=0,0,(INT(Inputs!$B$44/IF(Inputs!$B$39="pvp",15,MAX(0.1,Skills!D20-IF(Skills!E20=TRUE,2.0,0))))+1)),0)</f>
        <v/>
      </c>
      <c r="S1538">
        <f>IFERROR(O1538/N1538,0)</f>
        <v/>
      </c>
      <c r="T1538" t="n">
        <v>0</v>
      </c>
      <c r="V1538" t="n">
        <v>0</v>
      </c>
    </row>
    <row r="1539">
      <c r="A1539">
        <f>Skills!A21</f>
        <v/>
      </c>
      <c r="B1539">
        <f>Skills!B21</f>
        <v/>
      </c>
      <c r="C1539">
        <f>Inputs!$B$3&gt;=15</f>
        <v/>
      </c>
      <c r="D1539">
        <f>IF(Skills!C21=1,60+Inputs!$B$25+Inputs!$B$29,IF(Skills!C21=2,90+Inputs!$B$26+Inputs!$B$29,IF(Skills!C21=3,120+Inputs!$B$27+Inputs!$B$29,MAX(0,(Inputs!$B$3-100)*3)+Inputs!$B$28+Inputs!$B$29)))</f>
        <v/>
      </c>
      <c r="E1539">
        <f>INDEX(FactorTable!$B$2:$Y$301, MATCH(ROUND(MIN(300,MAX(1,D1539)),0), FactorTable!$A$2:$A$301,0), Skills!M21+1)</f>
        <v/>
      </c>
      <c r="F1539">
        <f>IF(Skills!N21=TRUE,(Skills!L21/10)*(E1539/1000),Skills!L21/10)+Skills!O21</f>
        <v/>
      </c>
      <c r="G1539">
        <f>Calc!G21</f>
        <v/>
      </c>
      <c r="H1539">
        <f>Calc!H21</f>
        <v/>
      </c>
      <c r="I1539">
        <f>IF(Skills!AA21&lt;&gt;"",1+(Skills!AA21/10)*(U1521/1000)/100,1)</f>
        <v/>
      </c>
      <c r="J1539" t="inlineStr"/>
      <c r="K1539" t="inlineStr"/>
      <c r="L1539" t="inlineStr"/>
      <c r="M1539" t="inlineStr"/>
      <c r="N1539" t="inlineStr"/>
      <c r="O1539">
        <f>(1-Summary!$B$55)*T1539+Summary!$B$55*V1539</f>
        <v/>
      </c>
      <c r="P1539">
        <f>IF(B1562=0,0,O1539/B1562)</f>
        <v/>
      </c>
      <c r="Q1539">
        <f>IFERROR(1/IF(Inputs!$B$39="pvp",15,MAX(0.1,Skills!D21-IF(Skills!E21=TRUE,2.0,0))),0)</f>
        <v/>
      </c>
      <c r="R1539">
        <f>IF(AND(Inputs!$B$39&lt;&gt;"pvp",Inputs!$B$44&gt;0),IF(Inputs!$B$44&lt;=0,0,(INT(Inputs!$B$44/IF(Inputs!$B$39="pvp",15,MAX(0.1,Skills!D21-IF(Skills!E21=TRUE,2.0,0))))+1)),0)</f>
        <v/>
      </c>
      <c r="S1539">
        <f>IFERROR(O1539/N1539,0)</f>
        <v/>
      </c>
      <c r="T1539" t="n">
        <v>0</v>
      </c>
      <c r="V1539" t="n">
        <v>0</v>
      </c>
    </row>
    <row r="1540">
      <c r="A1540">
        <f>Skills!A22</f>
        <v/>
      </c>
      <c r="B1540">
        <f>Skills!B22</f>
        <v/>
      </c>
      <c r="C1540">
        <f>Inputs!$B$3&gt;=33</f>
        <v/>
      </c>
      <c r="D1540">
        <f>IF(Skills!C22=1,60+Inputs!$B$25+Inputs!$B$29,IF(Skills!C22=2,90+Inputs!$B$26+Inputs!$B$29,IF(Skills!C22=3,120+Inputs!$B$27+Inputs!$B$29,MAX(0,(Inputs!$B$3-100)*3)+Inputs!$B$28+Inputs!$B$29)))</f>
        <v/>
      </c>
      <c r="E1540">
        <f>INDEX(FactorTable!$B$2:$Y$301, MATCH(ROUND(MIN(300,MAX(1,D1540)),0), FactorTable!$A$2:$A$301,0), Skills!M22+1)</f>
        <v/>
      </c>
      <c r="F1540">
        <f>IF(Skills!N22=TRUE,(Skills!L22/10)*(E1540/1000),Skills!L22/10)+Skills!O22</f>
        <v/>
      </c>
      <c r="G1540">
        <f>Calc!G22</f>
        <v/>
      </c>
      <c r="H1540">
        <f>Calc!H22</f>
        <v/>
      </c>
      <c r="I1540">
        <f>IF(Skills!AA22&lt;&gt;"",1+(Skills!AA22/10)*(U1521/1000)/100,1)</f>
        <v/>
      </c>
      <c r="J1540" t="inlineStr"/>
      <c r="K1540" t="inlineStr"/>
      <c r="L1540" t="inlineStr"/>
      <c r="M1540" t="inlineStr"/>
      <c r="N1540" t="inlineStr"/>
      <c r="O1540">
        <f>(1-Summary!$B$55)*T1540+Summary!$B$55*V1540</f>
        <v/>
      </c>
      <c r="P1540">
        <f>IF(B1562=0,0,O1540/B1562)</f>
        <v/>
      </c>
      <c r="Q1540" t="n">
        <v>0</v>
      </c>
      <c r="R1540" t="n">
        <v>0</v>
      </c>
      <c r="S1540">
        <f>IFERROR(O1540/N1540,0)</f>
        <v/>
      </c>
      <c r="T1540" t="n">
        <v>0</v>
      </c>
      <c r="V1540" t="n">
        <v>0</v>
      </c>
    </row>
    <row r="1541">
      <c r="A1541">
        <f>Skills!A23</f>
        <v/>
      </c>
      <c r="B1541">
        <f>Skills!B23</f>
        <v/>
      </c>
      <c r="C1541">
        <f>Inputs!$B$3&gt;=38</f>
        <v/>
      </c>
      <c r="D1541">
        <f>IF(Skills!C23=1,60+Inputs!$B$25+Inputs!$B$29,IF(Skills!C23=2,90+Inputs!$B$26+Inputs!$B$29,IF(Skills!C23=3,120+Inputs!$B$27+Inputs!$B$29,MAX(0,(Inputs!$B$3-100)*3)+Inputs!$B$28+Inputs!$B$29)))</f>
        <v/>
      </c>
      <c r="E1541">
        <f>INDEX(FactorTable!$B$2:$Y$301, MATCH(ROUND(MIN(300,MAX(1,D1541)),0), FactorTable!$A$2:$A$301,0), Skills!M23+1)</f>
        <v/>
      </c>
      <c r="F1541">
        <f>IF(Skills!N23=TRUE,(Skills!L23/10)*(E1541/1000),Skills!L23/10)+Skills!O23</f>
        <v/>
      </c>
      <c r="G1541">
        <f>Calc!G23</f>
        <v/>
      </c>
      <c r="H1541">
        <f>Calc!H23</f>
        <v/>
      </c>
      <c r="I1541">
        <f>IF(Skills!AA23&lt;&gt;"",1+(Skills!AA23/10)*(U1521/1000)/100,1)</f>
        <v/>
      </c>
      <c r="J1541" t="inlineStr"/>
      <c r="K1541" t="inlineStr"/>
      <c r="L1541" t="inlineStr"/>
      <c r="M1541" t="inlineStr"/>
      <c r="N1541" t="inlineStr"/>
      <c r="O1541">
        <f>(1-Summary!$B$55)*T1541+Summary!$B$55*V1541</f>
        <v/>
      </c>
      <c r="P1541">
        <f>IF(B1562=0,0,O1541/B1562)</f>
        <v/>
      </c>
      <c r="Q1541" t="n">
        <v>0</v>
      </c>
      <c r="R1541" t="n">
        <v>0</v>
      </c>
      <c r="S1541">
        <f>IFERROR(O1541/N1541,0)</f>
        <v/>
      </c>
      <c r="T1541" t="n">
        <v>0</v>
      </c>
      <c r="V1541" t="n">
        <v>0</v>
      </c>
    </row>
    <row r="1542">
      <c r="A1542">
        <f>Skills!A24</f>
        <v/>
      </c>
      <c r="B1542">
        <f>Skills!B24</f>
        <v/>
      </c>
      <c r="C1542">
        <f>Inputs!$B$3&gt;=40</f>
        <v/>
      </c>
      <c r="D1542">
        <f>IF(Skills!C24=1,60+Inputs!$B$25+Inputs!$B$29,IF(Skills!C24=2,90+Inputs!$B$26+Inputs!$B$29,IF(Skills!C24=3,120+Inputs!$B$27+Inputs!$B$29,MAX(0,(Inputs!$B$3-100)*3)+Inputs!$B$28+Inputs!$B$29)))</f>
        <v/>
      </c>
      <c r="E1542">
        <f>INDEX(FactorTable!$B$2:$Y$301, MATCH(ROUND(MIN(300,MAX(1,D1542)),0), FactorTable!$A$2:$A$301,0), Skills!M24+1)</f>
        <v/>
      </c>
      <c r="F1542">
        <f>IF(Skills!N24=TRUE,(Skills!L24/10)*(E1542/1000),Skills!L24/10)+Skills!O24</f>
        <v/>
      </c>
      <c r="G1542">
        <f>Calc!G24</f>
        <v/>
      </c>
      <c r="H1542">
        <f>Calc!H24</f>
        <v/>
      </c>
      <c r="I1542">
        <f>IF(Skills!AA24&lt;&gt;"",1+(Skills!AA24/10)*(U1521/1000)/100,1)</f>
        <v/>
      </c>
      <c r="J1542" t="inlineStr"/>
      <c r="K1542" t="inlineStr"/>
      <c r="L1542" t="inlineStr"/>
      <c r="M1542" t="inlineStr"/>
      <c r="N1542" t="inlineStr"/>
      <c r="O1542">
        <f>(1-Summary!$B$55)*T1542+Summary!$B$55*V1542</f>
        <v/>
      </c>
      <c r="P1542">
        <f>IF(B1562=0,0,O1542/B1562)</f>
        <v/>
      </c>
      <c r="Q1542" t="n">
        <v>0</v>
      </c>
      <c r="R1542" t="n">
        <v>0</v>
      </c>
      <c r="S1542">
        <f>IFERROR(O1542/N1542,0)</f>
        <v/>
      </c>
      <c r="T1542" t="n">
        <v>0</v>
      </c>
      <c r="V1542" t="n">
        <v>0</v>
      </c>
    </row>
    <row r="1543">
      <c r="A1543">
        <f>Skills!A25</f>
        <v/>
      </c>
      <c r="B1543">
        <f>Skills!B25</f>
        <v/>
      </c>
      <c r="C1543">
        <f>Inputs!$B$3&gt;=45</f>
        <v/>
      </c>
      <c r="D1543">
        <f>IF(Skills!C25=1,60+Inputs!$B$25+Inputs!$B$29,IF(Skills!C25=2,90+Inputs!$B$26+Inputs!$B$29,IF(Skills!C25=3,120+Inputs!$B$27+Inputs!$B$29,MAX(0,(Inputs!$B$3-100)*3)+Inputs!$B$28+Inputs!$B$29)))</f>
        <v/>
      </c>
      <c r="E1543">
        <f>INDEX(FactorTable!$B$2:$Y$301, MATCH(ROUND(MIN(300,MAX(1,D1543)),0), FactorTable!$A$2:$A$301,0), Skills!M25+1)</f>
        <v/>
      </c>
      <c r="F1543">
        <f>IF(Skills!N25=TRUE,(Skills!L25/10)*(E1543/1000),Skills!L25/10)+Skills!O25</f>
        <v/>
      </c>
      <c r="G1543">
        <f>Calc!G25</f>
        <v/>
      </c>
      <c r="H1543">
        <f>Calc!H25</f>
        <v/>
      </c>
      <c r="I1543">
        <f>IF(Skills!AA25&lt;&gt;"",1+(Skills!AA25/10)*(U1521/1000)/100,1)</f>
        <v/>
      </c>
      <c r="J1543" t="inlineStr"/>
      <c r="K1543" t="inlineStr"/>
      <c r="L1543" t="inlineStr"/>
      <c r="M1543" t="inlineStr"/>
      <c r="N1543" t="inlineStr"/>
      <c r="O1543">
        <f>(1-Summary!$B$55)*T1543+Summary!$B$55*V1543</f>
        <v/>
      </c>
      <c r="P1543">
        <f>IF(B1562=0,0,O1543/B1562)</f>
        <v/>
      </c>
      <c r="Q1543" t="n">
        <v>0</v>
      </c>
      <c r="R1543" t="n">
        <v>0</v>
      </c>
      <c r="S1543">
        <f>IFERROR(O1543/N1543,0)</f>
        <v/>
      </c>
      <c r="T1543" t="n">
        <v>0</v>
      </c>
      <c r="V1543" t="n">
        <v>0</v>
      </c>
    </row>
    <row r="1544">
      <c r="A1544">
        <f>Skills!A26</f>
        <v/>
      </c>
      <c r="B1544">
        <f>Skills!B26</f>
        <v/>
      </c>
      <c r="C1544">
        <f>Inputs!$B$3&gt;=45</f>
        <v/>
      </c>
      <c r="D1544">
        <f>IF(Skills!C26=1,60+Inputs!$B$25+Inputs!$B$29,IF(Skills!C26=2,90+Inputs!$B$26+Inputs!$B$29,IF(Skills!C26=3,120+Inputs!$B$27+Inputs!$B$29,MAX(0,(Inputs!$B$3-100)*3)+Inputs!$B$28+Inputs!$B$29)))</f>
        <v/>
      </c>
      <c r="E1544">
        <f>INDEX(FactorTable!$B$2:$Y$301, MATCH(ROUND(MIN(300,MAX(1,D1544)),0), FactorTable!$A$2:$A$301,0), Skills!M26+1)</f>
        <v/>
      </c>
      <c r="F1544">
        <f>IF(Skills!N26=TRUE,(Skills!L26/10)*(E1544/1000),Skills!L26/10)+Skills!O26</f>
        <v/>
      </c>
      <c r="G1544">
        <f>Calc!G26</f>
        <v/>
      </c>
      <c r="H1544">
        <f>Calc!H26</f>
        <v/>
      </c>
      <c r="I1544">
        <f>IF(Skills!AA26&lt;&gt;"",1+(Skills!AA26/10)*(U1521/1000)/100,1)</f>
        <v/>
      </c>
      <c r="J1544" t="inlineStr"/>
      <c r="K1544" t="inlineStr"/>
      <c r="L1544" t="inlineStr"/>
      <c r="M1544" t="inlineStr"/>
      <c r="N1544" t="inlineStr"/>
      <c r="O1544">
        <f>(1-Summary!$B$55)*T1544+Summary!$B$55*V1544</f>
        <v/>
      </c>
      <c r="P1544">
        <f>IF(B1562=0,0,O1544/B1562)</f>
        <v/>
      </c>
      <c r="Q1544" t="n">
        <v>0</v>
      </c>
      <c r="R1544" t="n">
        <v>0</v>
      </c>
      <c r="S1544">
        <f>IFERROR(O1544/N1544,0)</f>
        <v/>
      </c>
      <c r="T1544" t="n">
        <v>0</v>
      </c>
      <c r="V1544" t="n">
        <v>0</v>
      </c>
    </row>
    <row r="1545">
      <c r="A1545">
        <f>Skills!A27</f>
        <v/>
      </c>
      <c r="B1545">
        <f>Skills!B27</f>
        <v/>
      </c>
      <c r="C1545">
        <f>Inputs!$B$3&gt;=72</f>
        <v/>
      </c>
      <c r="D1545">
        <f>IF(Skills!C27=1,60+Inputs!$B$25+Inputs!$B$29,IF(Skills!C27=2,90+Inputs!$B$26+Inputs!$B$29,IF(Skills!C27=3,120+Inputs!$B$27+Inputs!$B$29,MAX(0,(Inputs!$B$3-100)*3)+Inputs!$B$28+Inputs!$B$29)))</f>
        <v/>
      </c>
      <c r="E1545">
        <f>INDEX(FactorTable!$B$2:$Y$301, MATCH(ROUND(MIN(300,MAX(1,D1545)),0), FactorTable!$A$2:$A$301,0), Skills!M27+1)</f>
        <v/>
      </c>
      <c r="F1545">
        <f>IF(Skills!N27=TRUE,(Skills!L27/10)*(E1545/1000),Skills!L27/10)+Skills!O27</f>
        <v/>
      </c>
      <c r="G1545">
        <f>Calc!G27</f>
        <v/>
      </c>
      <c r="H1545">
        <f>Calc!H27</f>
        <v/>
      </c>
      <c r="I1545">
        <f>IF(Skills!AA27&lt;&gt;"",1+(Skills!AA27/10)*(U1521/1000)/100,1)</f>
        <v/>
      </c>
      <c r="J1545" t="inlineStr"/>
      <c r="K1545" t="inlineStr"/>
      <c r="L1545" t="inlineStr"/>
      <c r="M1545" t="inlineStr"/>
      <c r="N1545" t="inlineStr"/>
      <c r="O1545">
        <f>(1-Summary!$B$55)*T1545+Summary!$B$55*V1545</f>
        <v/>
      </c>
      <c r="P1545">
        <f>IF(B1562=0,0,O1545/B1562)</f>
        <v/>
      </c>
      <c r="Q1545" t="n">
        <v>0</v>
      </c>
      <c r="R1545" t="n">
        <v>0</v>
      </c>
      <c r="S1545">
        <f>IFERROR(O1545/N1545,0)</f>
        <v/>
      </c>
      <c r="T1545" t="n">
        <v>0</v>
      </c>
      <c r="V1545" t="n">
        <v>0</v>
      </c>
    </row>
    <row r="1546">
      <c r="A1546">
        <f>Skills!A28</f>
        <v/>
      </c>
      <c r="B1546">
        <f>Skills!B28</f>
        <v/>
      </c>
      <c r="C1546">
        <f>Inputs!$B$3&gt;=75</f>
        <v/>
      </c>
      <c r="D1546">
        <f>IF(Skills!C28=1,60+Inputs!$B$25+Inputs!$B$29,IF(Skills!C28=2,90+Inputs!$B$26+Inputs!$B$29,IF(Skills!C28=3,120+Inputs!$B$27+Inputs!$B$29,MAX(0,(Inputs!$B$3-100)*3)+Inputs!$B$28+Inputs!$B$29)))</f>
        <v/>
      </c>
      <c r="E1546">
        <f>INDEX(FactorTable!$B$2:$Y$301, MATCH(ROUND(MIN(300,MAX(1,D1546)),0), FactorTable!$A$2:$A$301,0), Skills!M28+1)</f>
        <v/>
      </c>
      <c r="F1546">
        <f>IF(Skills!N28=TRUE,(Skills!L28/10)*(E1546/1000),Skills!L28/10)+Skills!O28</f>
        <v/>
      </c>
      <c r="G1546">
        <f>Calc!G28</f>
        <v/>
      </c>
      <c r="H1546">
        <f>Calc!H28</f>
        <v/>
      </c>
      <c r="I1546">
        <f>IF(Skills!AA28&lt;&gt;"",1+(Skills!AA28/10)*(U1521/1000)/100,1)</f>
        <v/>
      </c>
      <c r="J1546" t="inlineStr"/>
      <c r="K1546" t="inlineStr"/>
      <c r="L1546" t="inlineStr"/>
      <c r="M1546" t="inlineStr"/>
      <c r="N1546" t="inlineStr"/>
      <c r="O1546">
        <f>(1-Summary!$B$55)*T1546+Summary!$B$55*V1546</f>
        <v/>
      </c>
      <c r="P1546">
        <f>IF(B1562=0,0,O1546/B1562)</f>
        <v/>
      </c>
      <c r="Q1546" t="n">
        <v>0</v>
      </c>
      <c r="R1546" t="n">
        <v>0</v>
      </c>
      <c r="S1546">
        <f>IFERROR(O1546/N1546,0)</f>
        <v/>
      </c>
      <c r="T1546" t="n">
        <v>0</v>
      </c>
      <c r="V1546" t="n">
        <v>0</v>
      </c>
    </row>
    <row r="1547">
      <c r="A1547">
        <f>Skills!A29</f>
        <v/>
      </c>
      <c r="B1547">
        <f>Skills!B29</f>
        <v/>
      </c>
      <c r="C1547">
        <f>Inputs!$B$3&gt;=120</f>
        <v/>
      </c>
      <c r="D1547">
        <f>IF(Skills!C29=1,60+Inputs!$B$25+Inputs!$B$29,IF(Skills!C29=2,90+Inputs!$B$26+Inputs!$B$29,IF(Skills!C29=3,120+Inputs!$B$27+Inputs!$B$29,MAX(0,(Inputs!$B$3-100)*3)+Inputs!$B$28+Inputs!$B$29)))</f>
        <v/>
      </c>
      <c r="E1547">
        <f>INDEX(FactorTable!$B$2:$Y$301, MATCH(ROUND(MIN(300,MAX(1,D1547)),0), FactorTable!$A$2:$A$301,0), Skills!M29+1)</f>
        <v/>
      </c>
      <c r="F1547">
        <f>IF(Skills!N29=TRUE,(Skills!L29/10)*(E1547/1000),Skills!L29/10)+Skills!O29</f>
        <v/>
      </c>
      <c r="G1547">
        <f>Calc!G29</f>
        <v/>
      </c>
      <c r="H1547">
        <f>Calc!H29</f>
        <v/>
      </c>
      <c r="I1547">
        <f>IF(Skills!AA29&lt;&gt;"",1+(Skills!AA29/10)*(U1521/1000)/100,1)</f>
        <v/>
      </c>
      <c r="J1547" t="inlineStr"/>
      <c r="K1547" t="inlineStr"/>
      <c r="L1547" t="inlineStr"/>
      <c r="M1547" t="inlineStr"/>
      <c r="N1547" t="inlineStr"/>
      <c r="O1547">
        <f>(1-Summary!$B$55)*T1547+Summary!$B$55*V1547</f>
        <v/>
      </c>
      <c r="P1547">
        <f>IF(B1562=0,0,O1547/B1562)</f>
        <v/>
      </c>
      <c r="Q1547" t="n">
        <v>0</v>
      </c>
      <c r="R1547" t="n">
        <v>0</v>
      </c>
      <c r="S1547">
        <f>IFERROR(O1547/N1547,0)</f>
        <v/>
      </c>
      <c r="T1547" t="n">
        <v>0</v>
      </c>
      <c r="V1547" t="n">
        <v>0</v>
      </c>
    </row>
    <row r="1548">
      <c r="A1548">
        <f>Skills!A30</f>
        <v/>
      </c>
      <c r="B1548">
        <f>Skills!B30</f>
        <v/>
      </c>
      <c r="C1548">
        <f>Inputs!$B$3&gt;=125</f>
        <v/>
      </c>
      <c r="D1548">
        <f>IF(Skills!C30=1,60+Inputs!$B$25+Inputs!$B$29,IF(Skills!C30=2,90+Inputs!$B$26+Inputs!$B$29,IF(Skills!C30=3,120+Inputs!$B$27+Inputs!$B$29,MAX(0,(Inputs!$B$3-100)*3)+Inputs!$B$28+Inputs!$B$29)))</f>
        <v/>
      </c>
      <c r="E1548">
        <f>INDEX(FactorTable!$B$2:$Y$301, MATCH(ROUND(MIN(300,MAX(1,D1548)),0), FactorTable!$A$2:$A$301,0), Skills!M30+1)</f>
        <v/>
      </c>
      <c r="F1548">
        <f>IF(Skills!N30=TRUE,(Skills!L30/10)*(E1548/1000),Skills!L30/10)+Skills!O30</f>
        <v/>
      </c>
      <c r="G1548">
        <f>Calc!G30</f>
        <v/>
      </c>
      <c r="H1548">
        <f>Calc!H30</f>
        <v/>
      </c>
      <c r="I1548">
        <f>IF(Skills!AA30&lt;&gt;"",1+(Skills!AA30/10)*(U1521/1000)/100,1)</f>
        <v/>
      </c>
      <c r="J1548" t="inlineStr"/>
      <c r="K1548" t="inlineStr"/>
      <c r="L1548" t="inlineStr"/>
      <c r="M1548" t="inlineStr"/>
      <c r="N1548" t="inlineStr"/>
      <c r="O1548">
        <f>(1-Summary!$B$55)*T1548+Summary!$B$55*V1548</f>
        <v/>
      </c>
      <c r="P1548">
        <f>IF(B1562=0,0,O1548/B1562)</f>
        <v/>
      </c>
      <c r="Q1548" t="n">
        <v>0</v>
      </c>
      <c r="R1548" t="n">
        <v>0</v>
      </c>
      <c r="S1548">
        <f>IFERROR(O1548/N1548,0)</f>
        <v/>
      </c>
      <c r="T1548" t="n">
        <v>0</v>
      </c>
      <c r="V1548" t="n">
        <v>0</v>
      </c>
    </row>
    <row r="1549">
      <c r="A1549">
        <f>Skills!A31</f>
        <v/>
      </c>
      <c r="B1549">
        <f>Skills!B31</f>
        <v/>
      </c>
      <c r="C1549">
        <f>Inputs!$B$3&gt;=107</f>
        <v/>
      </c>
      <c r="D1549">
        <f>IF(Skills!C31=1,60+Inputs!$B$25+Inputs!$B$29,IF(Skills!C31=2,90+Inputs!$B$26+Inputs!$B$29,IF(Skills!C31=3,120+Inputs!$B$27+Inputs!$B$29,MAX(0,(Inputs!$B$3-100)*3)+Inputs!$B$28+Inputs!$B$29)))</f>
        <v/>
      </c>
      <c r="E1549">
        <f>INDEX(FactorTable!$B$2:$Y$301, MATCH(ROUND(MIN(300,MAX(1,D1549)),0), FactorTable!$A$2:$A$301,0), Skills!M31+1)</f>
        <v/>
      </c>
      <c r="F1549">
        <f>IF(Skills!N31=TRUE,(Skills!L31/10)*(E1549/1000),Skills!L31/10)+Skills!O31</f>
        <v/>
      </c>
      <c r="G1549">
        <f>Calc!G31</f>
        <v/>
      </c>
      <c r="H1549">
        <f>Calc!H31</f>
        <v/>
      </c>
      <c r="I1549">
        <f>IF(Skills!AA31&lt;&gt;"",1+(Skills!AA31/10)*(U1521/1000)/100,1)</f>
        <v/>
      </c>
      <c r="J1549" t="inlineStr"/>
      <c r="K1549" t="inlineStr"/>
      <c r="L1549" t="inlineStr"/>
      <c r="M1549" t="inlineStr"/>
      <c r="N1549" t="inlineStr"/>
      <c r="O1549">
        <f>(1-Summary!$B$55)*T1549+Summary!$B$55*V1549</f>
        <v/>
      </c>
      <c r="P1549">
        <f>IF(B1562=0,0,O1549/B1562)</f>
        <v/>
      </c>
      <c r="Q1549" t="n">
        <v>0</v>
      </c>
      <c r="R1549" t="n">
        <v>0</v>
      </c>
      <c r="S1549">
        <f>IFERROR(O1549/N1549,0)</f>
        <v/>
      </c>
      <c r="T1549" t="n">
        <v>0</v>
      </c>
      <c r="V1549" t="n">
        <v>0</v>
      </c>
    </row>
    <row r="1551">
      <c r="A1551" t="inlineStr">
        <is>
          <t>Actions Per Second (pre-Adrenalin)</t>
        </is>
      </c>
      <c r="B1551">
        <f>1+MIN(150,150*(1-(1-(Inputs!$B$11+((C1540=TRUE)*(F1540-Calc!F22)))/150)*(1-((C1537=TRUE)*F1537*IF(AND(Inputs!$B$39&lt;&gt;"pvp",Inputs!$B$44&gt;0),(((R1537-1)*(Skills!Y19*(1+Inputs!$B$34/100))+MIN((Skills!Y19*(1+Inputs!$B$34/100)),MAX(0,Inputs!$B$44-((R1537-1)*Skills!D19))))/Inputs!$B$44),IF(Inputs!$B$39="pvp",MIN((Skills!Y19*(1+Inputs!$B$34/100)),15)/15,(Skills!Y19*(1+Inputs!$B$34/100))/Skills!D19)))/150)))/100</f>
        <v/>
      </c>
    </row>
    <row r="1552">
      <c r="A1552" t="inlineStr">
        <is>
          <t>Alchemic Adrenaline Uptime</t>
        </is>
      </c>
      <c r="B1552">
        <f>(Skills!Y6*(1+Inputs!$B$34/100))/((Skills!Y6*(1+Inputs!$B$34/100))+(5/B1551))</f>
        <v/>
      </c>
    </row>
    <row r="1553">
      <c r="A1553" t="inlineStr">
        <is>
          <t>Attack Speed Buff Bonus %</t>
        </is>
      </c>
      <c r="B1553">
        <f>((C1537=TRUE)*F1537*IF(AND(Inputs!$B$39&lt;&gt;"pvp",Inputs!$B$44&gt;0),(((R1537-1)*(Skills!Y19*(1+Inputs!$B$34/100))+MIN((Skills!Y19*(1+Inputs!$B$34/100)),MAX(0,Inputs!$B$44-((R1537-1)*Skills!D19))))/Inputs!$B$44),IF(Inputs!$B$39="pvp",MIN((Skills!Y19*(1+Inputs!$B$34/100)),15)/15,(Skills!Y19*(1+Inputs!$B$34/100))/Skills!D19)))+((C1525=TRUE)*F1525*B1552)</f>
        <v/>
      </c>
    </row>
    <row r="1554">
      <c r="A1554" t="inlineStr">
        <is>
          <t>Actions Per Second (final)</t>
        </is>
      </c>
      <c r="B1554">
        <f>1+MIN(150,150*(1-(1-(Inputs!$B$11+((C1540=TRUE)*(F1540-Calc!F22)))/150)*(1-B1553/150)))/100</f>
        <v/>
      </c>
    </row>
    <row r="1555">
      <c r="A1555" t="inlineStr">
        <is>
          <t>Skill + Buff Cast Rate</t>
        </is>
      </c>
      <c r="B1555">
        <f>IF(AND(Inputs!$B$39&lt;&gt;"pvp",Inputs!$B$44&gt;0),SUMPRODUCT((Skills!E2:E31=TRUE)*(C1520:C1549=TRUE)*R1520:R1549*Skills!F2:F31)/Inputs!$B$44,SUMPRODUCT((Skills!E2:E31=TRUE)*(C1520:C1549=TRUE)*Q1520:Q1549*Skills!F2:F31))</f>
        <v/>
      </c>
    </row>
    <row r="1556">
      <c r="A1556" t="inlineStr">
        <is>
          <t>Showdown Casts Per Second</t>
        </is>
      </c>
      <c r="B1556">
        <f>MAX(0,B1554-B1555)</f>
        <v/>
      </c>
    </row>
    <row r="1557">
      <c r="A1557" t="inlineStr">
        <is>
          <t>Average Buff Multiplier</t>
        </is>
      </c>
      <c r="B1557">
        <f>(1+(((C1539=TRUE)*F1539*IF(AND(Inputs!$B$39&lt;&gt;"pvp",Inputs!$B$44&gt;0),(((R1539-1)*(Skills!Y21*(1+Inputs!$B$34/100))+MIN((Skills!Y21*(1+Inputs!$B$34/100)),MAX(0,Inputs!$B$44-((R1539-1)*Skills!D21))))/Inputs!$B$44),IF(Inputs!$B$39="pvp",MIN((Skills!Y21*(1+Inputs!$B$34/100)),15)/15,(Skills!Y21*(1+Inputs!$B$34/100))/Skills!D21)))+((C1546=TRUE)*(F1546-Calc!F28))+((C1536=TRUE)*(F1536-Calc!F18)))/100)*(1+((C1533=TRUE)*F1533*IF(AND(Inputs!$B$39&lt;&gt;"pvp",Inputs!$B$44&gt;0),(((R1533-1)*(Skills!Y15*(1+Inputs!$B$34/100))+MIN((Skills!Y15*(1+Inputs!$B$34/100)),MAX(0,Inputs!$B$44-((R1533-1)*Skills!D15))))/Inputs!$B$44),IF(Inputs!$B$39="pvp",MIN((Skills!Y15*(1+Inputs!$B$34/100)),15)/15,(Skills!Y15*(1+Inputs!$B$34/100))/Skills!D15)))/100)*(1+((C1524=TRUE)*F1524*B1552)/100)</f>
        <v/>
      </c>
    </row>
    <row r="1558">
      <c r="A1558" t="inlineStr">
        <is>
          <t>Global Crit Rate Bonus %</t>
        </is>
      </c>
      <c r="B1558">
        <f>IF(Inputs!$B$3&gt;=47,8,0)+((C1538=TRUE)*F1538*IF(AND(Inputs!$B$39&lt;&gt;"pvp",Inputs!$B$44&gt;0),(((R1538-1)*(Skills!Y20*(1+Inputs!$B$34/100))+MIN((Skills!Y20*(1+Inputs!$B$34/100)),MAX(0,Inputs!$B$44-((R1538-1)*Skills!D20))))/Inputs!$B$44),IF(Inputs!$B$39="pvp",MIN((Skills!Y20*(1+Inputs!$B$34/100)),15)/15,(Skills!Y20*(1+Inputs!$B$34/100))/Skills!D20)))</f>
        <v/>
      </c>
    </row>
    <row r="1559">
      <c r="A1559" t="inlineStr">
        <is>
          <t>Global Monster Damage-Taken Bonus %</t>
        </is>
      </c>
      <c r="B1559">
        <f>IF(Inputs!$B$3&gt;=82,15,0)+((C1534=TRUE)*F1534*IF(AND(Inputs!$B$39&lt;&gt;"pvp",Inputs!$B$44&gt;0),(((R1534-1)*(Skills!Y16*(1+Inputs!$B$34/100))+MIN((Skills!Y16*(1+Inputs!$B$34/100)),MAX(0,Inputs!$B$44-((R1534-1)*Skills!D16))))/Inputs!$B$44),IF(Inputs!$B$39="pvp",MIN((Skills!Y16*(1+Inputs!$B$34/100)),15)/15,(Skills!Y16*(1+Inputs!$B$34/100))/Skills!D16)))</f>
        <v/>
      </c>
    </row>
    <row r="1560">
      <c r="A1560" t="inlineStr">
        <is>
          <t>Shadow Partner Average Multiplier</t>
        </is>
      </c>
      <c r="B1560">
        <f>1+((C1529=TRUE)*F1529*I1529*Skills!J11/100)/100</f>
        <v/>
      </c>
    </row>
    <row r="1561">
      <c r="A1561" t="inlineStr">
        <is>
          <t>Global Critical Damage Bonus % (Frailty Curse Mastery Lv.111)</t>
        </is>
      </c>
      <c r="B1561">
        <f>IF(Inputs!$B$3&gt;=111,30,0)*IF(AND(Inputs!$B$39&lt;&gt;"pvp",Inputs!$B$44&gt;0),(((R1534-1)*(Skills!Y16*(1+Inputs!$B$34/100))+MIN((Skills!Y16*(1+Inputs!$B$34/100)),MAX(0,Inputs!$B$44-((R1534-1)*Skills!D16))))/Inputs!$B$44),IF(Inputs!$B$39="pvp",MIN((Skills!Y16*(1+Inputs!$B$34/100)),15)/15,(Skills!Y16*(1+Inputs!$B$34/100))/Skills!D16))</f>
        <v/>
      </c>
    </row>
    <row r="1562">
      <c r="A1562" s="5" t="inlineStr">
        <is>
          <t>TOTAL DPS</t>
        </is>
      </c>
      <c r="B1562" s="5">
        <f>SUM(O1520:O1549)</f>
        <v/>
      </c>
    </row>
    <row r="1563">
      <c r="A1563" t="inlineStr">
        <is>
          <t>Buff-Casting Startup Delay (s, fixed-duration only)</t>
        </is>
      </c>
      <c r="B1563">
        <f>IF(AND(Inputs!$B$39&lt;&gt;"pvp",Inputs!$B$44&gt;0),SUMPRODUCT((Skills!Y2:Y31&gt;0)*(Skills!E2:E31=TRUE)*(C1520:C1549=TRUE))/B1554,0)</f>
        <v/>
      </c>
    </row>
    <row r="1564">
      <c r="A1564" t="inlineStr">
        <is>
          <t>Boss-Only Total DPS (this block's swept value)</t>
        </is>
      </c>
      <c r="B1564">
        <f>SUM(T1520:T1549)</f>
        <v/>
      </c>
    </row>
    <row r="1565">
      <c r="A1565" t="inlineStr">
        <is>
          <t>Normal-Only Total DPS (this block's swept value)</t>
        </is>
      </c>
      <c r="B1565">
        <f>SUM(V1520:V1549)</f>
        <v/>
      </c>
    </row>
    <row r="1567">
      <c r="A1567" s="5" t="inlineStr">
        <is>
          <t>Stat: CDR = 2.5s</t>
        </is>
      </c>
    </row>
    <row r="1568">
      <c r="A1568" s="9" t="inlineStr">
        <is>
          <t>Key</t>
        </is>
      </c>
      <c r="B1568" s="9" t="inlineStr">
        <is>
          <t>Name</t>
        </is>
      </c>
      <c r="C1568" s="9" t="inlineStr">
        <is>
          <t>Unlocked</t>
        </is>
      </c>
      <c r="D1568" s="9" t="inlineStr">
        <is>
          <t>InputLevel</t>
        </is>
      </c>
      <c r="E1568" s="9" t="inlineStr">
        <is>
          <t>Factor</t>
        </is>
      </c>
      <c r="F1568" s="9" t="inlineStr">
        <is>
          <t>CoefficientPercent</t>
        </is>
      </c>
      <c r="G1568" s="9" t="inlineStr">
        <is>
          <t>EffectiveHits</t>
        </is>
      </c>
      <c r="H1568" s="9" t="inlineStr">
        <is>
          <t>ProcProbability</t>
        </is>
      </c>
      <c r="I1568" s="9" t="inlineStr">
        <is>
          <t>MapleHeroMultiplier</t>
        </is>
      </c>
      <c r="J1568" s="9" t="inlineStr">
        <is>
          <t>BaseDamage</t>
        </is>
      </c>
      <c r="K1568" s="9" t="inlineStr">
        <is>
          <t>BaseHitDamage</t>
        </is>
      </c>
      <c r="L1568" s="9" t="inlineStr">
        <is>
          <t>NonCritAvg</t>
        </is>
      </c>
      <c r="M1568" s="9" t="inlineStr">
        <is>
          <t>CritAvg</t>
        </is>
      </c>
      <c r="N1568" s="9" t="inlineStr">
        <is>
          <t>ExpectedDamage(perHit)</t>
        </is>
      </c>
      <c r="O1568" s="9" t="inlineStr">
        <is>
          <t>DPS</t>
        </is>
      </c>
      <c r="P1568" s="9" t="inlineStr">
        <is>
          <t>% of Total</t>
        </is>
      </c>
      <c r="Q1568" s="9" t="inlineStr">
        <is>
          <t>InvCooldown</t>
        </is>
      </c>
      <c r="R1568" s="9" t="inlineStr">
        <is>
          <t>CastsInFight</t>
        </is>
      </c>
      <c r="S1568" s="9" t="inlineStr">
        <is>
          <t>HitRate(perSec)</t>
        </is>
      </c>
      <c r="U1568" t="inlineStr">
        <is>
          <t>helpers</t>
        </is>
      </c>
    </row>
    <row r="1569">
      <c r="A1569">
        <f>Skills!A2</f>
        <v/>
      </c>
      <c r="B1569">
        <f>Skills!B2</f>
        <v/>
      </c>
      <c r="C1569">
        <f>Inputs!$B$3&gt;=100</f>
        <v/>
      </c>
      <c r="D1569" t="inlineStr"/>
      <c r="E1569" t="inlineStr"/>
      <c r="F1569">
        <f>U1573+Skills!O2</f>
        <v/>
      </c>
      <c r="G1569">
        <f>Calc!G2</f>
        <v/>
      </c>
      <c r="H1569">
        <f>Calc!H2</f>
        <v/>
      </c>
      <c r="I1569">
        <f>IF(Skills!AA2&lt;&gt;"",1+(Skills!AA2/10)*(U1570/1000)/100,1)</f>
        <v/>
      </c>
      <c r="J1569">
        <f>((Inputs!$B$6*(1+Inputs!$B$7/100))+(((Inputs!$B$12*(1+Inputs!$B$13/100))-(Inputs!$B$12*(1+Inputs!$B$13/100)))+0.25*(Inputs!$B$14-Inputs!$B$14))*(1+Inputs!$B$7/100))*(F1569/100)</f>
        <v/>
      </c>
      <c r="K1569">
        <f>J1569*(1+((Inputs!$B$12*(1+Inputs!$B$13/100))*0.01+Inputs!$B$14*0.0025)/100)*(1+Inputs!$B$15/100)*(1+Inputs!$B$16/100)*(5000/(6000+Inputs!$B$43*(1-Inputs!$B$19/100)))*(1+(Inputs!$B$24+((C1597=TRUE)*(F1597-Calc!F30)))/100)*(1+Skills!R2/100)*(1+(IF(Skills!A2="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1569)</f>
        <v/>
      </c>
      <c r="L1569">
        <f>K1569*(MIN(Inputs!$B$22+((C1591=TRUE)*(F1591-Calc!F24)),Inputs!$B$23)/100+Inputs!$B$23/100)/2</f>
        <v/>
      </c>
      <c r="M1569">
        <f>L1569*(1+(Inputs!$B$10+((C1593=TRUE)*(F1593-Calc!F26))+B1610)/100)</f>
        <v/>
      </c>
      <c r="N1569">
        <f>L1569*(1-MIN((Inputs!$B$9+((C1592=TRUE)*(F1592-Calc!F25))+B1607),100)/100)+M1569*(MIN((Inputs!$B$9+((C1592=TRUE)*(F1592-Calc!F25))+B1607),100)/100)</f>
        <v/>
      </c>
      <c r="O1569">
        <f>(1-Summary!$B$55)*T1569+Summary!$B$55*V1569</f>
        <v/>
      </c>
      <c r="P1569">
        <f>IF(B1611=0,0,O1569/B1611)</f>
        <v/>
      </c>
      <c r="Q1569" t="n">
        <v>0</v>
      </c>
      <c r="R1569" t="n">
        <v>0</v>
      </c>
      <c r="S1569">
        <f>IFERROR(O1569/N1569,0)</f>
        <v/>
      </c>
      <c r="T1569">
        <f>IF(C1569,(Skills!G2*N1569*B1605)*IF(Inputs!$B$39="pvp",1,1+(Inputs!$B$20+((C1594=TRUE)*(F1594-Calc!F27))+Skills!P2+B1608)/100),0)</f>
        <v/>
      </c>
      <c r="U1569">
        <f>MAX(0,(Inputs!$B$3-100)*3)+Inputs!$B$28+Inputs!$B$29</f>
        <v/>
      </c>
      <c r="V1569">
        <f>IF(C1569,(Skills!G2*N1569*B1605)*IF(Inputs!$B$39="pvp",1,(1+(Inputs!$B$21+Skills!Q2+B1608)/100)*(MIN((6+Inputs!$B$33),Inputs!$B$37))),0)</f>
        <v/>
      </c>
    </row>
    <row r="1570">
      <c r="A1570">
        <f>Skills!A3</f>
        <v/>
      </c>
      <c r="B1570">
        <f>Skills!B3</f>
        <v/>
      </c>
      <c r="C1570">
        <f>Inputs!$B$3&gt;=35</f>
        <v/>
      </c>
      <c r="D1570">
        <f>IF(Skills!C3=1,60+Inputs!$B$25+Inputs!$B$29,IF(Skills!C3=2,90+Inputs!$B$26+Inputs!$B$29,IF(Skills!C3=3,120+Inputs!$B$27+Inputs!$B$29,MAX(0,(Inputs!$B$3-100)*3)+Inputs!$B$28+Inputs!$B$29)))</f>
        <v/>
      </c>
      <c r="E1570">
        <f>INDEX(FactorTable!$B$2:$Y$301, MATCH(ROUND(MIN(300,MAX(1,D1570)),0), FactorTable!$A$2:$A$301,0), Skills!M3+1)</f>
        <v/>
      </c>
      <c r="F1570">
        <f>IF(Skills!N3=TRUE,(Skills!L3/10)*(E1570/1000),Skills!L3/10)+Skills!O3</f>
        <v/>
      </c>
      <c r="G1570">
        <f>Calc!G3</f>
        <v/>
      </c>
      <c r="H1570">
        <f>Calc!H3</f>
        <v/>
      </c>
      <c r="I1570">
        <f>IF(Skills!AA3&lt;&gt;"",1+(Skills!AA3/10)*(U1570/1000)/100,1)</f>
        <v/>
      </c>
      <c r="J1570">
        <f>((Inputs!$B$6*(1+Inputs!$B$7/100))+(((Inputs!$B$12*(1+Inputs!$B$13/100))-(Inputs!$B$12*(1+Inputs!$B$13/100)))+0.25*(Inputs!$B$14-Inputs!$B$14))*(1+Inputs!$B$7/100))*(F1570/100)</f>
        <v/>
      </c>
      <c r="K1570">
        <f>J1570*(1+((Inputs!$B$12*(1+Inputs!$B$13/100))*0.01+Inputs!$B$14*0.0025)/100)*(1+Inputs!$B$15/100)*(1+Inputs!$B$16/100)*(5000/(6000+Inputs!$B$43*(1-Inputs!$B$19/100)))*(1+(Inputs!$B$24+((C1597=TRUE)*(F1597-Calc!F30)))/100)*(1+Skills!R3/100)*(1+(IF(Skills!A3="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1570)</f>
        <v/>
      </c>
      <c r="L1570">
        <f>K1570*(MIN(Inputs!$B$22+((C1591=TRUE)*(F1591-Calc!F24)),Inputs!$B$23)/100+Inputs!$B$23/100)/2</f>
        <v/>
      </c>
      <c r="M1570">
        <f>L1570*(1+(Inputs!$B$10+((C1593=TRUE)*(F1593-Calc!F26))+B1610)/100)</f>
        <v/>
      </c>
      <c r="N1570">
        <f>L1570*(1-MIN((Inputs!$B$9+((C1592=TRUE)*(F1592-Calc!F25))+B1607),100)/100)+M1570*(MIN((Inputs!$B$9+((C1592=TRUE)*(F1592-Calc!F25))+B1607),100)/100)</f>
        <v/>
      </c>
      <c r="O1570">
        <f>(1-Summary!$B$55)*T1570+Summary!$B$55*V1570</f>
        <v/>
      </c>
      <c r="P1570">
        <f>IF(B1611=0,0,O1570/B1611)</f>
        <v/>
      </c>
      <c r="Q1570">
        <f>IFERROR(1/IF(Inputs!$B$39="pvp",15,MAX(0.1,Skills!D3-IF(Skills!E3=TRUE,2.5,0))),0)</f>
        <v/>
      </c>
      <c r="R1570">
        <f>IF(AND(Inputs!$B$39&lt;&gt;"pvp",Inputs!$B$44&gt;0),IF(MAX(0,Inputs!$B$44-B1612)&lt;=0,0,(INT(MAX(0,Inputs!$B$44-B1612)/IF(Inputs!$B$39="pvp",15,MAX(0.1,Skills!D3-IF(Skills!E3=TRUE,2.5,0))))+1)),0)</f>
        <v/>
      </c>
      <c r="S1570">
        <f>IFERROR(O1570/N1570,0)</f>
        <v/>
      </c>
      <c r="T1570">
        <f>IF(C1570,(H1570*N1570*IF(AND(Inputs!$B$39&lt;&gt;"pvp",Inputs!$B$44&gt;0),((Skills!G3*((R1570-1)*IF(Skills!H3&gt;0,Skills!I3/Skills!H3,1)+IF(Skills!H3&gt;0,MIN(Skills!I3,MAX(0,MAX(0,Inputs!$B$44-B1612)-((R1570-1)*IF(Inputs!$B$39="pvp",15,MAX(0.1,Skills!D3-IF(Skills!E3=TRUE,2.5,0))))))/Skills!H3,1)))/Inputs!$B$44),G1570*Q1570))*IF(Inputs!$B$39="pvp",1,1+(Inputs!$B$20+((C1594=TRUE)*(F1594-Calc!F27))+Skills!P3+B1608)/100),0)</f>
        <v/>
      </c>
      <c r="U1570">
        <f>INDEX(FactorTable!$B$2:$Y$301, MATCH(ROUND(MIN(300,MAX(1,U1569)),0), FactorTable!$A$2:$A$301,0), 24)</f>
        <v/>
      </c>
      <c r="V1570">
        <f>IF(C1570,(H1570*N1570*IF(AND(Inputs!$B$39&lt;&gt;"pvp",Inputs!$B$44&gt;0),((Skills!G3*((R1570-1)*IF(Skills!H3&gt;0,Skills!I3/Skills!H3,1)+IF(Skills!H3&gt;0,MIN(Skills!I3,MAX(0,MAX(0,Inputs!$B$44-B1612)-((R1570-1)*IF(Inputs!$B$39="pvp",15,MAX(0.1,Skills!D3-IF(Skills!E3=TRUE,2.5,0))))))/Skills!H3,1)))/Inputs!$B$44),G1570*Q1570))*IF(Inputs!$B$39="pvp",1,(1+(Inputs!$B$21+Skills!Q3+B1608)/100)*(MIN(Skills!W3,Inputs!$B$37))),0)</f>
        <v/>
      </c>
    </row>
    <row r="1571">
      <c r="A1571">
        <f>Skills!A4</f>
        <v/>
      </c>
      <c r="B1571">
        <f>Skills!B4</f>
        <v/>
      </c>
      <c r="C1571">
        <f>Inputs!$B$3&gt;=40</f>
        <v/>
      </c>
      <c r="D1571">
        <f>IF(Skills!C4=1,60+Inputs!$B$25+Inputs!$B$29,IF(Skills!C4=2,90+Inputs!$B$26+Inputs!$B$29,IF(Skills!C4=3,120+Inputs!$B$27+Inputs!$B$29,MAX(0,(Inputs!$B$3-100)*3)+Inputs!$B$28+Inputs!$B$29)))</f>
        <v/>
      </c>
      <c r="E1571">
        <f>INDEX(FactorTable!$B$2:$Y$301, MATCH(ROUND(MIN(300,MAX(1,D1571)),0), FactorTable!$A$2:$A$301,0), Skills!M4+1)</f>
        <v/>
      </c>
      <c r="F1571">
        <f>IF(Skills!N4=TRUE,(Skills!L4/10)*(E1571/1000),Skills!L4/10)+Skills!O4</f>
        <v/>
      </c>
      <c r="G1571">
        <f>Calc!G4</f>
        <v/>
      </c>
      <c r="H1571">
        <f>Calc!H4</f>
        <v/>
      </c>
      <c r="I1571">
        <f>IF(Skills!AA4&lt;&gt;"",1+(Skills!AA4/10)*(U1570/1000)/100,1)</f>
        <v/>
      </c>
      <c r="J1571">
        <f>((Inputs!$B$6*(1+Inputs!$B$7/100))+(((Inputs!$B$12*(1+Inputs!$B$13/100))-(Inputs!$B$12*(1+Inputs!$B$13/100)))+0.25*(Inputs!$B$14-Inputs!$B$14))*(1+Inputs!$B$7/100))*(F1571/100)</f>
        <v/>
      </c>
      <c r="K1571">
        <f>J1571*(1+((Inputs!$B$12*(1+Inputs!$B$13/100))*0.01+Inputs!$B$14*0.0025)/100)*(1+Inputs!$B$15/100)*(1+Inputs!$B$16/100)*(5000/(6000+Inputs!$B$43*(1-Inputs!$B$19/100)))*(1+(Inputs!$B$24+((C1597=TRUE)*(F1597-Calc!F30)))/100)*(1+Skills!R4/100)*(1+(IF(Skills!A4="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1571)</f>
        <v/>
      </c>
      <c r="L1571">
        <f>K1571*(MIN(Inputs!$B$22+((C1591=TRUE)*(F1591-Calc!F24)),Inputs!$B$23)/100+Inputs!$B$23/100)/2</f>
        <v/>
      </c>
      <c r="M1571">
        <f>L1571*(1+(Inputs!$B$10+((C1593=TRUE)*(F1593-Calc!F26))+B1610)/100)</f>
        <v/>
      </c>
      <c r="N1571">
        <f>L1571*(1-MIN((Inputs!$B$9+((C1592=TRUE)*(F1592-Calc!F25))+B1607),100)/100)+M1571*(MIN((Inputs!$B$9+((C1592=TRUE)*(F1592-Calc!F25))+B1607),100)/100)</f>
        <v/>
      </c>
      <c r="O1571">
        <f>(1-Summary!$B$55)*T1571+Summary!$B$55*V1571</f>
        <v/>
      </c>
      <c r="P1571">
        <f>IF(B1611=0,0,O1571/B1611)</f>
        <v/>
      </c>
      <c r="Q1571">
        <f>IFERROR(1/IF(Inputs!$B$39="pvp",15,MAX(0.1,Skills!D4-IF(Skills!E4=TRUE,2.5,0))),0)</f>
        <v/>
      </c>
      <c r="R1571">
        <f>IF(AND(Inputs!$B$39&lt;&gt;"pvp",Inputs!$B$44&gt;0),IF(MAX(0,Inputs!$B$44-B1612)&lt;=0,0,(INT(MAX(0,Inputs!$B$44-B1612)/IF(Inputs!$B$39="pvp",15,MAX(0.1,Skills!D4-IF(Skills!E4=TRUE,2.5,0))))+1)),0)</f>
        <v/>
      </c>
      <c r="S1571">
        <f>IFERROR(O1571/N1571,0)</f>
        <v/>
      </c>
      <c r="T1571">
        <f>IF(C1571,(H1571*N1571*IF(AND(Inputs!$B$39&lt;&gt;"pvp",Inputs!$B$44&gt;0),((Skills!G4*((R1571-1)*IF(Skills!H4&gt;0,Skills!I4/Skills!H4,1)+IF(Skills!H4&gt;0,MIN(Skills!I4,MAX(0,MAX(0,Inputs!$B$44-B1612)-((R1571-1)*IF(Inputs!$B$39="pvp",15,MAX(0.1,Skills!D4-IF(Skills!E4=TRUE,2.5,0))))))/Skills!H4,1)))/Inputs!$B$44),G1571*Q1571))*IF(Inputs!$B$39="pvp",1,1+(Inputs!$B$20+((C1594=TRUE)*(F1594-Calc!F27))+Skills!P4+B1608)/100),0)</f>
        <v/>
      </c>
      <c r="U1571">
        <f>MAX(0,(Inputs!$B$3-100)*3)+Inputs!$B$28+Inputs!$B$29</f>
        <v/>
      </c>
      <c r="V1571">
        <f>IF(C1571,(H1571*N1571*IF(AND(Inputs!$B$39&lt;&gt;"pvp",Inputs!$B$44&gt;0),((Skills!G4*((R1571-1)*IF(Skills!H4&gt;0,Skills!I4/Skills!H4,1)+IF(Skills!H4&gt;0,MIN(Skills!I4,MAX(0,MAX(0,Inputs!$B$44-B1612)-((R1571-1)*IF(Inputs!$B$39="pvp",15,MAX(0.1,Skills!D4-IF(Skills!E4=TRUE,2.5,0))))))/Skills!H4,1)))/Inputs!$B$44),G1571*Q1571))*IF(Inputs!$B$39="pvp",1,(1+(Inputs!$B$21+Skills!Q4+B1608)/100)*(MIN(Skills!W4,Inputs!$B$37))),0)</f>
        <v/>
      </c>
    </row>
    <row r="1572">
      <c r="A1572">
        <f>Skills!A5</f>
        <v/>
      </c>
      <c r="B1572">
        <f>Skills!B5</f>
        <v/>
      </c>
      <c r="C1572">
        <f>Inputs!$B$3&gt;=63</f>
        <v/>
      </c>
      <c r="D1572">
        <f>IF(Skills!C5=1,60+Inputs!$B$25+Inputs!$B$29,IF(Skills!C5=2,90+Inputs!$B$26+Inputs!$B$29,IF(Skills!C5=3,120+Inputs!$B$27+Inputs!$B$29,MAX(0,(Inputs!$B$3-100)*3)+Inputs!$B$28+Inputs!$B$29)))</f>
        <v/>
      </c>
      <c r="E1572">
        <f>INDEX(FactorTable!$B$2:$Y$301, MATCH(ROUND(MIN(300,MAX(1,D1572)),0), FactorTable!$A$2:$A$301,0), Skills!M5+1)</f>
        <v/>
      </c>
      <c r="F1572">
        <f>IF(Skills!N5=TRUE,(Skills!L5/10)*(E1572/1000),Skills!L5/10)+Skills!O5</f>
        <v/>
      </c>
      <c r="G1572">
        <f>Calc!G5</f>
        <v/>
      </c>
      <c r="H1572">
        <f>Calc!H5</f>
        <v/>
      </c>
      <c r="I1572">
        <f>IF(Skills!AA5&lt;&gt;"",1+(Skills!AA5/10)*(U1570/1000)/100,1)</f>
        <v/>
      </c>
      <c r="J1572">
        <f>((Inputs!$B$6*(1+Inputs!$B$7/100))+(((Inputs!$B$12*(1+Inputs!$B$13/100))-(Inputs!$B$12*(1+Inputs!$B$13/100)))+0.25*(Inputs!$B$14-Inputs!$B$14))*(1+Inputs!$B$7/100))*(F1572/100)</f>
        <v/>
      </c>
      <c r="K1572">
        <f>J1572*(1+((Inputs!$B$12*(1+Inputs!$B$13/100))*0.01+Inputs!$B$14*0.0025)/100)*(1+Inputs!$B$15/100)*(1+Inputs!$B$16/100)*(5000/(6000+Inputs!$B$43*(1-Inputs!$B$19/100)))*(1+(Inputs!$B$24+((C1597=TRUE)*(F1597-Calc!F30)))/100)*(1+Skills!R5/100)*(1+(IF(Skills!A5="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1572)</f>
        <v/>
      </c>
      <c r="L1572">
        <f>K1572*(MIN(Inputs!$B$22+((C1591=TRUE)*(F1591-Calc!F24)),Inputs!$B$23)/100+Inputs!$B$23/100)/2</f>
        <v/>
      </c>
      <c r="M1572">
        <f>L1572*(1+(Inputs!$B$10+((C1593=TRUE)*(F1593-Calc!F26))+B1610)/100)</f>
        <v/>
      </c>
      <c r="N1572">
        <f>L1572*(1-MIN((Inputs!$B$9+((C1592=TRUE)*(F1592-Calc!F25))+B1607),100)/100)+M1572*(MIN((Inputs!$B$9+((C1592=TRUE)*(F1592-Calc!F25))+B1607),100)/100)</f>
        <v/>
      </c>
      <c r="O1572">
        <f>(1-Summary!$B$55)*T1572+Summary!$B$55*V1572</f>
        <v/>
      </c>
      <c r="P1572">
        <f>IF(B1611=0,0,O1572/B1611)</f>
        <v/>
      </c>
      <c r="Q1572">
        <f>IFERROR(1/IF(Inputs!$B$39="pvp",15,MAX(0.1,Skills!D5-IF(Skills!E5=TRUE,2.5,0))),0)</f>
        <v/>
      </c>
      <c r="R1572">
        <f>IF(AND(Inputs!$B$39&lt;&gt;"pvp",Inputs!$B$44&gt;0),IF(MAX(0,Inputs!$B$44-B1612)&lt;=0,0,(INT(MAX(0,Inputs!$B$44-B1612)/IF(Inputs!$B$39="pvp",15,MAX(0.1,Skills!D5-IF(Skills!E5=TRUE,2.5,0))))+1)),0)</f>
        <v/>
      </c>
      <c r="S1572">
        <f>IFERROR(O1572/N1572,0)</f>
        <v/>
      </c>
      <c r="T1572">
        <f>IF(C1572,(H1572*N1572*IF(AND(Inputs!$B$39&lt;&gt;"pvp",Inputs!$B$44&gt;0),((Skills!G5*((R1572-1)*IF(Skills!H5&gt;0,Skills!I5/Skills!H5,1)+IF(Skills!H5&gt;0,MIN(Skills!I5,MAX(0,MAX(0,Inputs!$B$44-B1612)-((R1572-1)*IF(Inputs!$B$39="pvp",15,MAX(0.1,Skills!D5-IF(Skills!E5=TRUE,2.5,0))))))/Skills!H5,1)))/Inputs!$B$44),G1572*Q1572))*IF(Inputs!$B$39="pvp",1,1+(Inputs!$B$20+((C1594=TRUE)*(F1594-Calc!F27))+Skills!P5+B1608)/100),0)</f>
        <v/>
      </c>
      <c r="U1572">
        <f>INDEX(FactorTable!$B$2:$Y$301, MATCH(ROUND(MIN(300,MAX(1,U1571)),0), FactorTable!$A$2:$A$301,0), 22)</f>
        <v/>
      </c>
      <c r="V1572">
        <f>IF(C1572,(H1572*N1572*IF(AND(Inputs!$B$39&lt;&gt;"pvp",Inputs!$B$44&gt;0),((Skills!G5*((R1572-1)*IF(Skills!H5&gt;0,Skills!I5/Skills!H5,1)+IF(Skills!H5&gt;0,MIN(Skills!I5,MAX(0,MAX(0,Inputs!$B$44-B1612)-((R1572-1)*IF(Inputs!$B$39="pvp",15,MAX(0.1,Skills!D5-IF(Skills!E5=TRUE,2.5,0))))))/Skills!H5,1)))/Inputs!$B$44),G1572*Q1572))*IF(Inputs!$B$39="pvp",1,(1+(Inputs!$B$21+Skills!Q5+B1608)/100)*(MIN(Skills!W5,Inputs!$B$37))),0)</f>
        <v/>
      </c>
    </row>
    <row r="1573">
      <c r="A1573">
        <f>Skills!A6</f>
        <v/>
      </c>
      <c r="B1573">
        <f>Skills!B6</f>
        <v/>
      </c>
      <c r="C1573">
        <f>Inputs!$B$3&gt;=66</f>
        <v/>
      </c>
      <c r="D1573">
        <f>IF(Skills!C6=1,60+Inputs!$B$25+Inputs!$B$29,IF(Skills!C6=2,90+Inputs!$B$26+Inputs!$B$29,IF(Skills!C6=3,120+Inputs!$B$27+Inputs!$B$29,MAX(0,(Inputs!$B$3-100)*3)+Inputs!$B$28+Inputs!$B$29)))</f>
        <v/>
      </c>
      <c r="E1573">
        <f>INDEX(FactorTable!$B$2:$Y$301, MATCH(ROUND(MIN(300,MAX(1,D1573)),0), FactorTable!$A$2:$A$301,0), Skills!M6+1)</f>
        <v/>
      </c>
      <c r="F1573">
        <f>IF(Skills!N6=TRUE,(Skills!L6/10)*(E1573/1000),Skills!L6/10)+Skills!O6</f>
        <v/>
      </c>
      <c r="G1573">
        <f>Calc!G6</f>
        <v/>
      </c>
      <c r="H1573">
        <f>Calc!H6</f>
        <v/>
      </c>
      <c r="I1573">
        <f>IF(Skills!AA6&lt;&gt;"",1+(Skills!AA6/10)*(U1570/1000)/100,1)</f>
        <v/>
      </c>
      <c r="J1573" t="inlineStr"/>
      <c r="K1573" t="inlineStr"/>
      <c r="L1573" t="inlineStr"/>
      <c r="M1573" t="inlineStr"/>
      <c r="N1573" t="inlineStr"/>
      <c r="O1573">
        <f>(1-Summary!$B$55)*T1573+Summary!$B$55*V1573</f>
        <v/>
      </c>
      <c r="P1573">
        <f>IF(B1611=0,0,O1573/B1611)</f>
        <v/>
      </c>
      <c r="Q1573" t="n">
        <v>0</v>
      </c>
      <c r="R1573" t="n">
        <v>0</v>
      </c>
      <c r="S1573">
        <f>IFERROR(O1573/N1573,0)</f>
        <v/>
      </c>
      <c r="T1573" t="n">
        <v>0</v>
      </c>
      <c r="U1573">
        <f>290*U1572/1000</f>
        <v/>
      </c>
      <c r="V1573" t="n">
        <v>0</v>
      </c>
    </row>
    <row r="1574">
      <c r="A1574">
        <f>Skills!A7</f>
        <v/>
      </c>
      <c r="B1574">
        <f>Skills!B7</f>
        <v/>
      </c>
      <c r="C1574">
        <f>Inputs!$B$3&gt;=66</f>
        <v/>
      </c>
      <c r="D1574">
        <f>IF(Skills!C7=1,60+Inputs!$B$25+Inputs!$B$29,IF(Skills!C7=2,90+Inputs!$B$26+Inputs!$B$29,IF(Skills!C7=3,120+Inputs!$B$27+Inputs!$B$29,MAX(0,(Inputs!$B$3-100)*3)+Inputs!$B$28+Inputs!$B$29)))</f>
        <v/>
      </c>
      <c r="E1574">
        <f>INDEX(FactorTable!$B$2:$Y$301, MATCH(ROUND(MIN(300,MAX(1,D1574)),0), FactorTable!$A$2:$A$301,0), Skills!M7+1)</f>
        <v/>
      </c>
      <c r="F1574">
        <f>IF(Skills!N7=TRUE,(Skills!L7/10)*(E1574/1000),Skills!L7/10)+Skills!O7</f>
        <v/>
      </c>
      <c r="G1574">
        <f>Calc!G7</f>
        <v/>
      </c>
      <c r="H1574">
        <f>Calc!H7</f>
        <v/>
      </c>
      <c r="I1574">
        <f>IF(Skills!AA7&lt;&gt;"",1+(Skills!AA7/10)*(U1570/1000)/100,1)</f>
        <v/>
      </c>
      <c r="J1574" t="inlineStr"/>
      <c r="K1574" t="inlineStr"/>
      <c r="L1574" t="inlineStr"/>
      <c r="M1574" t="inlineStr"/>
      <c r="N1574" t="inlineStr"/>
      <c r="O1574">
        <f>(1-Summary!$B$55)*T1574+Summary!$B$55*V1574</f>
        <v/>
      </c>
      <c r="P1574">
        <f>IF(B1611=0,0,O1574/B1611)</f>
        <v/>
      </c>
      <c r="Q1574" t="n">
        <v>0</v>
      </c>
      <c r="R1574" t="n">
        <v>0</v>
      </c>
      <c r="S1574">
        <f>IFERROR(O1574/N1574,0)</f>
        <v/>
      </c>
      <c r="T1574" t="n">
        <v>0</v>
      </c>
      <c r="V1574" t="n">
        <v>0</v>
      </c>
    </row>
    <row r="1575">
      <c r="A1575">
        <f>Skills!A8</f>
        <v/>
      </c>
      <c r="B1575">
        <f>Skills!B8</f>
        <v/>
      </c>
      <c r="C1575">
        <f>Inputs!$B$3&gt;=69</f>
        <v/>
      </c>
      <c r="D1575">
        <f>IF(Skills!C8=1,60+Inputs!$B$25+Inputs!$B$29,IF(Skills!C8=2,90+Inputs!$B$26+Inputs!$B$29,IF(Skills!C8=3,120+Inputs!$B$27+Inputs!$B$29,MAX(0,(Inputs!$B$3-100)*3)+Inputs!$B$28+Inputs!$B$29)))</f>
        <v/>
      </c>
      <c r="E1575">
        <f>INDEX(FactorTable!$B$2:$Y$301, MATCH(ROUND(MIN(300,MAX(1,D1575)),0), FactorTable!$A$2:$A$301,0), Skills!M8+1)</f>
        <v/>
      </c>
      <c r="F1575">
        <f>IF(Skills!N8=TRUE,(Skills!L8/10)*(E1575/1000),Skills!L8/10)+Skills!O8</f>
        <v/>
      </c>
      <c r="G1575">
        <f>Calc!G8</f>
        <v/>
      </c>
      <c r="H1575">
        <f>Calc!H8</f>
        <v/>
      </c>
      <c r="I1575">
        <f>IF(Skills!AA8&lt;&gt;"",1+(Skills!AA8/10)*(U1570/1000)/100,1)</f>
        <v/>
      </c>
      <c r="J1575">
        <f>((Inputs!$B$6*(1+Inputs!$B$7/100))+(((Inputs!$B$12*(1+Inputs!$B$13/100))-(Inputs!$B$12*(1+Inputs!$B$13/100)))+0.25*(Inputs!$B$14-Inputs!$B$14))*(1+Inputs!$B$7/100))*(F1575/100)</f>
        <v/>
      </c>
      <c r="K1575">
        <f>J1575*(1+((Inputs!$B$12*(1+Inputs!$B$13/100))*0.01+Inputs!$B$14*0.0025)/100)*(1+Inputs!$B$15/100)*(1+Inputs!$B$16/100)*(5000/(6000+Inputs!$B$43*(1-Inputs!$B$19/100)))*(1+(Inputs!$B$24+((C1597=TRUE)*(F1597-Calc!F30)))/100)*(1+Skills!R8/100)*(1+(IF(Skills!A8="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1575)</f>
        <v/>
      </c>
      <c r="L1575">
        <f>K1575*(MIN(Inputs!$B$22+((C1591=TRUE)*(F1591-Calc!F24)),Inputs!$B$23)/100+Inputs!$B$23/100)/2</f>
        <v/>
      </c>
      <c r="M1575">
        <f>L1575*(1+(Inputs!$B$10+((C1593=TRUE)*(F1593-Calc!F26))+B1610)/100)</f>
        <v/>
      </c>
      <c r="N1575">
        <f>L1575*(1-MIN((Inputs!$B$9+((C1592=TRUE)*(F1592-Calc!F25))+B1607),100)/100)+M1575*(MIN((Inputs!$B$9+((C1592=TRUE)*(F1592-Calc!F25))+B1607),100)/100)</f>
        <v/>
      </c>
      <c r="O1575">
        <f>(1-Summary!$B$55)*T1575+Summary!$B$55*V1575</f>
        <v/>
      </c>
      <c r="P1575">
        <f>IF(B1611=0,0,O1575/B1611)</f>
        <v/>
      </c>
      <c r="Q1575">
        <f>IFERROR(1/IF(Inputs!$B$39="pvp",15,MAX(0.1,Skills!D8-IF(Skills!E8=TRUE,2.5,0))),0)</f>
        <v/>
      </c>
      <c r="R1575">
        <f>IF(AND(Inputs!$B$39&lt;&gt;"pvp",Inputs!$B$44&gt;0),IF(MAX(0,Inputs!$B$44-B1612)&lt;=0,0,(INT(MAX(0,Inputs!$B$44-B1612)/IF(Inputs!$B$39="pvp",15,MAX(0.1,Skills!D8-IF(Skills!E8=TRUE,2.5,0))))+1)),0)</f>
        <v/>
      </c>
      <c r="S1575">
        <f>IFERROR(O1575/N1575,0)</f>
        <v/>
      </c>
      <c r="T1575">
        <f>IF(C1575,(H1575*N1575*IF(AND(Inputs!$B$39&lt;&gt;"pvp",Inputs!$B$44&gt;0),((Skills!G8*((R1575-1)*IF(Skills!H8&gt;0,Skills!I8/Skills!H8,1)+IF(Skills!H8&gt;0,MIN(Skills!I8,MAX(0,MAX(0,Inputs!$B$44-B1612)-((R1575-1)*IF(Inputs!$B$39="pvp",15,MAX(0.1,Skills!D8-IF(Skills!E8=TRUE,2.5,0))))))/Skills!H8,1)))/Inputs!$B$44),G1575*Q1575))*IF(Inputs!$B$39="pvp",1,1+(Inputs!$B$20+((C1594=TRUE)*(F1594-Calc!F27))+Skills!P8+B1608)/100),0)</f>
        <v/>
      </c>
      <c r="V1575">
        <f>IF(C1575,(H1575*N1575*IF(AND(Inputs!$B$39&lt;&gt;"pvp",Inputs!$B$44&gt;0),((Skills!G8*((R1575-1)*IF(Skills!H8&gt;0,Skills!I8/Skills!H8,1)+IF(Skills!H8&gt;0,MIN(Skills!I8,MAX(0,MAX(0,Inputs!$B$44-B1612)-((R1575-1)*IF(Inputs!$B$39="pvp",15,MAX(0.1,Skills!D8-IF(Skills!E8=TRUE,2.5,0))))))/Skills!H8,1)))/Inputs!$B$44),G1575*Q1575))*IF(Inputs!$B$39="pvp",1,(1+(Inputs!$B$21+Skills!Q8+B1608)/100)*(MIN(Skills!W8,Inputs!$B$37))),0)</f>
        <v/>
      </c>
    </row>
    <row r="1576">
      <c r="A1576">
        <f>Skills!A9</f>
        <v/>
      </c>
      <c r="B1576">
        <f>Skills!B9</f>
        <v/>
      </c>
      <c r="C1576">
        <f>Inputs!$B$3&gt;=72</f>
        <v/>
      </c>
      <c r="D1576">
        <f>IF(Skills!C9=1,60+Inputs!$B$25+Inputs!$B$29,IF(Skills!C9=2,90+Inputs!$B$26+Inputs!$B$29,IF(Skills!C9=3,120+Inputs!$B$27+Inputs!$B$29,MAX(0,(Inputs!$B$3-100)*3)+Inputs!$B$28+Inputs!$B$29)))</f>
        <v/>
      </c>
      <c r="E1576">
        <f>INDEX(FactorTable!$B$2:$Y$301, MATCH(ROUND(MIN(300,MAX(1,D1576)),0), FactorTable!$A$2:$A$301,0), Skills!M9+1)</f>
        <v/>
      </c>
      <c r="F1576">
        <f>IF(Skills!N9=TRUE,(Skills!L9/10)*(E1576/1000),Skills!L9/10)+Skills!O9</f>
        <v/>
      </c>
      <c r="G1576">
        <f>Calc!G9</f>
        <v/>
      </c>
      <c r="H1576">
        <f>Calc!H9</f>
        <v/>
      </c>
      <c r="I1576">
        <f>IF(Skills!AA9&lt;&gt;"",1+(Skills!AA9/10)*(U1570/1000)/100,1)</f>
        <v/>
      </c>
      <c r="J1576">
        <f>((Inputs!$B$6*(1+Inputs!$B$7/100))+(((Inputs!$B$12*(1+Inputs!$B$13/100))-(Inputs!$B$12*(1+Inputs!$B$13/100)))+0.25*(Inputs!$B$14-Inputs!$B$14))*(1+Inputs!$B$7/100))*(F1576/100)</f>
        <v/>
      </c>
      <c r="K1576">
        <f>J1576*(1+((Inputs!$B$12*(1+Inputs!$B$13/100))*0.01+Inputs!$B$14*0.0025)/100)*(1+Inputs!$B$15/100)*(1+Inputs!$B$16/100)*(5000/(6000+Inputs!$B$43*(1-Inputs!$B$19/100)))*(1+(Inputs!$B$24+((C1597=TRUE)*(F1597-Calc!F30)))/100)*(1+Skills!R9/100)*(1+(IF(Skills!A9="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1576)</f>
        <v/>
      </c>
      <c r="L1576">
        <f>K1576*(MIN(Inputs!$B$22+((C1591=TRUE)*(F1591-Calc!F24)),Inputs!$B$23)/100+Inputs!$B$23/100)/2</f>
        <v/>
      </c>
      <c r="M1576">
        <f>L1576*(1+(Inputs!$B$10+((C1593=TRUE)*(F1593-Calc!F26))+B1610)/100)</f>
        <v/>
      </c>
      <c r="N1576">
        <f>L1576*(1-MIN((Inputs!$B$9+((C1592=TRUE)*(F1592-Calc!F25))+B1607),100)/100)+M1576*(MIN((Inputs!$B$9+((C1592=TRUE)*(F1592-Calc!F25))+B1607),100)/100)</f>
        <v/>
      </c>
      <c r="O1576">
        <f>(1-Summary!$B$55)*T1576+Summary!$B$55*V1576</f>
        <v/>
      </c>
      <c r="P1576">
        <f>IF(B1611=0,0,O1576/B1611)</f>
        <v/>
      </c>
      <c r="Q1576">
        <f>IFERROR(1/IF(Inputs!$B$39="pvp",15,MAX(0.1,Skills!D9-IF(Skills!E9=TRUE,2.5,0))),0)</f>
        <v/>
      </c>
      <c r="R1576">
        <f>IF(AND(Inputs!$B$39&lt;&gt;"pvp",Inputs!$B$44&gt;0),IF(MAX(0,Inputs!$B$44-B1612)&lt;=0,0,(INT(MAX(0,Inputs!$B$44-B1612)/IF(Inputs!$B$39="pvp",15,MAX(0.1,Skills!D9-IF(Skills!E9=TRUE,2.5,0))))+1)),0)</f>
        <v/>
      </c>
      <c r="S1576">
        <f>IFERROR(O1576/N1576,0)</f>
        <v/>
      </c>
      <c r="T1576">
        <f>IF(C1576,(H1576*N1576*IF(AND(Inputs!$B$39&lt;&gt;"pvp",Inputs!$B$44&gt;0),((Skills!G9*((R1576-1)*IF(Skills!H9&gt;0,Skills!I9/Skills!H9,1)+IF(Skills!H9&gt;0,MIN(Skills!I9,MAX(0,MAX(0,Inputs!$B$44-B1612)-((R1576-1)*IF(Inputs!$B$39="pvp",15,MAX(0.1,Skills!D9-IF(Skills!E9=TRUE,2.5,0))))))/Skills!H9,1)))/Inputs!$B$44),G1576*Q1576))*IF(Inputs!$B$39="pvp",1,1+(Inputs!$B$20+((C1594=TRUE)*(F1594-Calc!F27))+Skills!P9+B1608)/100),0)</f>
        <v/>
      </c>
      <c r="V1576">
        <f>IF(C1576,(H1576*N1576*IF(AND(Inputs!$B$39&lt;&gt;"pvp",Inputs!$B$44&gt;0),((Skills!G9*((R1576-1)*IF(Skills!H9&gt;0,Skills!I9/Skills!H9,1)+IF(Skills!H9&gt;0,MIN(Skills!I9,MAX(0,MAX(0,Inputs!$B$44-B1612)-((R1576-1)*IF(Inputs!$B$39="pvp",15,MAX(0.1,Skills!D9-IF(Skills!E9=TRUE,2.5,0))))))/Skills!H9,1)))/Inputs!$B$44),G1576*Q1576))*IF(Inputs!$B$39="pvp",1,(1+(Inputs!$B$21+Skills!Q9+B1608)/100)*(MIN(Skills!W9,Inputs!$B$37))),0)</f>
        <v/>
      </c>
    </row>
    <row r="1577">
      <c r="A1577">
        <f>Skills!A10</f>
        <v/>
      </c>
      <c r="B1577">
        <f>Skills!B10</f>
        <v/>
      </c>
      <c r="C1577">
        <f>Inputs!$B$3&gt;=117</f>
        <v/>
      </c>
      <c r="D1577">
        <f>IF(Skills!C10=1,60+Inputs!$B$25+Inputs!$B$29,IF(Skills!C10=2,90+Inputs!$B$26+Inputs!$B$29,IF(Skills!C10=3,120+Inputs!$B$27+Inputs!$B$29,MAX(0,(Inputs!$B$3-100)*3)+Inputs!$B$28+Inputs!$B$29)))</f>
        <v/>
      </c>
      <c r="E1577">
        <f>INDEX(FactorTable!$B$2:$Y$301, MATCH(ROUND(MIN(300,MAX(1,D1577)),0), FactorTable!$A$2:$A$301,0), Skills!M10+1)</f>
        <v/>
      </c>
      <c r="F1577">
        <f>IF(Skills!N10=TRUE,(Skills!L10/10)*(E1577/1000),Skills!L10/10)+Skills!O10</f>
        <v/>
      </c>
      <c r="G1577">
        <f>Calc!G10</f>
        <v/>
      </c>
      <c r="H1577">
        <f>Calc!H10</f>
        <v/>
      </c>
      <c r="I1577">
        <f>IF(Skills!AA10&lt;&gt;"",1+(Skills!AA10/10)*(U1570/1000)/100,1)</f>
        <v/>
      </c>
      <c r="J1577">
        <f>((Inputs!$B$6*(1+Inputs!$B$7/100))+(((Inputs!$B$12*(1+Inputs!$B$13/100))-(Inputs!$B$12*(1+Inputs!$B$13/100)))+0.25*(Inputs!$B$14-Inputs!$B$14))*(1+Inputs!$B$7/100))*(F1577/100)</f>
        <v/>
      </c>
      <c r="K1577">
        <f>J1577*(1+((Inputs!$B$12*(1+Inputs!$B$13/100))*0.01+Inputs!$B$14*0.0025)/100)*(1+Inputs!$B$15/100)*(1+Inputs!$B$16/100)*(5000/(6000+Inputs!$B$43*(1-Inputs!$B$19/100)))*(1+(Inputs!$B$24+((C1597=TRUE)*(F1597-Calc!F30)))/100)*(1+Skills!R10/100)*(1+(IF(Skills!A10="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1577)</f>
        <v/>
      </c>
      <c r="L1577">
        <f>K1577*(MIN(Inputs!$B$22+((C1591=TRUE)*(F1591-Calc!F24)),Inputs!$B$23)/100+Inputs!$B$23/100)/2</f>
        <v/>
      </c>
      <c r="M1577">
        <f>L1577*(1+(Inputs!$B$10+((C1593=TRUE)*(F1593-Calc!F26))+B1610)/100)</f>
        <v/>
      </c>
      <c r="N1577">
        <f>L1577*(1-MIN((Inputs!$B$9+((C1592=TRUE)*(F1592-Calc!F25))+B1607),100)/100)+M1577*(MIN((Inputs!$B$9+((C1592=TRUE)*(F1592-Calc!F25))+B1607),100)/100)</f>
        <v/>
      </c>
      <c r="O1577">
        <f>(1-Summary!$B$55)*T1577+Summary!$B$55*V1577</f>
        <v/>
      </c>
      <c r="P1577">
        <f>IF(B1611=0,0,O1577/B1611)</f>
        <v/>
      </c>
      <c r="Q1577" t="n">
        <v>0</v>
      </c>
      <c r="R1577" t="n">
        <v>0</v>
      </c>
      <c r="S1577" t="n">
        <v>0</v>
      </c>
      <c r="T1577">
        <f>IF(C1577,(0.2*SUMPRODUCT((Skills!Z2:Z31=TRUE)*(C1569:C1598=TRUE)*S1569:S1598)*N1577)*IF(Inputs!$B$39="pvp",1,1+(Inputs!$B$20+((C1594=TRUE)*(F1594-Calc!F27))+Skills!P10+B1608)/100),0)</f>
        <v/>
      </c>
      <c r="V1577">
        <f>IF(C1577,(0.2*SUMPRODUCT((Skills!Z2:Z31=TRUE)*(C1569:C1598=TRUE)*S1569:S1598)*N1577)*IF(Inputs!$B$39="pvp",1,(1+(Inputs!$B$21+Skills!Q10+B1608)/100)*(MIN(Skills!W10,Inputs!$B$37))),0)</f>
        <v/>
      </c>
    </row>
    <row r="1578">
      <c r="A1578">
        <f>Skills!A11</f>
        <v/>
      </c>
      <c r="B1578">
        <f>Skills!B11</f>
        <v/>
      </c>
      <c r="C1578">
        <f>Inputs!$B$3&gt;=60</f>
        <v/>
      </c>
      <c r="D1578">
        <f>IF(Skills!C11=1,60+Inputs!$B$25+Inputs!$B$29,IF(Skills!C11=2,90+Inputs!$B$26+Inputs!$B$29,IF(Skills!C11=3,120+Inputs!$B$27+Inputs!$B$29,MAX(0,(Inputs!$B$3-100)*3)+Inputs!$B$28+Inputs!$B$29)))</f>
        <v/>
      </c>
      <c r="E1578">
        <f>INDEX(FactorTable!$B$2:$Y$301, MATCH(ROUND(MIN(300,MAX(1,D1578)),0), FactorTable!$A$2:$A$301,0), Skills!M11+1)</f>
        <v/>
      </c>
      <c r="F1578">
        <f>IF(Skills!N11=TRUE,(Skills!L11/10)*(E1578/1000),Skills!L11/10)+Skills!O11</f>
        <v/>
      </c>
      <c r="G1578">
        <f>Calc!G11</f>
        <v/>
      </c>
      <c r="H1578">
        <f>Calc!H11</f>
        <v/>
      </c>
      <c r="I1578">
        <f>IF(Skills!AA11&lt;&gt;"",1+(Skills!AA11/10)*(U1570/1000)/100,1)</f>
        <v/>
      </c>
      <c r="J1578" t="inlineStr"/>
      <c r="K1578" t="inlineStr"/>
      <c r="L1578" t="inlineStr"/>
      <c r="M1578" t="inlineStr"/>
      <c r="N1578" t="inlineStr"/>
      <c r="O1578">
        <f>(1-Summary!$B$55)*T1578+Summary!$B$55*V1578</f>
        <v/>
      </c>
      <c r="P1578">
        <f>IF(B1611=0,0,O1578/B1611)</f>
        <v/>
      </c>
      <c r="Q1578" t="n">
        <v>0</v>
      </c>
      <c r="R1578" t="n">
        <v>0</v>
      </c>
      <c r="S1578">
        <f>IFERROR(O1578/N1578,0)</f>
        <v/>
      </c>
      <c r="T1578" t="n">
        <v>0</v>
      </c>
      <c r="V1578" t="n">
        <v>0</v>
      </c>
    </row>
    <row r="1579">
      <c r="A1579">
        <f>Skills!A12</f>
        <v/>
      </c>
      <c r="B1579">
        <f>Skills!B12</f>
        <v/>
      </c>
      <c r="C1579">
        <f>Inputs!$B$3&gt;=103</f>
        <v/>
      </c>
      <c r="D1579">
        <f>IF(Skills!C12=1,60+Inputs!$B$25+Inputs!$B$29,IF(Skills!C12=2,90+Inputs!$B$26+Inputs!$B$29,IF(Skills!C12=3,120+Inputs!$B$27+Inputs!$B$29,MAX(0,(Inputs!$B$3-100)*3)+Inputs!$B$28+Inputs!$B$29)))</f>
        <v/>
      </c>
      <c r="E1579">
        <f>INDEX(FactorTable!$B$2:$Y$301, MATCH(ROUND(MIN(300,MAX(1,D1579)),0), FactorTable!$A$2:$A$301,0), Skills!M12+1)</f>
        <v/>
      </c>
      <c r="F1579">
        <f>IF(Skills!N12=TRUE,(Skills!L12/10)*(E1579/1000),Skills!L12/10)+Skills!O12</f>
        <v/>
      </c>
      <c r="G1579">
        <f>Calc!G12</f>
        <v/>
      </c>
      <c r="H1579">
        <f>Calc!H12</f>
        <v/>
      </c>
      <c r="I1579">
        <f>IF(Skills!AA12&lt;&gt;"",1+(Skills!AA12/10)*(U1570/1000)/100,1)</f>
        <v/>
      </c>
      <c r="J1579">
        <f>((Inputs!$B$6*(1+Inputs!$B$7/100))+(((Inputs!$B$12*(1+Inputs!$B$13/100))-(Inputs!$B$12*(1+Inputs!$B$13/100)))+0.25*(Inputs!$B$14-Inputs!$B$14))*(1+Inputs!$B$7/100))*(F1579/100)</f>
        <v/>
      </c>
      <c r="K1579">
        <f>J1579*(1+((Inputs!$B$12*(1+Inputs!$B$13/100))*0.01+Inputs!$B$14*0.0025)/100)*(1+Inputs!$B$15/100)*(1+Inputs!$B$16/100)*(5000/(6000+Inputs!$B$43*(1-Inputs!$B$19/100)))*(1+(Inputs!$B$24+((C1597=TRUE)*(F1597-Calc!F30)))/100)*(1+Skills!R12/100)*(1+(IF(Skills!A12="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1579)</f>
        <v/>
      </c>
      <c r="L1579">
        <f>K1579*(MIN(Inputs!$B$22+((C1591=TRUE)*(F1591-Calc!F24)),Inputs!$B$23)/100+Inputs!$B$23/100)/2</f>
        <v/>
      </c>
      <c r="M1579">
        <f>L1579*(1+(Inputs!$B$10+((C1593=TRUE)*(F1593-Calc!F26))+B1610)/100)</f>
        <v/>
      </c>
      <c r="N1579">
        <f>L1579*(1-MIN((Inputs!$B$9+((C1592=TRUE)*(F1592-Calc!F25))+B1607),100)/100)+M1579*(MIN((Inputs!$B$9+((C1592=TRUE)*(F1592-Calc!F25))+B1607),100)/100)</f>
        <v/>
      </c>
      <c r="O1579">
        <f>(1-Summary!$B$55)*T1579+Summary!$B$55*V1579</f>
        <v/>
      </c>
      <c r="P1579">
        <f>IF(B1611=0,0,O1579/B1611)</f>
        <v/>
      </c>
      <c r="Q1579">
        <f>IFERROR(1/IF(Inputs!$B$39="pvp",15,MAX(0.1,Skills!D12-IF(Skills!E12=TRUE,2.5,0))),0)</f>
        <v/>
      </c>
      <c r="R1579">
        <f>IF(AND(Inputs!$B$39&lt;&gt;"pvp",Inputs!$B$44&gt;0),IF(MAX(0,Inputs!$B$44-B1612)&lt;=0,0,(INT(MAX(0,Inputs!$B$44-B1612)/IF(Inputs!$B$39="pvp",15,MAX(0.1,Skills!D12-IF(Skills!E12=TRUE,2.5,0))))+1)),0)</f>
        <v/>
      </c>
      <c r="S1579">
        <f>IFERROR(O1579/N1579,0)</f>
        <v/>
      </c>
      <c r="T1579">
        <f>IF(C1579,(H1579*N1579*IF(AND(Inputs!$B$39&lt;&gt;"pvp",Inputs!$B$44&gt;0),((Skills!G12*((R1579-1)*IF(Skills!H12&gt;0,Skills!I12/Skills!H12,1)+IF(Skills!H12&gt;0,MIN(Skills!I12,MAX(0,MAX(0,Inputs!$B$44-B1612)-((R1579-1)*IF(Inputs!$B$39="pvp",15,MAX(0.1,Skills!D12-IF(Skills!E12=TRUE,2.5,0))))))/Skills!H12,1)))/Inputs!$B$44),G1579*Q1579))*IF(Inputs!$B$39="pvp",1,1+(Inputs!$B$20+((C1594=TRUE)*(F1594-Calc!F27))+Skills!P12+B1608)/100),0)</f>
        <v/>
      </c>
      <c r="V1579">
        <f>IF(C1579,(H1579*N1579*IF(AND(Inputs!$B$39&lt;&gt;"pvp",Inputs!$B$44&gt;0),((Skills!G12*((R1579-1)*IF(Skills!H12&gt;0,Skills!I12/Skills!H12,1)+IF(Skills!H12&gt;0,MIN(Skills!I12,MAX(0,MAX(0,Inputs!$B$44-B1612)-((R1579-1)*IF(Inputs!$B$39="pvp",15,MAX(0.1,Skills!D12-IF(Skills!E12=TRUE,2.5,0))))))/Skills!H12,1)))/Inputs!$B$44),G1579*Q1579))*IF(Inputs!$B$39="pvp",1,(1+(Inputs!$B$21+Skills!Q12+B1608)/100)*(MIN(Skills!W12,Inputs!$B$37))),0)</f>
        <v/>
      </c>
    </row>
    <row r="1580">
      <c r="A1580">
        <f>Skills!A13</f>
        <v/>
      </c>
      <c r="B1580">
        <f>Skills!B13</f>
        <v/>
      </c>
      <c r="C1580">
        <f>Inputs!$B$3&gt;=105</f>
        <v/>
      </c>
      <c r="D1580">
        <f>IF(Skills!C13=1,60+Inputs!$B$25+Inputs!$B$29,IF(Skills!C13=2,90+Inputs!$B$26+Inputs!$B$29,IF(Skills!C13=3,120+Inputs!$B$27+Inputs!$B$29,MAX(0,(Inputs!$B$3-100)*3)+Inputs!$B$28+Inputs!$B$29)))</f>
        <v/>
      </c>
      <c r="E1580">
        <f>INDEX(FactorTable!$B$2:$Y$301, MATCH(ROUND(MIN(300,MAX(1,D1580)),0), FactorTable!$A$2:$A$301,0), Skills!M13+1)</f>
        <v/>
      </c>
      <c r="F1580">
        <f>IF(Skills!N13=TRUE,(Skills!L13/10)*(E1580/1000),Skills!L13/10)+Skills!O13</f>
        <v/>
      </c>
      <c r="G1580">
        <f>Calc!G13</f>
        <v/>
      </c>
      <c r="H1580">
        <f>Calc!H13</f>
        <v/>
      </c>
      <c r="I1580">
        <f>IF(Skills!AA13&lt;&gt;"",1+(Skills!AA13/10)*(U1570/1000)/100,1)</f>
        <v/>
      </c>
      <c r="J1580">
        <f>((Inputs!$B$6*(1+Inputs!$B$7/100))+(((Inputs!$B$12*(1+Inputs!$B$13/100))-(Inputs!$B$12*(1+Inputs!$B$13/100)))+0.25*(Inputs!$B$14-Inputs!$B$14))*(1+Inputs!$B$7/100))*(F1580/100)</f>
        <v/>
      </c>
      <c r="K1580">
        <f>J1580*(1+((Inputs!$B$12*(1+Inputs!$B$13/100))*0.01+Inputs!$B$14*0.0025)/100)*(1+Inputs!$B$15/100)*(1+Inputs!$B$16/100)*(5000/(6000+Inputs!$B$43*(1-Inputs!$B$19/100)))*(1+(Inputs!$B$24+((C1597=TRUE)*(F1597-Calc!F30)))/100)*(1+Skills!R13/100)*(1+(IF(Skills!A13="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1580)</f>
        <v/>
      </c>
      <c r="L1580">
        <f>K1580*(MIN(Inputs!$B$22+((C1591=TRUE)*(F1591-Calc!F24)),Inputs!$B$23)/100+Inputs!$B$23/100)/2</f>
        <v/>
      </c>
      <c r="M1580">
        <f>L1580*(1+(Inputs!$B$10+((C1593=TRUE)*(F1593-Calc!F26))+B1610)/100)</f>
        <v/>
      </c>
      <c r="N1580">
        <f>L1580*(1-MIN((Inputs!$B$9+((C1592=TRUE)*(F1592-Calc!F25))+B1607),100)/100)+M1580*(MIN((Inputs!$B$9+((C1592=TRUE)*(F1592-Calc!F25))+B1607),100)/100)</f>
        <v/>
      </c>
      <c r="O1580">
        <f>(1-Summary!$B$55)*T1580+Summary!$B$55*V1580</f>
        <v/>
      </c>
      <c r="P1580">
        <f>IF(B1611=0,0,O1580/B1611)</f>
        <v/>
      </c>
      <c r="Q1580">
        <f>IFERROR(1/IF(Inputs!$B$39="pvp",15,MAX(0.1,Skills!D13-IF(Skills!E13=TRUE,2.5,0))),0)</f>
        <v/>
      </c>
      <c r="R1580">
        <f>IF(AND(Inputs!$B$39&lt;&gt;"pvp",Inputs!$B$44&gt;0),IF(MAX(0,Inputs!$B$44-B1612)&lt;=0,0,(INT(MAX(0,Inputs!$B$44-B1612)/IF(Inputs!$B$39="pvp",15,MAX(0.1,Skills!D13-IF(Skills!E13=TRUE,2.5,0))))+1)),0)</f>
        <v/>
      </c>
      <c r="S1580">
        <f>IFERROR(O1580/N1580,0)</f>
        <v/>
      </c>
      <c r="T1580">
        <f>IF(C1580,(H1580*N1580*IF(AND(Inputs!$B$39&lt;&gt;"pvp",Inputs!$B$44&gt;0),((Skills!G13*((R1580-1)*IF(Skills!H13&gt;0,Skills!I13/Skills!H13,1)+IF(Skills!H13&gt;0,MIN(Skills!I13,MAX(0,MAX(0,Inputs!$B$44-B1612)-((R1580-1)*IF(Inputs!$B$39="pvp",15,MAX(0.1,Skills!D13-IF(Skills!E13=TRUE,2.5,0))))))/Skills!H13,1)))/Inputs!$B$44),G1580*Q1580))*IF(Inputs!$B$39="pvp",1,1+(Inputs!$B$20+((C1594=TRUE)*(F1594-Calc!F27))+Skills!P13+B1608)/100),0)</f>
        <v/>
      </c>
      <c r="V1580">
        <f>IF(C1580,(H1580*N1580*IF(AND(Inputs!$B$39&lt;&gt;"pvp",Inputs!$B$44&gt;0),((Skills!G13*((R1580-1)*IF(Skills!H13&gt;0,Skills!I13/Skills!H13,1)+IF(Skills!H13&gt;0,MIN(Skills!I13,MAX(0,MAX(0,Inputs!$B$44-B1612)-((R1580-1)*IF(Inputs!$B$39="pvp",15,MAX(0.1,Skills!D13-IF(Skills!E13=TRUE,2.5,0))))))/Skills!H13,1)))/Inputs!$B$44),G1580*Q1580))*IF(Inputs!$B$39="pvp",1,(1+(Inputs!$B$21+Skills!Q13+B1608)/100)*(MIN(Skills!W13,Inputs!$B$37))),0)</f>
        <v/>
      </c>
    </row>
    <row r="1581">
      <c r="A1581">
        <f>Skills!A14</f>
        <v/>
      </c>
      <c r="B1581">
        <f>Skills!B14</f>
        <v/>
      </c>
      <c r="C1581">
        <f>Inputs!$B$3&gt;=105</f>
        <v/>
      </c>
      <c r="D1581">
        <f>IF(Skills!C14=1,60+Inputs!$B$25+Inputs!$B$29,IF(Skills!C14=2,90+Inputs!$B$26+Inputs!$B$29,IF(Skills!C14=3,120+Inputs!$B$27+Inputs!$B$29,MAX(0,(Inputs!$B$3-100)*3)+Inputs!$B$28+Inputs!$B$29)))</f>
        <v/>
      </c>
      <c r="E1581">
        <f>INDEX(FactorTable!$B$2:$Y$301, MATCH(ROUND(MIN(300,MAX(1,D1581)),0), FactorTable!$A$2:$A$301,0), Skills!M14+1)</f>
        <v/>
      </c>
      <c r="F1581">
        <f>IF(Skills!N14=TRUE,(Skills!L14/10)*(E1581/1000),Skills!L14/10)+Skills!O14</f>
        <v/>
      </c>
      <c r="G1581">
        <f>Calc!G14</f>
        <v/>
      </c>
      <c r="H1581">
        <f>Calc!H14</f>
        <v/>
      </c>
      <c r="I1581">
        <f>IF(Skills!AA14&lt;&gt;"",1+(Skills!AA14/10)*(U1570/1000)/100,1)</f>
        <v/>
      </c>
      <c r="J1581">
        <f>((Inputs!$B$6*(1+Inputs!$B$7/100))+(((Inputs!$B$12*(1+Inputs!$B$13/100))-(Inputs!$B$12*(1+Inputs!$B$13/100)))+0.25*(Inputs!$B$14-Inputs!$B$14))*(1+Inputs!$B$7/100))*(F1581/100)</f>
        <v/>
      </c>
      <c r="K1581">
        <f>J1581*(1+((Inputs!$B$12*(1+Inputs!$B$13/100))*0.01+Inputs!$B$14*0.0025)/100)*(1+Inputs!$B$15/100)*(1+Inputs!$B$16/100)*(5000/(6000+Inputs!$B$43*(1-Inputs!$B$19/100)))*(1+(Inputs!$B$24+((C1597=TRUE)*(F1597-Calc!F30)))/100)*(1+Skills!R14/100)*(1+(IF(Skills!A14="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1581)</f>
        <v/>
      </c>
      <c r="L1581">
        <f>K1581*(MIN(Inputs!$B$22+((C1591=TRUE)*(F1591-Calc!F24)),Inputs!$B$23)/100+Inputs!$B$23/100)/2</f>
        <v/>
      </c>
      <c r="M1581">
        <f>L1581*(1+(Inputs!$B$10+((C1593=TRUE)*(F1593-Calc!F26))+B1610)/100)</f>
        <v/>
      </c>
      <c r="N1581">
        <f>L1581*(1-MIN((Inputs!$B$9+((C1592=TRUE)*(F1592-Calc!F25))+B1607),100)/100)+M1581*(MIN((Inputs!$B$9+((C1592=TRUE)*(F1592-Calc!F25))+B1607),100)/100)</f>
        <v/>
      </c>
      <c r="O1581">
        <f>(1-Summary!$B$55)*T1581+Summary!$B$55*V1581</f>
        <v/>
      </c>
      <c r="P1581">
        <f>IF(B1611=0,0,O1581/B1611)</f>
        <v/>
      </c>
      <c r="Q1581">
        <f>IFERROR(1/IF(Inputs!$B$39="pvp",15,MAX(0.1,Skills!D14-IF(Skills!E14=TRUE,2.5,0))),0)</f>
        <v/>
      </c>
      <c r="R1581">
        <f>IF(AND(Inputs!$B$39&lt;&gt;"pvp",Inputs!$B$44&gt;0),IF(MAX(0,Inputs!$B$44-B1612)&lt;=0,0,(INT(MAX(0,Inputs!$B$44-B1612)/IF(Inputs!$B$39="pvp",15,MAX(0.1,Skills!D14-IF(Skills!E14=TRUE,2.5,0))))+1)),0)</f>
        <v/>
      </c>
      <c r="S1581">
        <f>IFERROR(O1581/N1581,0)</f>
        <v/>
      </c>
      <c r="T1581">
        <f>IF(C1581,(H1581*N1581*IF(AND(Inputs!$B$39&lt;&gt;"pvp",Inputs!$B$44&gt;0),((Skills!G14*((R1581-1)*IF(Skills!H14&gt;0,Skills!I14/Skills!H14,1)+IF(Skills!H14&gt;0,MIN(Skills!I14,MAX(0,MAX(0,Inputs!$B$44-B1612)-((R1581-1)*IF(Inputs!$B$39="pvp",15,MAX(0.1,Skills!D14-IF(Skills!E14=TRUE,2.5,0))))))/Skills!H14,1)))/Inputs!$B$44),G1581*Q1581))*IF(Inputs!$B$39="pvp",1,1+(Inputs!$B$20+((C1594=TRUE)*(F1594-Calc!F27))+Skills!P14+B1608)/100),0)</f>
        <v/>
      </c>
      <c r="V1581">
        <f>IF(C1581,(H1581*N1581*IF(AND(Inputs!$B$39&lt;&gt;"pvp",Inputs!$B$44&gt;0),((Skills!G14*((R1581-1)*IF(Skills!H14&gt;0,Skills!I14/Skills!H14,1)+IF(Skills!H14&gt;0,MIN(Skills!I14,MAX(0,MAX(0,Inputs!$B$44-B1612)-((R1581-1)*IF(Inputs!$B$39="pvp",15,MAX(0.1,Skills!D14-IF(Skills!E14=TRUE,2.5,0))))))/Skills!H14,1)))/Inputs!$B$44),G1581*Q1581))*IF(Inputs!$B$39="pvp",1,(1+(Inputs!$B$21+Skills!Q14+B1608)/100)*(MIN(Skills!W14,Inputs!$B$37))),0)</f>
        <v/>
      </c>
    </row>
    <row r="1582">
      <c r="A1582">
        <f>Skills!A15</f>
        <v/>
      </c>
      <c r="B1582">
        <f>Skills!B15</f>
        <v/>
      </c>
      <c r="C1582">
        <f>Inputs!$B$3&gt;=110</f>
        <v/>
      </c>
      <c r="D1582">
        <f>IF(Skills!C15=1,60+Inputs!$B$25+Inputs!$B$29,IF(Skills!C15=2,90+Inputs!$B$26+Inputs!$B$29,IF(Skills!C15=3,120+Inputs!$B$27+Inputs!$B$29,MAX(0,(Inputs!$B$3-100)*3)+Inputs!$B$28+Inputs!$B$29)))</f>
        <v/>
      </c>
      <c r="E1582">
        <f>INDEX(FactorTable!$B$2:$Y$301, MATCH(ROUND(MIN(300,MAX(1,D1582)),0), FactorTable!$A$2:$A$301,0), Skills!M15+1)</f>
        <v/>
      </c>
      <c r="F1582">
        <f>IF(Skills!N15=TRUE,(Skills!L15/10)*(E1582/1000),Skills!L15/10)+Skills!O15</f>
        <v/>
      </c>
      <c r="G1582">
        <f>Calc!G15</f>
        <v/>
      </c>
      <c r="H1582">
        <f>Calc!H15</f>
        <v/>
      </c>
      <c r="I1582">
        <f>IF(Skills!AA15&lt;&gt;"",1+(Skills!AA15/10)*(U1570/1000)/100,1)</f>
        <v/>
      </c>
      <c r="J1582" t="inlineStr"/>
      <c r="K1582" t="inlineStr"/>
      <c r="L1582" t="inlineStr"/>
      <c r="M1582" t="inlineStr"/>
      <c r="N1582" t="inlineStr"/>
      <c r="O1582">
        <f>(1-Summary!$B$55)*T1582+Summary!$B$55*V1582</f>
        <v/>
      </c>
      <c r="P1582">
        <f>IF(B1611=0,0,O1582/B1611)</f>
        <v/>
      </c>
      <c r="Q1582">
        <f>IFERROR(1/IF(Inputs!$B$39="pvp",15,MAX(0.1,Skills!D15-IF(Skills!E15=TRUE,2.5,0))),0)</f>
        <v/>
      </c>
      <c r="R1582">
        <f>IF(AND(Inputs!$B$39&lt;&gt;"pvp",Inputs!$B$44&gt;0),IF(Inputs!$B$44&lt;=0,0,(INT(Inputs!$B$44/IF(Inputs!$B$39="pvp",15,MAX(0.1,Skills!D15-IF(Skills!E15=TRUE,2.5,0))))+1)),0)</f>
        <v/>
      </c>
      <c r="S1582">
        <f>IFERROR(O1582/N1582,0)</f>
        <v/>
      </c>
      <c r="T1582" t="n">
        <v>0</v>
      </c>
      <c r="V1582" t="n">
        <v>0</v>
      </c>
    </row>
    <row r="1583">
      <c r="A1583">
        <f>Skills!A16</f>
        <v/>
      </c>
      <c r="B1583">
        <f>Skills!B16</f>
        <v/>
      </c>
      <c r="C1583">
        <f>Inputs!$B$3&gt;=110</f>
        <v/>
      </c>
      <c r="D1583">
        <f>IF(Skills!C16=1,60+Inputs!$B$25+Inputs!$B$29,IF(Skills!C16=2,90+Inputs!$B$26+Inputs!$B$29,IF(Skills!C16=3,120+Inputs!$B$27+Inputs!$B$29,MAX(0,(Inputs!$B$3-100)*3)+Inputs!$B$28+Inputs!$B$29)))</f>
        <v/>
      </c>
      <c r="E1583">
        <f>INDEX(FactorTable!$B$2:$Y$301, MATCH(ROUND(MIN(300,MAX(1,D1583)),0), FactorTable!$A$2:$A$301,0), Skills!M16+1)</f>
        <v/>
      </c>
      <c r="F1583">
        <f>IF(Skills!N16=TRUE,(Skills!L16/10)*(E1583/1000),Skills!L16/10)+Skills!O16</f>
        <v/>
      </c>
      <c r="G1583">
        <f>Calc!G16</f>
        <v/>
      </c>
      <c r="H1583">
        <f>Calc!H16</f>
        <v/>
      </c>
      <c r="I1583">
        <f>IF(Skills!AA16&lt;&gt;"",1+(Skills!AA16/10)*(U1570/1000)/100,1)</f>
        <v/>
      </c>
      <c r="J1583" t="inlineStr"/>
      <c r="K1583" t="inlineStr"/>
      <c r="L1583" t="inlineStr"/>
      <c r="M1583" t="inlineStr"/>
      <c r="N1583" t="inlineStr"/>
      <c r="O1583">
        <f>(1-Summary!$B$55)*T1583+Summary!$B$55*V1583</f>
        <v/>
      </c>
      <c r="P1583">
        <f>IF(B1611=0,0,O1583/B1611)</f>
        <v/>
      </c>
      <c r="Q1583">
        <f>IFERROR(1/IF(Inputs!$B$39="pvp",15,MAX(0.1,Skills!D16-IF(Skills!E16=TRUE,2.5,0))),0)</f>
        <v/>
      </c>
      <c r="R1583">
        <f>IF(AND(Inputs!$B$39&lt;&gt;"pvp",Inputs!$B$44&gt;0),IF(Inputs!$B$44&lt;=0,0,(INT(Inputs!$B$44/IF(Inputs!$B$39="pvp",15,MAX(0.1,Skills!D16-IF(Skills!E16=TRUE,2.5,0))))+1)),0)</f>
        <v/>
      </c>
      <c r="S1583">
        <f>IFERROR(O1583/N1583,0)</f>
        <v/>
      </c>
      <c r="T1583" t="n">
        <v>0</v>
      </c>
      <c r="V1583" t="n">
        <v>0</v>
      </c>
    </row>
    <row r="1584">
      <c r="A1584">
        <f>Skills!A17</f>
        <v/>
      </c>
      <c r="B1584">
        <f>Skills!B17</f>
        <v/>
      </c>
      <c r="C1584">
        <f>Inputs!$B$3&gt;=115</f>
        <v/>
      </c>
      <c r="D1584">
        <f>IF(Skills!C17=1,60+Inputs!$B$25+Inputs!$B$29,IF(Skills!C17=2,90+Inputs!$B$26+Inputs!$B$29,IF(Skills!C17=3,120+Inputs!$B$27+Inputs!$B$29,MAX(0,(Inputs!$B$3-100)*3)+Inputs!$B$28+Inputs!$B$29)))</f>
        <v/>
      </c>
      <c r="E1584">
        <f>INDEX(FactorTable!$B$2:$Y$301, MATCH(ROUND(MIN(300,MAX(1,D1584)),0), FactorTable!$A$2:$A$301,0), Skills!M17+1)</f>
        <v/>
      </c>
      <c r="F1584">
        <f>IF(Skills!N17=TRUE,(Skills!L17/10)*(E1584/1000),Skills!L17/10)+Skills!O17</f>
        <v/>
      </c>
      <c r="G1584">
        <f>Calc!G17</f>
        <v/>
      </c>
      <c r="H1584">
        <f>Calc!H17</f>
        <v/>
      </c>
      <c r="I1584">
        <f>IF(Skills!AA17&lt;&gt;"",1+(Skills!AA17/10)*(U1570/1000)/100,1)</f>
        <v/>
      </c>
      <c r="J1584">
        <f>((Inputs!$B$6*(1+Inputs!$B$7/100))+(((Inputs!$B$12*(1+Inputs!$B$13/100))-(Inputs!$B$12*(1+Inputs!$B$13/100)))+0.25*(Inputs!$B$14-Inputs!$B$14))*(1+Inputs!$B$7/100))*(F1584/100)</f>
        <v/>
      </c>
      <c r="K1584">
        <f>J1584*(1+((Inputs!$B$12*(1+Inputs!$B$13/100))*0.01+Inputs!$B$14*0.0025)/100)*(1+Inputs!$B$15/100)*(1+Inputs!$B$16/100)*(5000/(6000+Inputs!$B$43*(1-Inputs!$B$19/100)))*(1+(Inputs!$B$24+((C1597=TRUE)*(F1597-Calc!F30)))/100)*(1+Skills!R17/100)*(1+(IF(Skills!A17="SHOWDOWN",Inputs!$B$17+((C1590=TRUE)*(F1590-Calc!F23)),Inputs!$B$18+((C1596=TRUE)*(F1596-Calc!F29))))/100)*(((1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B1609*I1584)</f>
        <v/>
      </c>
      <c r="L1584">
        <f>K1584*(MIN(Inputs!$B$22+((C1591=TRUE)*(F1591-Calc!F24)),Inputs!$B$23)/100+Inputs!$B$23/100)/2</f>
        <v/>
      </c>
      <c r="M1584">
        <f>L1584*(1+(Inputs!$B$10+((C1593=TRUE)*(F1593-Calc!F26))+B1610)/100)</f>
        <v/>
      </c>
      <c r="N1584">
        <f>L1584*(1-MIN((Inputs!$B$9+((C1592=TRUE)*(F1592-Calc!F25))+B1607),100)/100)+M1584*(MIN((Inputs!$B$9+((C1592=TRUE)*(F1592-Calc!F25))+B1607),100)/100)</f>
        <v/>
      </c>
      <c r="O1584">
        <f>(1-Summary!$B$55)*T1584+Summary!$B$55*V1584</f>
        <v/>
      </c>
      <c r="P1584">
        <f>IF(B1611=0,0,O1584/B1611)</f>
        <v/>
      </c>
      <c r="Q1584" t="n">
        <v>0</v>
      </c>
      <c r="R1584" t="n">
        <v>0</v>
      </c>
      <c r="S1584">
        <f>IFERROR(O1584/N1584,0)</f>
        <v/>
      </c>
      <c r="T1584">
        <f>IF(C1584,(Inputs!$B$38*0.2*N1584)*IF(Inputs!$B$39="pvp",1,1+(Inputs!$B$20+((C1594=TRUE)*(F1594-Calc!F27))+Skills!P17+B1608)/100),0)</f>
        <v/>
      </c>
      <c r="V1584">
        <f>IF(C1584,(Inputs!$B$38*0.2*N1584)*IF(Inputs!$B$39="pvp",1,(1+(Inputs!$B$21+Skills!Q17+B1608)/100)*(MIN(Skills!W17,Inputs!$B$37))),0)</f>
        <v/>
      </c>
    </row>
    <row r="1585">
      <c r="A1585">
        <f>Skills!A18</f>
        <v/>
      </c>
      <c r="B1585">
        <f>Skills!B18</f>
        <v/>
      </c>
      <c r="C1585">
        <f>Inputs!$B$3&gt;=115</f>
        <v/>
      </c>
      <c r="D1585">
        <f>IF(Skills!C18=1,60+Inputs!$B$25+Inputs!$B$29,IF(Skills!C18=2,90+Inputs!$B$26+Inputs!$B$29,IF(Skills!C18=3,120+Inputs!$B$27+Inputs!$B$29,MAX(0,(Inputs!$B$3-100)*3)+Inputs!$B$28+Inputs!$B$29)))</f>
        <v/>
      </c>
      <c r="E1585">
        <f>INDEX(FactorTable!$B$2:$Y$301, MATCH(ROUND(MIN(300,MAX(1,D1585)),0), FactorTable!$A$2:$A$301,0), Skills!M18+1)</f>
        <v/>
      </c>
      <c r="F1585">
        <f>IF(Skills!N18=TRUE,(Skills!L18/10)*(E1585/1000),Skills!L18/10)+Skills!O18</f>
        <v/>
      </c>
      <c r="G1585">
        <f>Calc!G18</f>
        <v/>
      </c>
      <c r="H1585">
        <f>Calc!H18</f>
        <v/>
      </c>
      <c r="I1585">
        <f>IF(Skills!AA18&lt;&gt;"",1+(Skills!AA18/10)*(U1570/1000)/100,1)</f>
        <v/>
      </c>
      <c r="J1585" t="inlineStr"/>
      <c r="K1585" t="inlineStr"/>
      <c r="L1585" t="inlineStr"/>
      <c r="M1585" t="inlineStr"/>
      <c r="N1585" t="inlineStr"/>
      <c r="O1585">
        <f>(1-Summary!$B$55)*T1585+Summary!$B$55*V1585</f>
        <v/>
      </c>
      <c r="P1585">
        <f>IF(B1611=0,0,O1585/B1611)</f>
        <v/>
      </c>
      <c r="Q1585" t="n">
        <v>0</v>
      </c>
      <c r="R1585" t="n">
        <v>0</v>
      </c>
      <c r="S1585">
        <f>IFERROR(O1585/N1585,0)</f>
        <v/>
      </c>
      <c r="T1585" t="n">
        <v>0</v>
      </c>
      <c r="V1585" t="n">
        <v>0</v>
      </c>
    </row>
    <row r="1586">
      <c r="A1586">
        <f>Skills!A19</f>
        <v/>
      </c>
      <c r="B1586">
        <f>Skills!B19</f>
        <v/>
      </c>
      <c r="C1586">
        <f>TRUE</f>
        <v/>
      </c>
      <c r="D1586">
        <f>IF(Skills!C19=1,60+Inputs!$B$25+Inputs!$B$29,IF(Skills!C19=2,90+Inputs!$B$26+Inputs!$B$29,IF(Skills!C19=3,120+Inputs!$B$27+Inputs!$B$29,MAX(0,(Inputs!$B$3-100)*3)+Inputs!$B$28+Inputs!$B$29)))</f>
        <v/>
      </c>
      <c r="E1586">
        <f>INDEX(FactorTable!$B$2:$Y$301, MATCH(ROUND(MIN(300,MAX(1,D1586)),0), FactorTable!$A$2:$A$301,0), Skills!M19+1)</f>
        <v/>
      </c>
      <c r="F1586">
        <f>IF(Skills!N19=TRUE,(Skills!L19/10)*(E1586/1000),Skills!L19/10)+Skills!O19</f>
        <v/>
      </c>
      <c r="G1586">
        <f>Calc!G19</f>
        <v/>
      </c>
      <c r="H1586">
        <f>Calc!H19</f>
        <v/>
      </c>
      <c r="I1586">
        <f>IF(Skills!AA19&lt;&gt;"",1+(Skills!AA19/10)*(U1570/1000)/100,1)</f>
        <v/>
      </c>
      <c r="J1586" t="inlineStr"/>
      <c r="K1586" t="inlineStr"/>
      <c r="L1586" t="inlineStr"/>
      <c r="M1586" t="inlineStr"/>
      <c r="N1586" t="inlineStr"/>
      <c r="O1586">
        <f>(1-Summary!$B$55)*T1586+Summary!$B$55*V1586</f>
        <v/>
      </c>
      <c r="P1586">
        <f>IF(B1611=0,0,O1586/B1611)</f>
        <v/>
      </c>
      <c r="Q1586">
        <f>IFERROR(1/IF(Inputs!$B$39="pvp",15,MAX(0.1,Skills!D19-IF(Skills!E19=TRUE,2.5,0))),0)</f>
        <v/>
      </c>
      <c r="R1586">
        <f>IF(AND(Inputs!$B$39&lt;&gt;"pvp",Inputs!$B$44&gt;0),IF(Inputs!$B$44&lt;=0,0,(INT(Inputs!$B$44/IF(Inputs!$B$39="pvp",15,MAX(0.1,Skills!D19-IF(Skills!E19=TRUE,2.5,0))))+1)),0)</f>
        <v/>
      </c>
      <c r="S1586">
        <f>IFERROR(O1586/N1586,0)</f>
        <v/>
      </c>
      <c r="T1586" t="n">
        <v>0</v>
      </c>
      <c r="V1586" t="n">
        <v>0</v>
      </c>
    </row>
    <row r="1587">
      <c r="A1587">
        <f>Skills!A20</f>
        <v/>
      </c>
      <c r="B1587">
        <f>Skills!B20</f>
        <v/>
      </c>
      <c r="C1587">
        <f>Inputs!$B$3&gt;=15</f>
        <v/>
      </c>
      <c r="D1587">
        <f>IF(Skills!C20=1,60+Inputs!$B$25+Inputs!$B$29,IF(Skills!C20=2,90+Inputs!$B$26+Inputs!$B$29,IF(Skills!C20=3,120+Inputs!$B$27+Inputs!$B$29,MAX(0,(Inputs!$B$3-100)*3)+Inputs!$B$28+Inputs!$B$29)))</f>
        <v/>
      </c>
      <c r="E1587">
        <f>INDEX(FactorTable!$B$2:$Y$301, MATCH(ROUND(MIN(300,MAX(1,D1587)),0), FactorTable!$A$2:$A$301,0), Skills!M20+1)</f>
        <v/>
      </c>
      <c r="F1587">
        <f>IF(Skills!N20=TRUE,(Skills!L20/10)*(E1587/1000),Skills!L20/10)+Skills!O20</f>
        <v/>
      </c>
      <c r="G1587">
        <f>Calc!G20</f>
        <v/>
      </c>
      <c r="H1587">
        <f>Calc!H20</f>
        <v/>
      </c>
      <c r="I1587">
        <f>IF(Skills!AA20&lt;&gt;"",1+(Skills!AA20/10)*(U1570/1000)/100,1)</f>
        <v/>
      </c>
      <c r="J1587" t="inlineStr"/>
      <c r="K1587" t="inlineStr"/>
      <c r="L1587" t="inlineStr"/>
      <c r="M1587" t="inlineStr"/>
      <c r="N1587" t="inlineStr"/>
      <c r="O1587">
        <f>(1-Summary!$B$55)*T1587+Summary!$B$55*V1587</f>
        <v/>
      </c>
      <c r="P1587">
        <f>IF(B1611=0,0,O1587/B1611)</f>
        <v/>
      </c>
      <c r="Q1587">
        <f>IFERROR(1/IF(Inputs!$B$39="pvp",15,MAX(0.1,Skills!D20-IF(Skills!E20=TRUE,2.5,0))),0)</f>
        <v/>
      </c>
      <c r="R1587">
        <f>IF(AND(Inputs!$B$39&lt;&gt;"pvp",Inputs!$B$44&gt;0),IF(Inputs!$B$44&lt;=0,0,(INT(Inputs!$B$44/IF(Inputs!$B$39="pvp",15,MAX(0.1,Skills!D20-IF(Skills!E20=TRUE,2.5,0))))+1)),0)</f>
        <v/>
      </c>
      <c r="S1587">
        <f>IFERROR(O1587/N1587,0)</f>
        <v/>
      </c>
      <c r="T1587" t="n">
        <v>0</v>
      </c>
      <c r="V1587" t="n">
        <v>0</v>
      </c>
    </row>
    <row r="1588">
      <c r="A1588">
        <f>Skills!A21</f>
        <v/>
      </c>
      <c r="B1588">
        <f>Skills!B21</f>
        <v/>
      </c>
      <c r="C1588">
        <f>Inputs!$B$3&gt;=15</f>
        <v/>
      </c>
      <c r="D1588">
        <f>IF(Skills!C21=1,60+Inputs!$B$25+Inputs!$B$29,IF(Skills!C21=2,90+Inputs!$B$26+Inputs!$B$29,IF(Skills!C21=3,120+Inputs!$B$27+Inputs!$B$29,MAX(0,(Inputs!$B$3-100)*3)+Inputs!$B$28+Inputs!$B$29)))</f>
        <v/>
      </c>
      <c r="E1588">
        <f>INDEX(FactorTable!$B$2:$Y$301, MATCH(ROUND(MIN(300,MAX(1,D1588)),0), FactorTable!$A$2:$A$301,0), Skills!M21+1)</f>
        <v/>
      </c>
      <c r="F1588">
        <f>IF(Skills!N21=TRUE,(Skills!L21/10)*(E1588/1000),Skills!L21/10)+Skills!O21</f>
        <v/>
      </c>
      <c r="G1588">
        <f>Calc!G21</f>
        <v/>
      </c>
      <c r="H1588">
        <f>Calc!H21</f>
        <v/>
      </c>
      <c r="I1588">
        <f>IF(Skills!AA21&lt;&gt;"",1+(Skills!AA21/10)*(U1570/1000)/100,1)</f>
        <v/>
      </c>
      <c r="J1588" t="inlineStr"/>
      <c r="K1588" t="inlineStr"/>
      <c r="L1588" t="inlineStr"/>
      <c r="M1588" t="inlineStr"/>
      <c r="N1588" t="inlineStr"/>
      <c r="O1588">
        <f>(1-Summary!$B$55)*T1588+Summary!$B$55*V1588</f>
        <v/>
      </c>
      <c r="P1588">
        <f>IF(B1611=0,0,O1588/B1611)</f>
        <v/>
      </c>
      <c r="Q1588">
        <f>IFERROR(1/IF(Inputs!$B$39="pvp",15,MAX(0.1,Skills!D21-IF(Skills!E21=TRUE,2.5,0))),0)</f>
        <v/>
      </c>
      <c r="R1588">
        <f>IF(AND(Inputs!$B$39&lt;&gt;"pvp",Inputs!$B$44&gt;0),IF(Inputs!$B$44&lt;=0,0,(INT(Inputs!$B$44/IF(Inputs!$B$39="pvp",15,MAX(0.1,Skills!D21-IF(Skills!E21=TRUE,2.5,0))))+1)),0)</f>
        <v/>
      </c>
      <c r="S1588">
        <f>IFERROR(O1588/N1588,0)</f>
        <v/>
      </c>
      <c r="T1588" t="n">
        <v>0</v>
      </c>
      <c r="V1588" t="n">
        <v>0</v>
      </c>
    </row>
    <row r="1589">
      <c r="A1589">
        <f>Skills!A22</f>
        <v/>
      </c>
      <c r="B1589">
        <f>Skills!B22</f>
        <v/>
      </c>
      <c r="C1589">
        <f>Inputs!$B$3&gt;=33</f>
        <v/>
      </c>
      <c r="D1589">
        <f>IF(Skills!C22=1,60+Inputs!$B$25+Inputs!$B$29,IF(Skills!C22=2,90+Inputs!$B$26+Inputs!$B$29,IF(Skills!C22=3,120+Inputs!$B$27+Inputs!$B$29,MAX(0,(Inputs!$B$3-100)*3)+Inputs!$B$28+Inputs!$B$29)))</f>
        <v/>
      </c>
      <c r="E1589">
        <f>INDEX(FactorTable!$B$2:$Y$301, MATCH(ROUND(MIN(300,MAX(1,D1589)),0), FactorTable!$A$2:$A$301,0), Skills!M22+1)</f>
        <v/>
      </c>
      <c r="F1589">
        <f>IF(Skills!N22=TRUE,(Skills!L22/10)*(E1589/1000),Skills!L22/10)+Skills!O22</f>
        <v/>
      </c>
      <c r="G1589">
        <f>Calc!G22</f>
        <v/>
      </c>
      <c r="H1589">
        <f>Calc!H22</f>
        <v/>
      </c>
      <c r="I1589">
        <f>IF(Skills!AA22&lt;&gt;"",1+(Skills!AA22/10)*(U1570/1000)/100,1)</f>
        <v/>
      </c>
      <c r="J1589" t="inlineStr"/>
      <c r="K1589" t="inlineStr"/>
      <c r="L1589" t="inlineStr"/>
      <c r="M1589" t="inlineStr"/>
      <c r="N1589" t="inlineStr"/>
      <c r="O1589">
        <f>(1-Summary!$B$55)*T1589+Summary!$B$55*V1589</f>
        <v/>
      </c>
      <c r="P1589">
        <f>IF(B1611=0,0,O1589/B1611)</f>
        <v/>
      </c>
      <c r="Q1589" t="n">
        <v>0</v>
      </c>
      <c r="R1589" t="n">
        <v>0</v>
      </c>
      <c r="S1589">
        <f>IFERROR(O1589/N1589,0)</f>
        <v/>
      </c>
      <c r="T1589" t="n">
        <v>0</v>
      </c>
      <c r="V1589" t="n">
        <v>0</v>
      </c>
    </row>
    <row r="1590">
      <c r="A1590">
        <f>Skills!A23</f>
        <v/>
      </c>
      <c r="B1590">
        <f>Skills!B23</f>
        <v/>
      </c>
      <c r="C1590">
        <f>Inputs!$B$3&gt;=38</f>
        <v/>
      </c>
      <c r="D1590">
        <f>IF(Skills!C23=1,60+Inputs!$B$25+Inputs!$B$29,IF(Skills!C23=2,90+Inputs!$B$26+Inputs!$B$29,IF(Skills!C23=3,120+Inputs!$B$27+Inputs!$B$29,MAX(0,(Inputs!$B$3-100)*3)+Inputs!$B$28+Inputs!$B$29)))</f>
        <v/>
      </c>
      <c r="E1590">
        <f>INDEX(FactorTable!$B$2:$Y$301, MATCH(ROUND(MIN(300,MAX(1,D1590)),0), FactorTable!$A$2:$A$301,0), Skills!M23+1)</f>
        <v/>
      </c>
      <c r="F1590">
        <f>IF(Skills!N23=TRUE,(Skills!L23/10)*(E1590/1000),Skills!L23/10)+Skills!O23</f>
        <v/>
      </c>
      <c r="G1590">
        <f>Calc!G23</f>
        <v/>
      </c>
      <c r="H1590">
        <f>Calc!H23</f>
        <v/>
      </c>
      <c r="I1590">
        <f>IF(Skills!AA23&lt;&gt;"",1+(Skills!AA23/10)*(U1570/1000)/100,1)</f>
        <v/>
      </c>
      <c r="J1590" t="inlineStr"/>
      <c r="K1590" t="inlineStr"/>
      <c r="L1590" t="inlineStr"/>
      <c r="M1590" t="inlineStr"/>
      <c r="N1590" t="inlineStr"/>
      <c r="O1590">
        <f>(1-Summary!$B$55)*T1590+Summary!$B$55*V1590</f>
        <v/>
      </c>
      <c r="P1590">
        <f>IF(B1611=0,0,O1590/B1611)</f>
        <v/>
      </c>
      <c r="Q1590" t="n">
        <v>0</v>
      </c>
      <c r="R1590" t="n">
        <v>0</v>
      </c>
      <c r="S1590">
        <f>IFERROR(O1590/N1590,0)</f>
        <v/>
      </c>
      <c r="T1590" t="n">
        <v>0</v>
      </c>
      <c r="V1590" t="n">
        <v>0</v>
      </c>
    </row>
    <row r="1591">
      <c r="A1591">
        <f>Skills!A24</f>
        <v/>
      </c>
      <c r="B1591">
        <f>Skills!B24</f>
        <v/>
      </c>
      <c r="C1591">
        <f>Inputs!$B$3&gt;=40</f>
        <v/>
      </c>
      <c r="D1591">
        <f>IF(Skills!C24=1,60+Inputs!$B$25+Inputs!$B$29,IF(Skills!C24=2,90+Inputs!$B$26+Inputs!$B$29,IF(Skills!C24=3,120+Inputs!$B$27+Inputs!$B$29,MAX(0,(Inputs!$B$3-100)*3)+Inputs!$B$28+Inputs!$B$29)))</f>
        <v/>
      </c>
      <c r="E1591">
        <f>INDEX(FactorTable!$B$2:$Y$301, MATCH(ROUND(MIN(300,MAX(1,D1591)),0), FactorTable!$A$2:$A$301,0), Skills!M24+1)</f>
        <v/>
      </c>
      <c r="F1591">
        <f>IF(Skills!N24=TRUE,(Skills!L24/10)*(E1591/1000),Skills!L24/10)+Skills!O24</f>
        <v/>
      </c>
      <c r="G1591">
        <f>Calc!G24</f>
        <v/>
      </c>
      <c r="H1591">
        <f>Calc!H24</f>
        <v/>
      </c>
      <c r="I1591">
        <f>IF(Skills!AA24&lt;&gt;"",1+(Skills!AA24/10)*(U1570/1000)/100,1)</f>
        <v/>
      </c>
      <c r="J1591" t="inlineStr"/>
      <c r="K1591" t="inlineStr"/>
      <c r="L1591" t="inlineStr"/>
      <c r="M1591" t="inlineStr"/>
      <c r="N1591" t="inlineStr"/>
      <c r="O1591">
        <f>(1-Summary!$B$55)*T1591+Summary!$B$55*V1591</f>
        <v/>
      </c>
      <c r="P1591">
        <f>IF(B1611=0,0,O1591/B1611)</f>
        <v/>
      </c>
      <c r="Q1591" t="n">
        <v>0</v>
      </c>
      <c r="R1591" t="n">
        <v>0</v>
      </c>
      <c r="S1591">
        <f>IFERROR(O1591/N1591,0)</f>
        <v/>
      </c>
      <c r="T1591" t="n">
        <v>0</v>
      </c>
      <c r="V1591" t="n">
        <v>0</v>
      </c>
    </row>
    <row r="1592">
      <c r="A1592">
        <f>Skills!A25</f>
        <v/>
      </c>
      <c r="B1592">
        <f>Skills!B25</f>
        <v/>
      </c>
      <c r="C1592">
        <f>Inputs!$B$3&gt;=45</f>
        <v/>
      </c>
      <c r="D1592">
        <f>IF(Skills!C25=1,60+Inputs!$B$25+Inputs!$B$29,IF(Skills!C25=2,90+Inputs!$B$26+Inputs!$B$29,IF(Skills!C25=3,120+Inputs!$B$27+Inputs!$B$29,MAX(0,(Inputs!$B$3-100)*3)+Inputs!$B$28+Inputs!$B$29)))</f>
        <v/>
      </c>
      <c r="E1592">
        <f>INDEX(FactorTable!$B$2:$Y$301, MATCH(ROUND(MIN(300,MAX(1,D1592)),0), FactorTable!$A$2:$A$301,0), Skills!M25+1)</f>
        <v/>
      </c>
      <c r="F1592">
        <f>IF(Skills!N25=TRUE,(Skills!L25/10)*(E1592/1000),Skills!L25/10)+Skills!O25</f>
        <v/>
      </c>
      <c r="G1592">
        <f>Calc!G25</f>
        <v/>
      </c>
      <c r="H1592">
        <f>Calc!H25</f>
        <v/>
      </c>
      <c r="I1592">
        <f>IF(Skills!AA25&lt;&gt;"",1+(Skills!AA25/10)*(U1570/1000)/100,1)</f>
        <v/>
      </c>
      <c r="J1592" t="inlineStr"/>
      <c r="K1592" t="inlineStr"/>
      <c r="L1592" t="inlineStr"/>
      <c r="M1592" t="inlineStr"/>
      <c r="N1592" t="inlineStr"/>
      <c r="O1592">
        <f>(1-Summary!$B$55)*T1592+Summary!$B$55*V1592</f>
        <v/>
      </c>
      <c r="P1592">
        <f>IF(B1611=0,0,O1592/B1611)</f>
        <v/>
      </c>
      <c r="Q1592" t="n">
        <v>0</v>
      </c>
      <c r="R1592" t="n">
        <v>0</v>
      </c>
      <c r="S1592">
        <f>IFERROR(O1592/N1592,0)</f>
        <v/>
      </c>
      <c r="T1592" t="n">
        <v>0</v>
      </c>
      <c r="V1592" t="n">
        <v>0</v>
      </c>
    </row>
    <row r="1593">
      <c r="A1593">
        <f>Skills!A26</f>
        <v/>
      </c>
      <c r="B1593">
        <f>Skills!B26</f>
        <v/>
      </c>
      <c r="C1593">
        <f>Inputs!$B$3&gt;=45</f>
        <v/>
      </c>
      <c r="D1593">
        <f>IF(Skills!C26=1,60+Inputs!$B$25+Inputs!$B$29,IF(Skills!C26=2,90+Inputs!$B$26+Inputs!$B$29,IF(Skills!C26=3,120+Inputs!$B$27+Inputs!$B$29,MAX(0,(Inputs!$B$3-100)*3)+Inputs!$B$28+Inputs!$B$29)))</f>
        <v/>
      </c>
      <c r="E1593">
        <f>INDEX(FactorTable!$B$2:$Y$301, MATCH(ROUND(MIN(300,MAX(1,D1593)),0), FactorTable!$A$2:$A$301,0), Skills!M26+1)</f>
        <v/>
      </c>
      <c r="F1593">
        <f>IF(Skills!N26=TRUE,(Skills!L26/10)*(E1593/1000),Skills!L26/10)+Skills!O26</f>
        <v/>
      </c>
      <c r="G1593">
        <f>Calc!G26</f>
        <v/>
      </c>
      <c r="H1593">
        <f>Calc!H26</f>
        <v/>
      </c>
      <c r="I1593">
        <f>IF(Skills!AA26&lt;&gt;"",1+(Skills!AA26/10)*(U1570/1000)/100,1)</f>
        <v/>
      </c>
      <c r="J1593" t="inlineStr"/>
      <c r="K1593" t="inlineStr"/>
      <c r="L1593" t="inlineStr"/>
      <c r="M1593" t="inlineStr"/>
      <c r="N1593" t="inlineStr"/>
      <c r="O1593">
        <f>(1-Summary!$B$55)*T1593+Summary!$B$55*V1593</f>
        <v/>
      </c>
      <c r="P1593">
        <f>IF(B1611=0,0,O1593/B1611)</f>
        <v/>
      </c>
      <c r="Q1593" t="n">
        <v>0</v>
      </c>
      <c r="R1593" t="n">
        <v>0</v>
      </c>
      <c r="S1593">
        <f>IFERROR(O1593/N1593,0)</f>
        <v/>
      </c>
      <c r="T1593" t="n">
        <v>0</v>
      </c>
      <c r="V1593" t="n">
        <v>0</v>
      </c>
    </row>
    <row r="1594">
      <c r="A1594">
        <f>Skills!A27</f>
        <v/>
      </c>
      <c r="B1594">
        <f>Skills!B27</f>
        <v/>
      </c>
      <c r="C1594">
        <f>Inputs!$B$3&gt;=72</f>
        <v/>
      </c>
      <c r="D1594">
        <f>IF(Skills!C27=1,60+Inputs!$B$25+Inputs!$B$29,IF(Skills!C27=2,90+Inputs!$B$26+Inputs!$B$29,IF(Skills!C27=3,120+Inputs!$B$27+Inputs!$B$29,MAX(0,(Inputs!$B$3-100)*3)+Inputs!$B$28+Inputs!$B$29)))</f>
        <v/>
      </c>
      <c r="E1594">
        <f>INDEX(FactorTable!$B$2:$Y$301, MATCH(ROUND(MIN(300,MAX(1,D1594)),0), FactorTable!$A$2:$A$301,0), Skills!M27+1)</f>
        <v/>
      </c>
      <c r="F1594">
        <f>IF(Skills!N27=TRUE,(Skills!L27/10)*(E1594/1000),Skills!L27/10)+Skills!O27</f>
        <v/>
      </c>
      <c r="G1594">
        <f>Calc!G27</f>
        <v/>
      </c>
      <c r="H1594">
        <f>Calc!H27</f>
        <v/>
      </c>
      <c r="I1594">
        <f>IF(Skills!AA27&lt;&gt;"",1+(Skills!AA27/10)*(U1570/1000)/100,1)</f>
        <v/>
      </c>
      <c r="J1594" t="inlineStr"/>
      <c r="K1594" t="inlineStr"/>
      <c r="L1594" t="inlineStr"/>
      <c r="M1594" t="inlineStr"/>
      <c r="N1594" t="inlineStr"/>
      <c r="O1594">
        <f>(1-Summary!$B$55)*T1594+Summary!$B$55*V1594</f>
        <v/>
      </c>
      <c r="P1594">
        <f>IF(B1611=0,0,O1594/B1611)</f>
        <v/>
      </c>
      <c r="Q1594" t="n">
        <v>0</v>
      </c>
      <c r="R1594" t="n">
        <v>0</v>
      </c>
      <c r="S1594">
        <f>IFERROR(O1594/N1594,0)</f>
        <v/>
      </c>
      <c r="T1594" t="n">
        <v>0</v>
      </c>
      <c r="V1594" t="n">
        <v>0</v>
      </c>
    </row>
    <row r="1595">
      <c r="A1595">
        <f>Skills!A28</f>
        <v/>
      </c>
      <c r="B1595">
        <f>Skills!B28</f>
        <v/>
      </c>
      <c r="C1595">
        <f>Inputs!$B$3&gt;=75</f>
        <v/>
      </c>
      <c r="D1595">
        <f>IF(Skills!C28=1,60+Inputs!$B$25+Inputs!$B$29,IF(Skills!C28=2,90+Inputs!$B$26+Inputs!$B$29,IF(Skills!C28=3,120+Inputs!$B$27+Inputs!$B$29,MAX(0,(Inputs!$B$3-100)*3)+Inputs!$B$28+Inputs!$B$29)))</f>
        <v/>
      </c>
      <c r="E1595">
        <f>INDEX(FactorTable!$B$2:$Y$301, MATCH(ROUND(MIN(300,MAX(1,D1595)),0), FactorTable!$A$2:$A$301,0), Skills!M28+1)</f>
        <v/>
      </c>
      <c r="F1595">
        <f>IF(Skills!N28=TRUE,(Skills!L28/10)*(E1595/1000),Skills!L28/10)+Skills!O28</f>
        <v/>
      </c>
      <c r="G1595">
        <f>Calc!G28</f>
        <v/>
      </c>
      <c r="H1595">
        <f>Calc!H28</f>
        <v/>
      </c>
      <c r="I1595">
        <f>IF(Skills!AA28&lt;&gt;"",1+(Skills!AA28/10)*(U1570/1000)/100,1)</f>
        <v/>
      </c>
      <c r="J1595" t="inlineStr"/>
      <c r="K1595" t="inlineStr"/>
      <c r="L1595" t="inlineStr"/>
      <c r="M1595" t="inlineStr"/>
      <c r="N1595" t="inlineStr"/>
      <c r="O1595">
        <f>(1-Summary!$B$55)*T1595+Summary!$B$55*V1595</f>
        <v/>
      </c>
      <c r="P1595">
        <f>IF(B1611=0,0,O1595/B1611)</f>
        <v/>
      </c>
      <c r="Q1595" t="n">
        <v>0</v>
      </c>
      <c r="R1595" t="n">
        <v>0</v>
      </c>
      <c r="S1595">
        <f>IFERROR(O1595/N1595,0)</f>
        <v/>
      </c>
      <c r="T1595" t="n">
        <v>0</v>
      </c>
      <c r="V1595" t="n">
        <v>0</v>
      </c>
    </row>
    <row r="1596">
      <c r="A1596">
        <f>Skills!A29</f>
        <v/>
      </c>
      <c r="B1596">
        <f>Skills!B29</f>
        <v/>
      </c>
      <c r="C1596">
        <f>Inputs!$B$3&gt;=120</f>
        <v/>
      </c>
      <c r="D1596">
        <f>IF(Skills!C29=1,60+Inputs!$B$25+Inputs!$B$29,IF(Skills!C29=2,90+Inputs!$B$26+Inputs!$B$29,IF(Skills!C29=3,120+Inputs!$B$27+Inputs!$B$29,MAX(0,(Inputs!$B$3-100)*3)+Inputs!$B$28+Inputs!$B$29)))</f>
        <v/>
      </c>
      <c r="E1596">
        <f>INDEX(FactorTable!$B$2:$Y$301, MATCH(ROUND(MIN(300,MAX(1,D1596)),0), FactorTable!$A$2:$A$301,0), Skills!M29+1)</f>
        <v/>
      </c>
      <c r="F1596">
        <f>IF(Skills!N29=TRUE,(Skills!L29/10)*(E1596/1000),Skills!L29/10)+Skills!O29</f>
        <v/>
      </c>
      <c r="G1596">
        <f>Calc!G29</f>
        <v/>
      </c>
      <c r="H1596">
        <f>Calc!H29</f>
        <v/>
      </c>
      <c r="I1596">
        <f>IF(Skills!AA29&lt;&gt;"",1+(Skills!AA29/10)*(U1570/1000)/100,1)</f>
        <v/>
      </c>
      <c r="J1596" t="inlineStr"/>
      <c r="K1596" t="inlineStr"/>
      <c r="L1596" t="inlineStr"/>
      <c r="M1596" t="inlineStr"/>
      <c r="N1596" t="inlineStr"/>
      <c r="O1596">
        <f>(1-Summary!$B$55)*T1596+Summary!$B$55*V1596</f>
        <v/>
      </c>
      <c r="P1596">
        <f>IF(B1611=0,0,O1596/B1611)</f>
        <v/>
      </c>
      <c r="Q1596" t="n">
        <v>0</v>
      </c>
      <c r="R1596" t="n">
        <v>0</v>
      </c>
      <c r="S1596">
        <f>IFERROR(O1596/N1596,0)</f>
        <v/>
      </c>
      <c r="T1596" t="n">
        <v>0</v>
      </c>
      <c r="V1596" t="n">
        <v>0</v>
      </c>
    </row>
    <row r="1597">
      <c r="A1597">
        <f>Skills!A30</f>
        <v/>
      </c>
      <c r="B1597">
        <f>Skills!B30</f>
        <v/>
      </c>
      <c r="C1597">
        <f>Inputs!$B$3&gt;=125</f>
        <v/>
      </c>
      <c r="D1597">
        <f>IF(Skills!C30=1,60+Inputs!$B$25+Inputs!$B$29,IF(Skills!C30=2,90+Inputs!$B$26+Inputs!$B$29,IF(Skills!C30=3,120+Inputs!$B$27+Inputs!$B$29,MAX(0,(Inputs!$B$3-100)*3)+Inputs!$B$28+Inputs!$B$29)))</f>
        <v/>
      </c>
      <c r="E1597">
        <f>INDEX(FactorTable!$B$2:$Y$301, MATCH(ROUND(MIN(300,MAX(1,D1597)),0), FactorTable!$A$2:$A$301,0), Skills!M30+1)</f>
        <v/>
      </c>
      <c r="F1597">
        <f>IF(Skills!N30=TRUE,(Skills!L30/10)*(E1597/1000),Skills!L30/10)+Skills!O30</f>
        <v/>
      </c>
      <c r="G1597">
        <f>Calc!G30</f>
        <v/>
      </c>
      <c r="H1597">
        <f>Calc!H30</f>
        <v/>
      </c>
      <c r="I1597">
        <f>IF(Skills!AA30&lt;&gt;"",1+(Skills!AA30/10)*(U1570/1000)/100,1)</f>
        <v/>
      </c>
      <c r="J1597" t="inlineStr"/>
      <c r="K1597" t="inlineStr"/>
      <c r="L1597" t="inlineStr"/>
      <c r="M1597" t="inlineStr"/>
      <c r="N1597" t="inlineStr"/>
      <c r="O1597">
        <f>(1-Summary!$B$55)*T1597+Summary!$B$55*V1597</f>
        <v/>
      </c>
      <c r="P1597">
        <f>IF(B1611=0,0,O1597/B1611)</f>
        <v/>
      </c>
      <c r="Q1597" t="n">
        <v>0</v>
      </c>
      <c r="R1597" t="n">
        <v>0</v>
      </c>
      <c r="S1597">
        <f>IFERROR(O1597/N1597,0)</f>
        <v/>
      </c>
      <c r="T1597" t="n">
        <v>0</v>
      </c>
      <c r="V1597" t="n">
        <v>0</v>
      </c>
    </row>
    <row r="1598">
      <c r="A1598">
        <f>Skills!A31</f>
        <v/>
      </c>
      <c r="B1598">
        <f>Skills!B31</f>
        <v/>
      </c>
      <c r="C1598">
        <f>Inputs!$B$3&gt;=107</f>
        <v/>
      </c>
      <c r="D1598">
        <f>IF(Skills!C31=1,60+Inputs!$B$25+Inputs!$B$29,IF(Skills!C31=2,90+Inputs!$B$26+Inputs!$B$29,IF(Skills!C31=3,120+Inputs!$B$27+Inputs!$B$29,MAX(0,(Inputs!$B$3-100)*3)+Inputs!$B$28+Inputs!$B$29)))</f>
        <v/>
      </c>
      <c r="E1598">
        <f>INDEX(FactorTable!$B$2:$Y$301, MATCH(ROUND(MIN(300,MAX(1,D1598)),0), FactorTable!$A$2:$A$301,0), Skills!M31+1)</f>
        <v/>
      </c>
      <c r="F1598">
        <f>IF(Skills!N31=TRUE,(Skills!L31/10)*(E1598/1000),Skills!L31/10)+Skills!O31</f>
        <v/>
      </c>
      <c r="G1598">
        <f>Calc!G31</f>
        <v/>
      </c>
      <c r="H1598">
        <f>Calc!H31</f>
        <v/>
      </c>
      <c r="I1598">
        <f>IF(Skills!AA31&lt;&gt;"",1+(Skills!AA31/10)*(U1570/1000)/100,1)</f>
        <v/>
      </c>
      <c r="J1598" t="inlineStr"/>
      <c r="K1598" t="inlineStr"/>
      <c r="L1598" t="inlineStr"/>
      <c r="M1598" t="inlineStr"/>
      <c r="N1598" t="inlineStr"/>
      <c r="O1598">
        <f>(1-Summary!$B$55)*T1598+Summary!$B$55*V1598</f>
        <v/>
      </c>
      <c r="P1598">
        <f>IF(B1611=0,0,O1598/B1611)</f>
        <v/>
      </c>
      <c r="Q1598" t="n">
        <v>0</v>
      </c>
      <c r="R1598" t="n">
        <v>0</v>
      </c>
      <c r="S1598">
        <f>IFERROR(O1598/N1598,0)</f>
        <v/>
      </c>
      <c r="T1598" t="n">
        <v>0</v>
      </c>
      <c r="V1598" t="n">
        <v>0</v>
      </c>
    </row>
    <row r="1600">
      <c r="A1600" t="inlineStr">
        <is>
          <t>Actions Per Second (pre-Adrenalin)</t>
        </is>
      </c>
      <c r="B1600">
        <f>1+MIN(150,150*(1-(1-(Inputs!$B$11+((C1589=TRUE)*(F1589-Calc!F22)))/150)*(1-((C1586=TRUE)*F1586*IF(AND(Inputs!$B$39&lt;&gt;"pvp",Inputs!$B$44&gt;0),(((R1586-1)*(Skills!Y19*(1+Inputs!$B$34/100))+MIN((Skills!Y19*(1+Inputs!$B$34/100)),MAX(0,Inputs!$B$44-((R1586-1)*Skills!D19))))/Inputs!$B$44),IF(Inputs!$B$39="pvp",MIN((Skills!Y19*(1+Inputs!$B$34/100)),15)/15,(Skills!Y19*(1+Inputs!$B$34/100))/Skills!D19)))/150)))/100</f>
        <v/>
      </c>
    </row>
    <row r="1601">
      <c r="A1601" t="inlineStr">
        <is>
          <t>Alchemic Adrenaline Uptime</t>
        </is>
      </c>
      <c r="B1601">
        <f>(Skills!Y6*(1+Inputs!$B$34/100))/((Skills!Y6*(1+Inputs!$B$34/100))+(5/B1600))</f>
        <v/>
      </c>
    </row>
    <row r="1602">
      <c r="A1602" t="inlineStr">
        <is>
          <t>Attack Speed Buff Bonus %</t>
        </is>
      </c>
      <c r="B1602">
        <f>((C1586=TRUE)*F1586*IF(AND(Inputs!$B$39&lt;&gt;"pvp",Inputs!$B$44&gt;0),(((R1586-1)*(Skills!Y19*(1+Inputs!$B$34/100))+MIN((Skills!Y19*(1+Inputs!$B$34/100)),MAX(0,Inputs!$B$44-((R1586-1)*Skills!D19))))/Inputs!$B$44),IF(Inputs!$B$39="pvp",MIN((Skills!Y19*(1+Inputs!$B$34/100)),15)/15,(Skills!Y19*(1+Inputs!$B$34/100))/Skills!D19)))+((C1574=TRUE)*F1574*B1601)</f>
        <v/>
      </c>
    </row>
    <row r="1603">
      <c r="A1603" t="inlineStr">
        <is>
          <t>Actions Per Second (final)</t>
        </is>
      </c>
      <c r="B1603">
        <f>1+MIN(150,150*(1-(1-(Inputs!$B$11+((C1589=TRUE)*(F1589-Calc!F22)))/150)*(1-B1602/150)))/100</f>
        <v/>
      </c>
    </row>
    <row r="1604">
      <c r="A1604" t="inlineStr">
        <is>
          <t>Skill + Buff Cast Rate</t>
        </is>
      </c>
      <c r="B1604">
        <f>IF(AND(Inputs!$B$39&lt;&gt;"pvp",Inputs!$B$44&gt;0),SUMPRODUCT((Skills!E2:E31=TRUE)*(C1569:C1598=TRUE)*R1569:R1598*Skills!F2:F31)/Inputs!$B$44,SUMPRODUCT((Skills!E2:E31=TRUE)*(C1569:C1598=TRUE)*Q1569:Q1598*Skills!F2:F31))</f>
        <v/>
      </c>
    </row>
    <row r="1605">
      <c r="A1605" t="inlineStr">
        <is>
          <t>Showdown Casts Per Second</t>
        </is>
      </c>
      <c r="B1605">
        <f>MAX(0,B1603-B1604)</f>
        <v/>
      </c>
    </row>
    <row r="1606">
      <c r="A1606" t="inlineStr">
        <is>
          <t>Average Buff Multiplier</t>
        </is>
      </c>
      <c r="B1606">
        <f>(1+(((C1588=TRUE)*F1588*IF(AND(Inputs!$B$39&lt;&gt;"pvp",Inputs!$B$44&gt;0),(((R1588-1)*(Skills!Y21*(1+Inputs!$B$34/100))+MIN((Skills!Y21*(1+Inputs!$B$34/100)),MAX(0,Inputs!$B$44-((R1588-1)*Skills!D21))))/Inputs!$B$44),IF(Inputs!$B$39="pvp",MIN((Skills!Y21*(1+Inputs!$B$34/100)),15)/15,(Skills!Y21*(1+Inputs!$B$34/100))/Skills!D21)))+((C1595=TRUE)*(F1595-Calc!F28))+((C1585=TRUE)*(F1585-Calc!F18)))/100)*(1+((C1582=TRUE)*F1582*IF(AND(Inputs!$B$39&lt;&gt;"pvp",Inputs!$B$44&gt;0),(((R1582-1)*(Skills!Y15*(1+Inputs!$B$34/100))+MIN((Skills!Y15*(1+Inputs!$B$34/100)),MAX(0,Inputs!$B$44-((R1582-1)*Skills!D15))))/Inputs!$B$44),IF(Inputs!$B$39="pvp",MIN((Skills!Y15*(1+Inputs!$B$34/100)),15)/15,(Skills!Y15*(1+Inputs!$B$34/100))/Skills!D15)))/100)*(1+((C1573=TRUE)*F1573*B1601)/100)</f>
        <v/>
      </c>
    </row>
    <row r="1607">
      <c r="A1607" t="inlineStr">
        <is>
          <t>Global Crit Rate Bonus %</t>
        </is>
      </c>
      <c r="B1607">
        <f>IF(Inputs!$B$3&gt;=47,8,0)+((C1587=TRUE)*F1587*IF(AND(Inputs!$B$39&lt;&gt;"pvp",Inputs!$B$44&gt;0),(((R1587-1)*(Skills!Y20*(1+Inputs!$B$34/100))+MIN((Skills!Y20*(1+Inputs!$B$34/100)),MAX(0,Inputs!$B$44-((R1587-1)*Skills!D20))))/Inputs!$B$44),IF(Inputs!$B$39="pvp",MIN((Skills!Y20*(1+Inputs!$B$34/100)),15)/15,(Skills!Y20*(1+Inputs!$B$34/100))/Skills!D20)))</f>
        <v/>
      </c>
    </row>
    <row r="1608">
      <c r="A1608" t="inlineStr">
        <is>
          <t>Global Monster Damage-Taken Bonus %</t>
        </is>
      </c>
      <c r="B1608">
        <f>IF(Inputs!$B$3&gt;=82,15,0)+((C1583=TRUE)*F1583*IF(AND(Inputs!$B$39&lt;&gt;"pvp",Inputs!$B$44&gt;0),(((R1583-1)*(Skills!Y16*(1+Inputs!$B$34/100))+MIN((Skills!Y16*(1+Inputs!$B$34/100)),MAX(0,Inputs!$B$44-((R1583-1)*Skills!D16))))/Inputs!$B$44),IF(Inputs!$B$39="pvp",MIN((Skills!Y16*(1+Inputs!$B$34/100)),15)/15,(Skills!Y16*(1+Inputs!$B$34/100))/Skills!D16)))</f>
        <v/>
      </c>
    </row>
    <row r="1609">
      <c r="A1609" t="inlineStr">
        <is>
          <t>Shadow Partner Average Multiplier</t>
        </is>
      </c>
      <c r="B1609">
        <f>1+((C1578=TRUE)*F1578*I1578*Skills!J11/100)/100</f>
        <v/>
      </c>
    </row>
    <row r="1610">
      <c r="A1610" t="inlineStr">
        <is>
          <t>Global Critical Damage Bonus % (Frailty Curse Mastery Lv.111)</t>
        </is>
      </c>
      <c r="B1610">
        <f>IF(Inputs!$B$3&gt;=111,30,0)*IF(AND(Inputs!$B$39&lt;&gt;"pvp",Inputs!$B$44&gt;0),(((R1583-1)*(Skills!Y16*(1+Inputs!$B$34/100))+MIN((Skills!Y16*(1+Inputs!$B$34/100)),MAX(0,Inputs!$B$44-((R1583-1)*Skills!D16))))/Inputs!$B$44),IF(Inputs!$B$39="pvp",MIN((Skills!Y16*(1+Inputs!$B$34/100)),15)/15,(Skills!Y16*(1+Inputs!$B$34/100))/Skills!D16))</f>
        <v/>
      </c>
    </row>
    <row r="1611">
      <c r="A1611" s="5" t="inlineStr">
        <is>
          <t>TOTAL DPS</t>
        </is>
      </c>
      <c r="B1611" s="5">
        <f>SUM(O1569:O1598)</f>
        <v/>
      </c>
    </row>
    <row r="1612">
      <c r="A1612" t="inlineStr">
        <is>
          <t>Buff-Casting Startup Delay (s, fixed-duration only)</t>
        </is>
      </c>
      <c r="B1612">
        <f>IF(AND(Inputs!$B$39&lt;&gt;"pvp",Inputs!$B$44&gt;0),SUMPRODUCT((Skills!Y2:Y31&gt;0)*(Skills!E2:E31=TRUE)*(C1569:C1598=TRUE))/B1603,0)</f>
        <v/>
      </c>
    </row>
    <row r="1613">
      <c r="A1613" t="inlineStr">
        <is>
          <t>Boss-Only Total DPS (this block's swept value)</t>
        </is>
      </c>
      <c r="B1613">
        <f>SUM(T1569:T1598)</f>
        <v/>
      </c>
    </row>
    <row r="1614">
      <c r="A1614" t="inlineStr">
        <is>
          <t>Normal-Only Total DPS (this block's swept value)</t>
        </is>
      </c>
      <c r="B1614">
        <f>SUM(V1569:V1598)</f>
        <v/>
      </c>
    </row>
    <row r="1616">
      <c r="A1616" s="5" t="inlineStr">
        <is>
          <t>Stat: CDR = 3.0s</t>
        </is>
      </c>
    </row>
    <row r="1617">
      <c r="A1617" s="9" t="inlineStr">
        <is>
          <t>Key</t>
        </is>
      </c>
      <c r="B1617" s="9" t="inlineStr">
        <is>
          <t>Name</t>
        </is>
      </c>
      <c r="C1617" s="9" t="inlineStr">
        <is>
          <t>Unlocked</t>
        </is>
      </c>
      <c r="D1617" s="9" t="inlineStr">
        <is>
          <t>InputLevel</t>
        </is>
      </c>
      <c r="E1617" s="9" t="inlineStr">
        <is>
          <t>Factor</t>
        </is>
      </c>
      <c r="F1617" s="9" t="inlineStr">
        <is>
          <t>CoefficientPercent</t>
        </is>
      </c>
      <c r="G1617" s="9" t="inlineStr">
        <is>
          <t>EffectiveHits</t>
        </is>
      </c>
      <c r="H1617" s="9" t="inlineStr">
        <is>
          <t>ProcProbability</t>
        </is>
      </c>
      <c r="I1617" s="9" t="inlineStr">
        <is>
          <t>MapleHeroMultiplier</t>
        </is>
      </c>
      <c r="J1617" s="9" t="inlineStr">
        <is>
          <t>BaseDamage</t>
        </is>
      </c>
      <c r="K1617" s="9" t="inlineStr">
        <is>
          <t>BaseHitDamage</t>
        </is>
      </c>
      <c r="L1617" s="9" t="inlineStr">
        <is>
          <t>NonCritAvg</t>
        </is>
      </c>
      <c r="M1617" s="9" t="inlineStr">
        <is>
          <t>CritAvg</t>
        </is>
      </c>
      <c r="N1617" s="9" t="inlineStr">
        <is>
          <t>ExpectedDamage(perHit)</t>
        </is>
      </c>
      <c r="O1617" s="9" t="inlineStr">
        <is>
          <t>DPS</t>
        </is>
      </c>
      <c r="P1617" s="9" t="inlineStr">
        <is>
          <t>% of Total</t>
        </is>
      </c>
      <c r="Q1617" s="9" t="inlineStr">
        <is>
          <t>InvCooldown</t>
        </is>
      </c>
      <c r="R1617" s="9" t="inlineStr">
        <is>
          <t>CastsInFight</t>
        </is>
      </c>
      <c r="S1617" s="9" t="inlineStr">
        <is>
          <t>HitRate(perSec)</t>
        </is>
      </c>
      <c r="U1617" t="inlineStr">
        <is>
          <t>helpers</t>
        </is>
      </c>
    </row>
    <row r="1618">
      <c r="A1618">
        <f>Skills!A2</f>
        <v/>
      </c>
      <c r="B1618">
        <f>Skills!B2</f>
        <v/>
      </c>
      <c r="C1618">
        <f>Inputs!$B$3&gt;=100</f>
        <v/>
      </c>
      <c r="D1618" t="inlineStr"/>
      <c r="E1618" t="inlineStr"/>
      <c r="F1618">
        <f>U1622+Skills!O2</f>
        <v/>
      </c>
      <c r="G1618">
        <f>Calc!G2</f>
        <v/>
      </c>
      <c r="H1618">
        <f>Calc!H2</f>
        <v/>
      </c>
      <c r="I1618">
        <f>IF(Skills!AA2&lt;&gt;"",1+(Skills!AA2/10)*(U1619/1000)/100,1)</f>
        <v/>
      </c>
      <c r="J1618">
        <f>((Inputs!$B$6*(1+Inputs!$B$7/100))+(((Inputs!$B$12*(1+Inputs!$B$13/100))-(Inputs!$B$12*(1+Inputs!$B$13/100)))+0.25*(Inputs!$B$14-Inputs!$B$14))*(1+Inputs!$B$7/100))*(F1618/100)</f>
        <v/>
      </c>
      <c r="K1618">
        <f>J1618*(1+((Inputs!$B$12*(1+Inputs!$B$13/100))*0.01+Inputs!$B$14*0.0025)/100)*(1+Inputs!$B$15/100)*(1+Inputs!$B$16/100)*(5000/(6000+Inputs!$B$43*(1-Inputs!$B$19/100)))*(1+(Inputs!$B$24+((C1646=TRUE)*(F1646-Calc!F30)))/100)*(1+Skills!R2/100)*(1+(IF(Skills!A2="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1618)</f>
        <v/>
      </c>
      <c r="L1618">
        <f>K1618*(MIN(Inputs!$B$22+((C1640=TRUE)*(F1640-Calc!F24)),Inputs!$B$23)/100+Inputs!$B$23/100)/2</f>
        <v/>
      </c>
      <c r="M1618">
        <f>L1618*(1+(Inputs!$B$10+((C1642=TRUE)*(F1642-Calc!F26))+B1659)/100)</f>
        <v/>
      </c>
      <c r="N1618">
        <f>L1618*(1-MIN((Inputs!$B$9+((C1641=TRUE)*(F1641-Calc!F25))+B1656),100)/100)+M1618*(MIN((Inputs!$B$9+((C1641=TRUE)*(F1641-Calc!F25))+B1656),100)/100)</f>
        <v/>
      </c>
      <c r="O1618">
        <f>(1-Summary!$B$55)*T1618+Summary!$B$55*V1618</f>
        <v/>
      </c>
      <c r="P1618">
        <f>IF(B1660=0,0,O1618/B1660)</f>
        <v/>
      </c>
      <c r="Q1618" t="n">
        <v>0</v>
      </c>
      <c r="R1618" t="n">
        <v>0</v>
      </c>
      <c r="S1618">
        <f>IFERROR(O1618/N1618,0)</f>
        <v/>
      </c>
      <c r="T1618">
        <f>IF(C1618,(Skills!G2*N1618*B1654)*IF(Inputs!$B$39="pvp",1,1+(Inputs!$B$20+((C1643=TRUE)*(F1643-Calc!F27))+Skills!P2+B1657)/100),0)</f>
        <v/>
      </c>
      <c r="U1618">
        <f>MAX(0,(Inputs!$B$3-100)*3)+Inputs!$B$28+Inputs!$B$29</f>
        <v/>
      </c>
      <c r="V1618">
        <f>IF(C1618,(Skills!G2*N1618*B1654)*IF(Inputs!$B$39="pvp",1,(1+(Inputs!$B$21+Skills!Q2+B1657)/100)*(MIN((6+Inputs!$B$33),Inputs!$B$37))),0)</f>
        <v/>
      </c>
    </row>
    <row r="1619">
      <c r="A1619">
        <f>Skills!A3</f>
        <v/>
      </c>
      <c r="B1619">
        <f>Skills!B3</f>
        <v/>
      </c>
      <c r="C1619">
        <f>Inputs!$B$3&gt;=35</f>
        <v/>
      </c>
      <c r="D1619">
        <f>IF(Skills!C3=1,60+Inputs!$B$25+Inputs!$B$29,IF(Skills!C3=2,90+Inputs!$B$26+Inputs!$B$29,IF(Skills!C3=3,120+Inputs!$B$27+Inputs!$B$29,MAX(0,(Inputs!$B$3-100)*3)+Inputs!$B$28+Inputs!$B$29)))</f>
        <v/>
      </c>
      <c r="E1619">
        <f>INDEX(FactorTable!$B$2:$Y$301, MATCH(ROUND(MIN(300,MAX(1,D1619)),0), FactorTable!$A$2:$A$301,0), Skills!M3+1)</f>
        <v/>
      </c>
      <c r="F1619">
        <f>IF(Skills!N3=TRUE,(Skills!L3/10)*(E1619/1000),Skills!L3/10)+Skills!O3</f>
        <v/>
      </c>
      <c r="G1619">
        <f>Calc!G3</f>
        <v/>
      </c>
      <c r="H1619">
        <f>Calc!H3</f>
        <v/>
      </c>
      <c r="I1619">
        <f>IF(Skills!AA3&lt;&gt;"",1+(Skills!AA3/10)*(U1619/1000)/100,1)</f>
        <v/>
      </c>
      <c r="J1619">
        <f>((Inputs!$B$6*(1+Inputs!$B$7/100))+(((Inputs!$B$12*(1+Inputs!$B$13/100))-(Inputs!$B$12*(1+Inputs!$B$13/100)))+0.25*(Inputs!$B$14-Inputs!$B$14))*(1+Inputs!$B$7/100))*(F1619/100)</f>
        <v/>
      </c>
      <c r="K1619">
        <f>J1619*(1+((Inputs!$B$12*(1+Inputs!$B$13/100))*0.01+Inputs!$B$14*0.0025)/100)*(1+Inputs!$B$15/100)*(1+Inputs!$B$16/100)*(5000/(6000+Inputs!$B$43*(1-Inputs!$B$19/100)))*(1+(Inputs!$B$24+((C1646=TRUE)*(F1646-Calc!F30)))/100)*(1+Skills!R3/100)*(1+(IF(Skills!A3="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1619)</f>
        <v/>
      </c>
      <c r="L1619">
        <f>K1619*(MIN(Inputs!$B$22+((C1640=TRUE)*(F1640-Calc!F24)),Inputs!$B$23)/100+Inputs!$B$23/100)/2</f>
        <v/>
      </c>
      <c r="M1619">
        <f>L1619*(1+(Inputs!$B$10+((C1642=TRUE)*(F1642-Calc!F26))+B1659)/100)</f>
        <v/>
      </c>
      <c r="N1619">
        <f>L1619*(1-MIN((Inputs!$B$9+((C1641=TRUE)*(F1641-Calc!F25))+B1656),100)/100)+M1619*(MIN((Inputs!$B$9+((C1641=TRUE)*(F1641-Calc!F25))+B1656),100)/100)</f>
        <v/>
      </c>
      <c r="O1619">
        <f>(1-Summary!$B$55)*T1619+Summary!$B$55*V1619</f>
        <v/>
      </c>
      <c r="P1619">
        <f>IF(B1660=0,0,O1619/B1660)</f>
        <v/>
      </c>
      <c r="Q1619">
        <f>IFERROR(1/IF(Inputs!$B$39="pvp",15,MAX(0.1,Skills!D3-IF(Skills!E3=TRUE,3.0,0))),0)</f>
        <v/>
      </c>
      <c r="R1619">
        <f>IF(AND(Inputs!$B$39&lt;&gt;"pvp",Inputs!$B$44&gt;0),IF(MAX(0,Inputs!$B$44-B1661)&lt;=0,0,(INT(MAX(0,Inputs!$B$44-B1661)/IF(Inputs!$B$39="pvp",15,MAX(0.1,Skills!D3-IF(Skills!E3=TRUE,3.0,0))))+1)),0)</f>
        <v/>
      </c>
      <c r="S1619">
        <f>IFERROR(O1619/N1619,0)</f>
        <v/>
      </c>
      <c r="T1619">
        <f>IF(C1619,(H1619*N1619*IF(AND(Inputs!$B$39&lt;&gt;"pvp",Inputs!$B$44&gt;0),((Skills!G3*((R1619-1)*IF(Skills!H3&gt;0,Skills!I3/Skills!H3,1)+IF(Skills!H3&gt;0,MIN(Skills!I3,MAX(0,MAX(0,Inputs!$B$44-B1661)-((R1619-1)*IF(Inputs!$B$39="pvp",15,MAX(0.1,Skills!D3-IF(Skills!E3=TRUE,3.0,0))))))/Skills!H3,1)))/Inputs!$B$44),G1619*Q1619))*IF(Inputs!$B$39="pvp",1,1+(Inputs!$B$20+((C1643=TRUE)*(F1643-Calc!F27))+Skills!P3+B1657)/100),0)</f>
        <v/>
      </c>
      <c r="U1619">
        <f>INDEX(FactorTable!$B$2:$Y$301, MATCH(ROUND(MIN(300,MAX(1,U1618)),0), FactorTable!$A$2:$A$301,0), 24)</f>
        <v/>
      </c>
      <c r="V1619">
        <f>IF(C1619,(H1619*N1619*IF(AND(Inputs!$B$39&lt;&gt;"pvp",Inputs!$B$44&gt;0),((Skills!G3*((R1619-1)*IF(Skills!H3&gt;0,Skills!I3/Skills!H3,1)+IF(Skills!H3&gt;0,MIN(Skills!I3,MAX(0,MAX(0,Inputs!$B$44-B1661)-((R1619-1)*IF(Inputs!$B$39="pvp",15,MAX(0.1,Skills!D3-IF(Skills!E3=TRUE,3.0,0))))))/Skills!H3,1)))/Inputs!$B$44),G1619*Q1619))*IF(Inputs!$B$39="pvp",1,(1+(Inputs!$B$21+Skills!Q3+B1657)/100)*(MIN(Skills!W3,Inputs!$B$37))),0)</f>
        <v/>
      </c>
    </row>
    <row r="1620">
      <c r="A1620">
        <f>Skills!A4</f>
        <v/>
      </c>
      <c r="B1620">
        <f>Skills!B4</f>
        <v/>
      </c>
      <c r="C1620">
        <f>Inputs!$B$3&gt;=40</f>
        <v/>
      </c>
      <c r="D1620">
        <f>IF(Skills!C4=1,60+Inputs!$B$25+Inputs!$B$29,IF(Skills!C4=2,90+Inputs!$B$26+Inputs!$B$29,IF(Skills!C4=3,120+Inputs!$B$27+Inputs!$B$29,MAX(0,(Inputs!$B$3-100)*3)+Inputs!$B$28+Inputs!$B$29)))</f>
        <v/>
      </c>
      <c r="E1620">
        <f>INDEX(FactorTable!$B$2:$Y$301, MATCH(ROUND(MIN(300,MAX(1,D1620)),0), FactorTable!$A$2:$A$301,0), Skills!M4+1)</f>
        <v/>
      </c>
      <c r="F1620">
        <f>IF(Skills!N4=TRUE,(Skills!L4/10)*(E1620/1000),Skills!L4/10)+Skills!O4</f>
        <v/>
      </c>
      <c r="G1620">
        <f>Calc!G4</f>
        <v/>
      </c>
      <c r="H1620">
        <f>Calc!H4</f>
        <v/>
      </c>
      <c r="I1620">
        <f>IF(Skills!AA4&lt;&gt;"",1+(Skills!AA4/10)*(U1619/1000)/100,1)</f>
        <v/>
      </c>
      <c r="J1620">
        <f>((Inputs!$B$6*(1+Inputs!$B$7/100))+(((Inputs!$B$12*(1+Inputs!$B$13/100))-(Inputs!$B$12*(1+Inputs!$B$13/100)))+0.25*(Inputs!$B$14-Inputs!$B$14))*(1+Inputs!$B$7/100))*(F1620/100)</f>
        <v/>
      </c>
      <c r="K1620">
        <f>J1620*(1+((Inputs!$B$12*(1+Inputs!$B$13/100))*0.01+Inputs!$B$14*0.0025)/100)*(1+Inputs!$B$15/100)*(1+Inputs!$B$16/100)*(5000/(6000+Inputs!$B$43*(1-Inputs!$B$19/100)))*(1+(Inputs!$B$24+((C1646=TRUE)*(F1646-Calc!F30)))/100)*(1+Skills!R4/100)*(1+(IF(Skills!A4="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1620)</f>
        <v/>
      </c>
      <c r="L1620">
        <f>K1620*(MIN(Inputs!$B$22+((C1640=TRUE)*(F1640-Calc!F24)),Inputs!$B$23)/100+Inputs!$B$23/100)/2</f>
        <v/>
      </c>
      <c r="M1620">
        <f>L1620*(1+(Inputs!$B$10+((C1642=TRUE)*(F1642-Calc!F26))+B1659)/100)</f>
        <v/>
      </c>
      <c r="N1620">
        <f>L1620*(1-MIN((Inputs!$B$9+((C1641=TRUE)*(F1641-Calc!F25))+B1656),100)/100)+M1620*(MIN((Inputs!$B$9+((C1641=TRUE)*(F1641-Calc!F25))+B1656),100)/100)</f>
        <v/>
      </c>
      <c r="O1620">
        <f>(1-Summary!$B$55)*T1620+Summary!$B$55*V1620</f>
        <v/>
      </c>
      <c r="P1620">
        <f>IF(B1660=0,0,O1620/B1660)</f>
        <v/>
      </c>
      <c r="Q1620">
        <f>IFERROR(1/IF(Inputs!$B$39="pvp",15,MAX(0.1,Skills!D4-IF(Skills!E4=TRUE,3.0,0))),0)</f>
        <v/>
      </c>
      <c r="R1620">
        <f>IF(AND(Inputs!$B$39&lt;&gt;"pvp",Inputs!$B$44&gt;0),IF(MAX(0,Inputs!$B$44-B1661)&lt;=0,0,(INT(MAX(0,Inputs!$B$44-B1661)/IF(Inputs!$B$39="pvp",15,MAX(0.1,Skills!D4-IF(Skills!E4=TRUE,3.0,0))))+1)),0)</f>
        <v/>
      </c>
      <c r="S1620">
        <f>IFERROR(O1620/N1620,0)</f>
        <v/>
      </c>
      <c r="T1620">
        <f>IF(C1620,(H1620*N1620*IF(AND(Inputs!$B$39&lt;&gt;"pvp",Inputs!$B$44&gt;0),((Skills!G4*((R1620-1)*IF(Skills!H4&gt;0,Skills!I4/Skills!H4,1)+IF(Skills!H4&gt;0,MIN(Skills!I4,MAX(0,MAX(0,Inputs!$B$44-B1661)-((R1620-1)*IF(Inputs!$B$39="pvp",15,MAX(0.1,Skills!D4-IF(Skills!E4=TRUE,3.0,0))))))/Skills!H4,1)))/Inputs!$B$44),G1620*Q1620))*IF(Inputs!$B$39="pvp",1,1+(Inputs!$B$20+((C1643=TRUE)*(F1643-Calc!F27))+Skills!P4+B1657)/100),0)</f>
        <v/>
      </c>
      <c r="U1620">
        <f>MAX(0,(Inputs!$B$3-100)*3)+Inputs!$B$28+Inputs!$B$29</f>
        <v/>
      </c>
      <c r="V1620">
        <f>IF(C1620,(H1620*N1620*IF(AND(Inputs!$B$39&lt;&gt;"pvp",Inputs!$B$44&gt;0),((Skills!G4*((R1620-1)*IF(Skills!H4&gt;0,Skills!I4/Skills!H4,1)+IF(Skills!H4&gt;0,MIN(Skills!I4,MAX(0,MAX(0,Inputs!$B$44-B1661)-((R1620-1)*IF(Inputs!$B$39="pvp",15,MAX(0.1,Skills!D4-IF(Skills!E4=TRUE,3.0,0))))))/Skills!H4,1)))/Inputs!$B$44),G1620*Q1620))*IF(Inputs!$B$39="pvp",1,(1+(Inputs!$B$21+Skills!Q4+B1657)/100)*(MIN(Skills!W4,Inputs!$B$37))),0)</f>
        <v/>
      </c>
    </row>
    <row r="1621">
      <c r="A1621">
        <f>Skills!A5</f>
        <v/>
      </c>
      <c r="B1621">
        <f>Skills!B5</f>
        <v/>
      </c>
      <c r="C1621">
        <f>Inputs!$B$3&gt;=63</f>
        <v/>
      </c>
      <c r="D1621">
        <f>IF(Skills!C5=1,60+Inputs!$B$25+Inputs!$B$29,IF(Skills!C5=2,90+Inputs!$B$26+Inputs!$B$29,IF(Skills!C5=3,120+Inputs!$B$27+Inputs!$B$29,MAX(0,(Inputs!$B$3-100)*3)+Inputs!$B$28+Inputs!$B$29)))</f>
        <v/>
      </c>
      <c r="E1621">
        <f>INDEX(FactorTable!$B$2:$Y$301, MATCH(ROUND(MIN(300,MAX(1,D1621)),0), FactorTable!$A$2:$A$301,0), Skills!M5+1)</f>
        <v/>
      </c>
      <c r="F1621">
        <f>IF(Skills!N5=TRUE,(Skills!L5/10)*(E1621/1000),Skills!L5/10)+Skills!O5</f>
        <v/>
      </c>
      <c r="G1621">
        <f>Calc!G5</f>
        <v/>
      </c>
      <c r="H1621">
        <f>Calc!H5</f>
        <v/>
      </c>
      <c r="I1621">
        <f>IF(Skills!AA5&lt;&gt;"",1+(Skills!AA5/10)*(U1619/1000)/100,1)</f>
        <v/>
      </c>
      <c r="J1621">
        <f>((Inputs!$B$6*(1+Inputs!$B$7/100))+(((Inputs!$B$12*(1+Inputs!$B$13/100))-(Inputs!$B$12*(1+Inputs!$B$13/100)))+0.25*(Inputs!$B$14-Inputs!$B$14))*(1+Inputs!$B$7/100))*(F1621/100)</f>
        <v/>
      </c>
      <c r="K1621">
        <f>J1621*(1+((Inputs!$B$12*(1+Inputs!$B$13/100))*0.01+Inputs!$B$14*0.0025)/100)*(1+Inputs!$B$15/100)*(1+Inputs!$B$16/100)*(5000/(6000+Inputs!$B$43*(1-Inputs!$B$19/100)))*(1+(Inputs!$B$24+((C1646=TRUE)*(F1646-Calc!F30)))/100)*(1+Skills!R5/100)*(1+(IF(Skills!A5="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1621)</f>
        <v/>
      </c>
      <c r="L1621">
        <f>K1621*(MIN(Inputs!$B$22+((C1640=TRUE)*(F1640-Calc!F24)),Inputs!$B$23)/100+Inputs!$B$23/100)/2</f>
        <v/>
      </c>
      <c r="M1621">
        <f>L1621*(1+(Inputs!$B$10+((C1642=TRUE)*(F1642-Calc!F26))+B1659)/100)</f>
        <v/>
      </c>
      <c r="N1621">
        <f>L1621*(1-MIN((Inputs!$B$9+((C1641=TRUE)*(F1641-Calc!F25))+B1656),100)/100)+M1621*(MIN((Inputs!$B$9+((C1641=TRUE)*(F1641-Calc!F25))+B1656),100)/100)</f>
        <v/>
      </c>
      <c r="O1621">
        <f>(1-Summary!$B$55)*T1621+Summary!$B$55*V1621</f>
        <v/>
      </c>
      <c r="P1621">
        <f>IF(B1660=0,0,O1621/B1660)</f>
        <v/>
      </c>
      <c r="Q1621">
        <f>IFERROR(1/IF(Inputs!$B$39="pvp",15,MAX(0.1,Skills!D5-IF(Skills!E5=TRUE,3.0,0))),0)</f>
        <v/>
      </c>
      <c r="R1621">
        <f>IF(AND(Inputs!$B$39&lt;&gt;"pvp",Inputs!$B$44&gt;0),IF(MAX(0,Inputs!$B$44-B1661)&lt;=0,0,(INT(MAX(0,Inputs!$B$44-B1661)/IF(Inputs!$B$39="pvp",15,MAX(0.1,Skills!D5-IF(Skills!E5=TRUE,3.0,0))))+1)),0)</f>
        <v/>
      </c>
      <c r="S1621">
        <f>IFERROR(O1621/N1621,0)</f>
        <v/>
      </c>
      <c r="T1621">
        <f>IF(C1621,(H1621*N1621*IF(AND(Inputs!$B$39&lt;&gt;"pvp",Inputs!$B$44&gt;0),((Skills!G5*((R1621-1)*IF(Skills!H5&gt;0,Skills!I5/Skills!H5,1)+IF(Skills!H5&gt;0,MIN(Skills!I5,MAX(0,MAX(0,Inputs!$B$44-B1661)-((R1621-1)*IF(Inputs!$B$39="pvp",15,MAX(0.1,Skills!D5-IF(Skills!E5=TRUE,3.0,0))))))/Skills!H5,1)))/Inputs!$B$44),G1621*Q1621))*IF(Inputs!$B$39="pvp",1,1+(Inputs!$B$20+((C1643=TRUE)*(F1643-Calc!F27))+Skills!P5+B1657)/100),0)</f>
        <v/>
      </c>
      <c r="U1621">
        <f>INDEX(FactorTable!$B$2:$Y$301, MATCH(ROUND(MIN(300,MAX(1,U1620)),0), FactorTable!$A$2:$A$301,0), 22)</f>
        <v/>
      </c>
      <c r="V1621">
        <f>IF(C1621,(H1621*N1621*IF(AND(Inputs!$B$39&lt;&gt;"pvp",Inputs!$B$44&gt;0),((Skills!G5*((R1621-1)*IF(Skills!H5&gt;0,Skills!I5/Skills!H5,1)+IF(Skills!H5&gt;0,MIN(Skills!I5,MAX(0,MAX(0,Inputs!$B$44-B1661)-((R1621-1)*IF(Inputs!$B$39="pvp",15,MAX(0.1,Skills!D5-IF(Skills!E5=TRUE,3.0,0))))))/Skills!H5,1)))/Inputs!$B$44),G1621*Q1621))*IF(Inputs!$B$39="pvp",1,(1+(Inputs!$B$21+Skills!Q5+B1657)/100)*(MIN(Skills!W5,Inputs!$B$37))),0)</f>
        <v/>
      </c>
    </row>
    <row r="1622">
      <c r="A1622">
        <f>Skills!A6</f>
        <v/>
      </c>
      <c r="B1622">
        <f>Skills!B6</f>
        <v/>
      </c>
      <c r="C1622">
        <f>Inputs!$B$3&gt;=66</f>
        <v/>
      </c>
      <c r="D1622">
        <f>IF(Skills!C6=1,60+Inputs!$B$25+Inputs!$B$29,IF(Skills!C6=2,90+Inputs!$B$26+Inputs!$B$29,IF(Skills!C6=3,120+Inputs!$B$27+Inputs!$B$29,MAX(0,(Inputs!$B$3-100)*3)+Inputs!$B$28+Inputs!$B$29)))</f>
        <v/>
      </c>
      <c r="E1622">
        <f>INDEX(FactorTable!$B$2:$Y$301, MATCH(ROUND(MIN(300,MAX(1,D1622)),0), FactorTable!$A$2:$A$301,0), Skills!M6+1)</f>
        <v/>
      </c>
      <c r="F1622">
        <f>IF(Skills!N6=TRUE,(Skills!L6/10)*(E1622/1000),Skills!L6/10)+Skills!O6</f>
        <v/>
      </c>
      <c r="G1622">
        <f>Calc!G6</f>
        <v/>
      </c>
      <c r="H1622">
        <f>Calc!H6</f>
        <v/>
      </c>
      <c r="I1622">
        <f>IF(Skills!AA6&lt;&gt;"",1+(Skills!AA6/10)*(U1619/1000)/100,1)</f>
        <v/>
      </c>
      <c r="J1622" t="inlineStr"/>
      <c r="K1622" t="inlineStr"/>
      <c r="L1622" t="inlineStr"/>
      <c r="M1622" t="inlineStr"/>
      <c r="N1622" t="inlineStr"/>
      <c r="O1622">
        <f>(1-Summary!$B$55)*T1622+Summary!$B$55*V1622</f>
        <v/>
      </c>
      <c r="P1622">
        <f>IF(B1660=0,0,O1622/B1660)</f>
        <v/>
      </c>
      <c r="Q1622" t="n">
        <v>0</v>
      </c>
      <c r="R1622" t="n">
        <v>0</v>
      </c>
      <c r="S1622">
        <f>IFERROR(O1622/N1622,0)</f>
        <v/>
      </c>
      <c r="T1622" t="n">
        <v>0</v>
      </c>
      <c r="U1622">
        <f>290*U1621/1000</f>
        <v/>
      </c>
      <c r="V1622" t="n">
        <v>0</v>
      </c>
    </row>
    <row r="1623">
      <c r="A1623">
        <f>Skills!A7</f>
        <v/>
      </c>
      <c r="B1623">
        <f>Skills!B7</f>
        <v/>
      </c>
      <c r="C1623">
        <f>Inputs!$B$3&gt;=66</f>
        <v/>
      </c>
      <c r="D1623">
        <f>IF(Skills!C7=1,60+Inputs!$B$25+Inputs!$B$29,IF(Skills!C7=2,90+Inputs!$B$26+Inputs!$B$29,IF(Skills!C7=3,120+Inputs!$B$27+Inputs!$B$29,MAX(0,(Inputs!$B$3-100)*3)+Inputs!$B$28+Inputs!$B$29)))</f>
        <v/>
      </c>
      <c r="E1623">
        <f>INDEX(FactorTable!$B$2:$Y$301, MATCH(ROUND(MIN(300,MAX(1,D1623)),0), FactorTable!$A$2:$A$301,0), Skills!M7+1)</f>
        <v/>
      </c>
      <c r="F1623">
        <f>IF(Skills!N7=TRUE,(Skills!L7/10)*(E1623/1000),Skills!L7/10)+Skills!O7</f>
        <v/>
      </c>
      <c r="G1623">
        <f>Calc!G7</f>
        <v/>
      </c>
      <c r="H1623">
        <f>Calc!H7</f>
        <v/>
      </c>
      <c r="I1623">
        <f>IF(Skills!AA7&lt;&gt;"",1+(Skills!AA7/10)*(U1619/1000)/100,1)</f>
        <v/>
      </c>
      <c r="J1623" t="inlineStr"/>
      <c r="K1623" t="inlineStr"/>
      <c r="L1623" t="inlineStr"/>
      <c r="M1623" t="inlineStr"/>
      <c r="N1623" t="inlineStr"/>
      <c r="O1623">
        <f>(1-Summary!$B$55)*T1623+Summary!$B$55*V1623</f>
        <v/>
      </c>
      <c r="P1623">
        <f>IF(B1660=0,0,O1623/B1660)</f>
        <v/>
      </c>
      <c r="Q1623" t="n">
        <v>0</v>
      </c>
      <c r="R1623" t="n">
        <v>0</v>
      </c>
      <c r="S1623">
        <f>IFERROR(O1623/N1623,0)</f>
        <v/>
      </c>
      <c r="T1623" t="n">
        <v>0</v>
      </c>
      <c r="V1623" t="n">
        <v>0</v>
      </c>
    </row>
    <row r="1624">
      <c r="A1624">
        <f>Skills!A8</f>
        <v/>
      </c>
      <c r="B1624">
        <f>Skills!B8</f>
        <v/>
      </c>
      <c r="C1624">
        <f>Inputs!$B$3&gt;=69</f>
        <v/>
      </c>
      <c r="D1624">
        <f>IF(Skills!C8=1,60+Inputs!$B$25+Inputs!$B$29,IF(Skills!C8=2,90+Inputs!$B$26+Inputs!$B$29,IF(Skills!C8=3,120+Inputs!$B$27+Inputs!$B$29,MAX(0,(Inputs!$B$3-100)*3)+Inputs!$B$28+Inputs!$B$29)))</f>
        <v/>
      </c>
      <c r="E1624">
        <f>INDEX(FactorTable!$B$2:$Y$301, MATCH(ROUND(MIN(300,MAX(1,D1624)),0), FactorTable!$A$2:$A$301,0), Skills!M8+1)</f>
        <v/>
      </c>
      <c r="F1624">
        <f>IF(Skills!N8=TRUE,(Skills!L8/10)*(E1624/1000),Skills!L8/10)+Skills!O8</f>
        <v/>
      </c>
      <c r="G1624">
        <f>Calc!G8</f>
        <v/>
      </c>
      <c r="H1624">
        <f>Calc!H8</f>
        <v/>
      </c>
      <c r="I1624">
        <f>IF(Skills!AA8&lt;&gt;"",1+(Skills!AA8/10)*(U1619/1000)/100,1)</f>
        <v/>
      </c>
      <c r="J1624">
        <f>((Inputs!$B$6*(1+Inputs!$B$7/100))+(((Inputs!$B$12*(1+Inputs!$B$13/100))-(Inputs!$B$12*(1+Inputs!$B$13/100)))+0.25*(Inputs!$B$14-Inputs!$B$14))*(1+Inputs!$B$7/100))*(F1624/100)</f>
        <v/>
      </c>
      <c r="K1624">
        <f>J1624*(1+((Inputs!$B$12*(1+Inputs!$B$13/100))*0.01+Inputs!$B$14*0.0025)/100)*(1+Inputs!$B$15/100)*(1+Inputs!$B$16/100)*(5000/(6000+Inputs!$B$43*(1-Inputs!$B$19/100)))*(1+(Inputs!$B$24+((C1646=TRUE)*(F1646-Calc!F30)))/100)*(1+Skills!R8/100)*(1+(IF(Skills!A8="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1624)</f>
        <v/>
      </c>
      <c r="L1624">
        <f>K1624*(MIN(Inputs!$B$22+((C1640=TRUE)*(F1640-Calc!F24)),Inputs!$B$23)/100+Inputs!$B$23/100)/2</f>
        <v/>
      </c>
      <c r="M1624">
        <f>L1624*(1+(Inputs!$B$10+((C1642=TRUE)*(F1642-Calc!F26))+B1659)/100)</f>
        <v/>
      </c>
      <c r="N1624">
        <f>L1624*(1-MIN((Inputs!$B$9+((C1641=TRUE)*(F1641-Calc!F25))+B1656),100)/100)+M1624*(MIN((Inputs!$B$9+((C1641=TRUE)*(F1641-Calc!F25))+B1656),100)/100)</f>
        <v/>
      </c>
      <c r="O1624">
        <f>(1-Summary!$B$55)*T1624+Summary!$B$55*V1624</f>
        <v/>
      </c>
      <c r="P1624">
        <f>IF(B1660=0,0,O1624/B1660)</f>
        <v/>
      </c>
      <c r="Q1624">
        <f>IFERROR(1/IF(Inputs!$B$39="pvp",15,MAX(0.1,Skills!D8-IF(Skills!E8=TRUE,3.0,0))),0)</f>
        <v/>
      </c>
      <c r="R1624">
        <f>IF(AND(Inputs!$B$39&lt;&gt;"pvp",Inputs!$B$44&gt;0),IF(MAX(0,Inputs!$B$44-B1661)&lt;=0,0,(INT(MAX(0,Inputs!$B$44-B1661)/IF(Inputs!$B$39="pvp",15,MAX(0.1,Skills!D8-IF(Skills!E8=TRUE,3.0,0))))+1)),0)</f>
        <v/>
      </c>
      <c r="S1624">
        <f>IFERROR(O1624/N1624,0)</f>
        <v/>
      </c>
      <c r="T1624">
        <f>IF(C1624,(H1624*N1624*IF(AND(Inputs!$B$39&lt;&gt;"pvp",Inputs!$B$44&gt;0),((Skills!G8*((R1624-1)*IF(Skills!H8&gt;0,Skills!I8/Skills!H8,1)+IF(Skills!H8&gt;0,MIN(Skills!I8,MAX(0,MAX(0,Inputs!$B$44-B1661)-((R1624-1)*IF(Inputs!$B$39="pvp",15,MAX(0.1,Skills!D8-IF(Skills!E8=TRUE,3.0,0))))))/Skills!H8,1)))/Inputs!$B$44),G1624*Q1624))*IF(Inputs!$B$39="pvp",1,1+(Inputs!$B$20+((C1643=TRUE)*(F1643-Calc!F27))+Skills!P8+B1657)/100),0)</f>
        <v/>
      </c>
      <c r="V1624">
        <f>IF(C1624,(H1624*N1624*IF(AND(Inputs!$B$39&lt;&gt;"pvp",Inputs!$B$44&gt;0),((Skills!G8*((R1624-1)*IF(Skills!H8&gt;0,Skills!I8/Skills!H8,1)+IF(Skills!H8&gt;0,MIN(Skills!I8,MAX(0,MAX(0,Inputs!$B$44-B1661)-((R1624-1)*IF(Inputs!$B$39="pvp",15,MAX(0.1,Skills!D8-IF(Skills!E8=TRUE,3.0,0))))))/Skills!H8,1)))/Inputs!$B$44),G1624*Q1624))*IF(Inputs!$B$39="pvp",1,(1+(Inputs!$B$21+Skills!Q8+B1657)/100)*(MIN(Skills!W8,Inputs!$B$37))),0)</f>
        <v/>
      </c>
    </row>
    <row r="1625">
      <c r="A1625">
        <f>Skills!A9</f>
        <v/>
      </c>
      <c r="B1625">
        <f>Skills!B9</f>
        <v/>
      </c>
      <c r="C1625">
        <f>Inputs!$B$3&gt;=72</f>
        <v/>
      </c>
      <c r="D1625">
        <f>IF(Skills!C9=1,60+Inputs!$B$25+Inputs!$B$29,IF(Skills!C9=2,90+Inputs!$B$26+Inputs!$B$29,IF(Skills!C9=3,120+Inputs!$B$27+Inputs!$B$29,MAX(0,(Inputs!$B$3-100)*3)+Inputs!$B$28+Inputs!$B$29)))</f>
        <v/>
      </c>
      <c r="E1625">
        <f>INDEX(FactorTable!$B$2:$Y$301, MATCH(ROUND(MIN(300,MAX(1,D1625)),0), FactorTable!$A$2:$A$301,0), Skills!M9+1)</f>
        <v/>
      </c>
      <c r="F1625">
        <f>IF(Skills!N9=TRUE,(Skills!L9/10)*(E1625/1000),Skills!L9/10)+Skills!O9</f>
        <v/>
      </c>
      <c r="G1625">
        <f>Calc!G9</f>
        <v/>
      </c>
      <c r="H1625">
        <f>Calc!H9</f>
        <v/>
      </c>
      <c r="I1625">
        <f>IF(Skills!AA9&lt;&gt;"",1+(Skills!AA9/10)*(U1619/1000)/100,1)</f>
        <v/>
      </c>
      <c r="J1625">
        <f>((Inputs!$B$6*(1+Inputs!$B$7/100))+(((Inputs!$B$12*(1+Inputs!$B$13/100))-(Inputs!$B$12*(1+Inputs!$B$13/100)))+0.25*(Inputs!$B$14-Inputs!$B$14))*(1+Inputs!$B$7/100))*(F1625/100)</f>
        <v/>
      </c>
      <c r="K1625">
        <f>J1625*(1+((Inputs!$B$12*(1+Inputs!$B$13/100))*0.01+Inputs!$B$14*0.0025)/100)*(1+Inputs!$B$15/100)*(1+Inputs!$B$16/100)*(5000/(6000+Inputs!$B$43*(1-Inputs!$B$19/100)))*(1+(Inputs!$B$24+((C1646=TRUE)*(F1646-Calc!F30)))/100)*(1+Skills!R9/100)*(1+(IF(Skills!A9="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1625)</f>
        <v/>
      </c>
      <c r="L1625">
        <f>K1625*(MIN(Inputs!$B$22+((C1640=TRUE)*(F1640-Calc!F24)),Inputs!$B$23)/100+Inputs!$B$23/100)/2</f>
        <v/>
      </c>
      <c r="M1625">
        <f>L1625*(1+(Inputs!$B$10+((C1642=TRUE)*(F1642-Calc!F26))+B1659)/100)</f>
        <v/>
      </c>
      <c r="N1625">
        <f>L1625*(1-MIN((Inputs!$B$9+((C1641=TRUE)*(F1641-Calc!F25))+B1656),100)/100)+M1625*(MIN((Inputs!$B$9+((C1641=TRUE)*(F1641-Calc!F25))+B1656),100)/100)</f>
        <v/>
      </c>
      <c r="O1625">
        <f>(1-Summary!$B$55)*T1625+Summary!$B$55*V1625</f>
        <v/>
      </c>
      <c r="P1625">
        <f>IF(B1660=0,0,O1625/B1660)</f>
        <v/>
      </c>
      <c r="Q1625">
        <f>IFERROR(1/IF(Inputs!$B$39="pvp",15,MAX(0.1,Skills!D9-IF(Skills!E9=TRUE,3.0,0))),0)</f>
        <v/>
      </c>
      <c r="R1625">
        <f>IF(AND(Inputs!$B$39&lt;&gt;"pvp",Inputs!$B$44&gt;0),IF(MAX(0,Inputs!$B$44-B1661)&lt;=0,0,(INT(MAX(0,Inputs!$B$44-B1661)/IF(Inputs!$B$39="pvp",15,MAX(0.1,Skills!D9-IF(Skills!E9=TRUE,3.0,0))))+1)),0)</f>
        <v/>
      </c>
      <c r="S1625">
        <f>IFERROR(O1625/N1625,0)</f>
        <v/>
      </c>
      <c r="T1625">
        <f>IF(C1625,(H1625*N1625*IF(AND(Inputs!$B$39&lt;&gt;"pvp",Inputs!$B$44&gt;0),((Skills!G9*((R1625-1)*IF(Skills!H9&gt;0,Skills!I9/Skills!H9,1)+IF(Skills!H9&gt;0,MIN(Skills!I9,MAX(0,MAX(0,Inputs!$B$44-B1661)-((R1625-1)*IF(Inputs!$B$39="pvp",15,MAX(0.1,Skills!D9-IF(Skills!E9=TRUE,3.0,0))))))/Skills!H9,1)))/Inputs!$B$44),G1625*Q1625))*IF(Inputs!$B$39="pvp",1,1+(Inputs!$B$20+((C1643=TRUE)*(F1643-Calc!F27))+Skills!P9+B1657)/100),0)</f>
        <v/>
      </c>
      <c r="V1625">
        <f>IF(C1625,(H1625*N1625*IF(AND(Inputs!$B$39&lt;&gt;"pvp",Inputs!$B$44&gt;0),((Skills!G9*((R1625-1)*IF(Skills!H9&gt;0,Skills!I9/Skills!H9,1)+IF(Skills!H9&gt;0,MIN(Skills!I9,MAX(0,MAX(0,Inputs!$B$44-B1661)-((R1625-1)*IF(Inputs!$B$39="pvp",15,MAX(0.1,Skills!D9-IF(Skills!E9=TRUE,3.0,0))))))/Skills!H9,1)))/Inputs!$B$44),G1625*Q1625))*IF(Inputs!$B$39="pvp",1,(1+(Inputs!$B$21+Skills!Q9+B1657)/100)*(MIN(Skills!W9,Inputs!$B$37))),0)</f>
        <v/>
      </c>
    </row>
    <row r="1626">
      <c r="A1626">
        <f>Skills!A10</f>
        <v/>
      </c>
      <c r="B1626">
        <f>Skills!B10</f>
        <v/>
      </c>
      <c r="C1626">
        <f>Inputs!$B$3&gt;=117</f>
        <v/>
      </c>
      <c r="D1626">
        <f>IF(Skills!C10=1,60+Inputs!$B$25+Inputs!$B$29,IF(Skills!C10=2,90+Inputs!$B$26+Inputs!$B$29,IF(Skills!C10=3,120+Inputs!$B$27+Inputs!$B$29,MAX(0,(Inputs!$B$3-100)*3)+Inputs!$B$28+Inputs!$B$29)))</f>
        <v/>
      </c>
      <c r="E1626">
        <f>INDEX(FactorTable!$B$2:$Y$301, MATCH(ROUND(MIN(300,MAX(1,D1626)),0), FactorTable!$A$2:$A$301,0), Skills!M10+1)</f>
        <v/>
      </c>
      <c r="F1626">
        <f>IF(Skills!N10=TRUE,(Skills!L10/10)*(E1626/1000),Skills!L10/10)+Skills!O10</f>
        <v/>
      </c>
      <c r="G1626">
        <f>Calc!G10</f>
        <v/>
      </c>
      <c r="H1626">
        <f>Calc!H10</f>
        <v/>
      </c>
      <c r="I1626">
        <f>IF(Skills!AA10&lt;&gt;"",1+(Skills!AA10/10)*(U1619/1000)/100,1)</f>
        <v/>
      </c>
      <c r="J1626">
        <f>((Inputs!$B$6*(1+Inputs!$B$7/100))+(((Inputs!$B$12*(1+Inputs!$B$13/100))-(Inputs!$B$12*(1+Inputs!$B$13/100)))+0.25*(Inputs!$B$14-Inputs!$B$14))*(1+Inputs!$B$7/100))*(F1626/100)</f>
        <v/>
      </c>
      <c r="K1626">
        <f>J1626*(1+((Inputs!$B$12*(1+Inputs!$B$13/100))*0.01+Inputs!$B$14*0.0025)/100)*(1+Inputs!$B$15/100)*(1+Inputs!$B$16/100)*(5000/(6000+Inputs!$B$43*(1-Inputs!$B$19/100)))*(1+(Inputs!$B$24+((C1646=TRUE)*(F1646-Calc!F30)))/100)*(1+Skills!R10/100)*(1+(IF(Skills!A10="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1626)</f>
        <v/>
      </c>
      <c r="L1626">
        <f>K1626*(MIN(Inputs!$B$22+((C1640=TRUE)*(F1640-Calc!F24)),Inputs!$B$23)/100+Inputs!$B$23/100)/2</f>
        <v/>
      </c>
      <c r="M1626">
        <f>L1626*(1+(Inputs!$B$10+((C1642=TRUE)*(F1642-Calc!F26))+B1659)/100)</f>
        <v/>
      </c>
      <c r="N1626">
        <f>L1626*(1-MIN((Inputs!$B$9+((C1641=TRUE)*(F1641-Calc!F25))+B1656),100)/100)+M1626*(MIN((Inputs!$B$9+((C1641=TRUE)*(F1641-Calc!F25))+B1656),100)/100)</f>
        <v/>
      </c>
      <c r="O1626">
        <f>(1-Summary!$B$55)*T1626+Summary!$B$55*V1626</f>
        <v/>
      </c>
      <c r="P1626">
        <f>IF(B1660=0,0,O1626/B1660)</f>
        <v/>
      </c>
      <c r="Q1626" t="n">
        <v>0</v>
      </c>
      <c r="R1626" t="n">
        <v>0</v>
      </c>
      <c r="S1626" t="n">
        <v>0</v>
      </c>
      <c r="T1626">
        <f>IF(C1626,(0.2*SUMPRODUCT((Skills!Z2:Z31=TRUE)*(C1618:C1647=TRUE)*S1618:S1647)*N1626)*IF(Inputs!$B$39="pvp",1,1+(Inputs!$B$20+((C1643=TRUE)*(F1643-Calc!F27))+Skills!P10+B1657)/100),0)</f>
        <v/>
      </c>
      <c r="V1626">
        <f>IF(C1626,(0.2*SUMPRODUCT((Skills!Z2:Z31=TRUE)*(C1618:C1647=TRUE)*S1618:S1647)*N1626)*IF(Inputs!$B$39="pvp",1,(1+(Inputs!$B$21+Skills!Q10+B1657)/100)*(MIN(Skills!W10,Inputs!$B$37))),0)</f>
        <v/>
      </c>
    </row>
    <row r="1627">
      <c r="A1627">
        <f>Skills!A11</f>
        <v/>
      </c>
      <c r="B1627">
        <f>Skills!B11</f>
        <v/>
      </c>
      <c r="C1627">
        <f>Inputs!$B$3&gt;=60</f>
        <v/>
      </c>
      <c r="D1627">
        <f>IF(Skills!C11=1,60+Inputs!$B$25+Inputs!$B$29,IF(Skills!C11=2,90+Inputs!$B$26+Inputs!$B$29,IF(Skills!C11=3,120+Inputs!$B$27+Inputs!$B$29,MAX(0,(Inputs!$B$3-100)*3)+Inputs!$B$28+Inputs!$B$29)))</f>
        <v/>
      </c>
      <c r="E1627">
        <f>INDEX(FactorTable!$B$2:$Y$301, MATCH(ROUND(MIN(300,MAX(1,D1627)),0), FactorTable!$A$2:$A$301,0), Skills!M11+1)</f>
        <v/>
      </c>
      <c r="F1627">
        <f>IF(Skills!N11=TRUE,(Skills!L11/10)*(E1627/1000),Skills!L11/10)+Skills!O11</f>
        <v/>
      </c>
      <c r="G1627">
        <f>Calc!G11</f>
        <v/>
      </c>
      <c r="H1627">
        <f>Calc!H11</f>
        <v/>
      </c>
      <c r="I1627">
        <f>IF(Skills!AA11&lt;&gt;"",1+(Skills!AA11/10)*(U1619/1000)/100,1)</f>
        <v/>
      </c>
      <c r="J1627" t="inlineStr"/>
      <c r="K1627" t="inlineStr"/>
      <c r="L1627" t="inlineStr"/>
      <c r="M1627" t="inlineStr"/>
      <c r="N1627" t="inlineStr"/>
      <c r="O1627">
        <f>(1-Summary!$B$55)*T1627+Summary!$B$55*V1627</f>
        <v/>
      </c>
      <c r="P1627">
        <f>IF(B1660=0,0,O1627/B1660)</f>
        <v/>
      </c>
      <c r="Q1627" t="n">
        <v>0</v>
      </c>
      <c r="R1627" t="n">
        <v>0</v>
      </c>
      <c r="S1627">
        <f>IFERROR(O1627/N1627,0)</f>
        <v/>
      </c>
      <c r="T1627" t="n">
        <v>0</v>
      </c>
      <c r="V1627" t="n">
        <v>0</v>
      </c>
    </row>
    <row r="1628">
      <c r="A1628">
        <f>Skills!A12</f>
        <v/>
      </c>
      <c r="B1628">
        <f>Skills!B12</f>
        <v/>
      </c>
      <c r="C1628">
        <f>Inputs!$B$3&gt;=103</f>
        <v/>
      </c>
      <c r="D1628">
        <f>IF(Skills!C12=1,60+Inputs!$B$25+Inputs!$B$29,IF(Skills!C12=2,90+Inputs!$B$26+Inputs!$B$29,IF(Skills!C12=3,120+Inputs!$B$27+Inputs!$B$29,MAX(0,(Inputs!$B$3-100)*3)+Inputs!$B$28+Inputs!$B$29)))</f>
        <v/>
      </c>
      <c r="E1628">
        <f>INDEX(FactorTable!$B$2:$Y$301, MATCH(ROUND(MIN(300,MAX(1,D1628)),0), FactorTable!$A$2:$A$301,0), Skills!M12+1)</f>
        <v/>
      </c>
      <c r="F1628">
        <f>IF(Skills!N12=TRUE,(Skills!L12/10)*(E1628/1000),Skills!L12/10)+Skills!O12</f>
        <v/>
      </c>
      <c r="G1628">
        <f>Calc!G12</f>
        <v/>
      </c>
      <c r="H1628">
        <f>Calc!H12</f>
        <v/>
      </c>
      <c r="I1628">
        <f>IF(Skills!AA12&lt;&gt;"",1+(Skills!AA12/10)*(U1619/1000)/100,1)</f>
        <v/>
      </c>
      <c r="J1628">
        <f>((Inputs!$B$6*(1+Inputs!$B$7/100))+(((Inputs!$B$12*(1+Inputs!$B$13/100))-(Inputs!$B$12*(1+Inputs!$B$13/100)))+0.25*(Inputs!$B$14-Inputs!$B$14))*(1+Inputs!$B$7/100))*(F1628/100)</f>
        <v/>
      </c>
      <c r="K1628">
        <f>J1628*(1+((Inputs!$B$12*(1+Inputs!$B$13/100))*0.01+Inputs!$B$14*0.0025)/100)*(1+Inputs!$B$15/100)*(1+Inputs!$B$16/100)*(5000/(6000+Inputs!$B$43*(1-Inputs!$B$19/100)))*(1+(Inputs!$B$24+((C1646=TRUE)*(F1646-Calc!F30)))/100)*(1+Skills!R12/100)*(1+(IF(Skills!A12="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1628)</f>
        <v/>
      </c>
      <c r="L1628">
        <f>K1628*(MIN(Inputs!$B$22+((C1640=TRUE)*(F1640-Calc!F24)),Inputs!$B$23)/100+Inputs!$B$23/100)/2</f>
        <v/>
      </c>
      <c r="M1628">
        <f>L1628*(1+(Inputs!$B$10+((C1642=TRUE)*(F1642-Calc!F26))+B1659)/100)</f>
        <v/>
      </c>
      <c r="N1628">
        <f>L1628*(1-MIN((Inputs!$B$9+((C1641=TRUE)*(F1641-Calc!F25))+B1656),100)/100)+M1628*(MIN((Inputs!$B$9+((C1641=TRUE)*(F1641-Calc!F25))+B1656),100)/100)</f>
        <v/>
      </c>
      <c r="O1628">
        <f>(1-Summary!$B$55)*T1628+Summary!$B$55*V1628</f>
        <v/>
      </c>
      <c r="P1628">
        <f>IF(B1660=0,0,O1628/B1660)</f>
        <v/>
      </c>
      <c r="Q1628">
        <f>IFERROR(1/IF(Inputs!$B$39="pvp",15,MAX(0.1,Skills!D12-IF(Skills!E12=TRUE,3.0,0))),0)</f>
        <v/>
      </c>
      <c r="R1628">
        <f>IF(AND(Inputs!$B$39&lt;&gt;"pvp",Inputs!$B$44&gt;0),IF(MAX(0,Inputs!$B$44-B1661)&lt;=0,0,(INT(MAX(0,Inputs!$B$44-B1661)/IF(Inputs!$B$39="pvp",15,MAX(0.1,Skills!D12-IF(Skills!E12=TRUE,3.0,0))))+1)),0)</f>
        <v/>
      </c>
      <c r="S1628">
        <f>IFERROR(O1628/N1628,0)</f>
        <v/>
      </c>
      <c r="T1628">
        <f>IF(C1628,(H1628*N1628*IF(AND(Inputs!$B$39&lt;&gt;"pvp",Inputs!$B$44&gt;0),((Skills!G12*((R1628-1)*IF(Skills!H12&gt;0,Skills!I12/Skills!H12,1)+IF(Skills!H12&gt;0,MIN(Skills!I12,MAX(0,MAX(0,Inputs!$B$44-B1661)-((R1628-1)*IF(Inputs!$B$39="pvp",15,MAX(0.1,Skills!D12-IF(Skills!E12=TRUE,3.0,0))))))/Skills!H12,1)))/Inputs!$B$44),G1628*Q1628))*IF(Inputs!$B$39="pvp",1,1+(Inputs!$B$20+((C1643=TRUE)*(F1643-Calc!F27))+Skills!P12+B1657)/100),0)</f>
        <v/>
      </c>
      <c r="V1628">
        <f>IF(C1628,(H1628*N1628*IF(AND(Inputs!$B$39&lt;&gt;"pvp",Inputs!$B$44&gt;0),((Skills!G12*((R1628-1)*IF(Skills!H12&gt;0,Skills!I12/Skills!H12,1)+IF(Skills!H12&gt;0,MIN(Skills!I12,MAX(0,MAX(0,Inputs!$B$44-B1661)-((R1628-1)*IF(Inputs!$B$39="pvp",15,MAX(0.1,Skills!D12-IF(Skills!E12=TRUE,3.0,0))))))/Skills!H12,1)))/Inputs!$B$44),G1628*Q1628))*IF(Inputs!$B$39="pvp",1,(1+(Inputs!$B$21+Skills!Q12+B1657)/100)*(MIN(Skills!W12,Inputs!$B$37))),0)</f>
        <v/>
      </c>
    </row>
    <row r="1629">
      <c r="A1629">
        <f>Skills!A13</f>
        <v/>
      </c>
      <c r="B1629">
        <f>Skills!B13</f>
        <v/>
      </c>
      <c r="C1629">
        <f>Inputs!$B$3&gt;=105</f>
        <v/>
      </c>
      <c r="D1629">
        <f>IF(Skills!C13=1,60+Inputs!$B$25+Inputs!$B$29,IF(Skills!C13=2,90+Inputs!$B$26+Inputs!$B$29,IF(Skills!C13=3,120+Inputs!$B$27+Inputs!$B$29,MAX(0,(Inputs!$B$3-100)*3)+Inputs!$B$28+Inputs!$B$29)))</f>
        <v/>
      </c>
      <c r="E1629">
        <f>INDEX(FactorTable!$B$2:$Y$301, MATCH(ROUND(MIN(300,MAX(1,D1629)),0), FactorTable!$A$2:$A$301,0), Skills!M13+1)</f>
        <v/>
      </c>
      <c r="F1629">
        <f>IF(Skills!N13=TRUE,(Skills!L13/10)*(E1629/1000),Skills!L13/10)+Skills!O13</f>
        <v/>
      </c>
      <c r="G1629">
        <f>Calc!G13</f>
        <v/>
      </c>
      <c r="H1629">
        <f>Calc!H13</f>
        <v/>
      </c>
      <c r="I1629">
        <f>IF(Skills!AA13&lt;&gt;"",1+(Skills!AA13/10)*(U1619/1000)/100,1)</f>
        <v/>
      </c>
      <c r="J1629">
        <f>((Inputs!$B$6*(1+Inputs!$B$7/100))+(((Inputs!$B$12*(1+Inputs!$B$13/100))-(Inputs!$B$12*(1+Inputs!$B$13/100)))+0.25*(Inputs!$B$14-Inputs!$B$14))*(1+Inputs!$B$7/100))*(F1629/100)</f>
        <v/>
      </c>
      <c r="K1629">
        <f>J1629*(1+((Inputs!$B$12*(1+Inputs!$B$13/100))*0.01+Inputs!$B$14*0.0025)/100)*(1+Inputs!$B$15/100)*(1+Inputs!$B$16/100)*(5000/(6000+Inputs!$B$43*(1-Inputs!$B$19/100)))*(1+(Inputs!$B$24+((C1646=TRUE)*(F1646-Calc!F30)))/100)*(1+Skills!R13/100)*(1+(IF(Skills!A13="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1629)</f>
        <v/>
      </c>
      <c r="L1629">
        <f>K1629*(MIN(Inputs!$B$22+((C1640=TRUE)*(F1640-Calc!F24)),Inputs!$B$23)/100+Inputs!$B$23/100)/2</f>
        <v/>
      </c>
      <c r="M1629">
        <f>L1629*(1+(Inputs!$B$10+((C1642=TRUE)*(F1642-Calc!F26))+B1659)/100)</f>
        <v/>
      </c>
      <c r="N1629">
        <f>L1629*(1-MIN((Inputs!$B$9+((C1641=TRUE)*(F1641-Calc!F25))+B1656),100)/100)+M1629*(MIN((Inputs!$B$9+((C1641=TRUE)*(F1641-Calc!F25))+B1656),100)/100)</f>
        <v/>
      </c>
      <c r="O1629">
        <f>(1-Summary!$B$55)*T1629+Summary!$B$55*V1629</f>
        <v/>
      </c>
      <c r="P1629">
        <f>IF(B1660=0,0,O1629/B1660)</f>
        <v/>
      </c>
      <c r="Q1629">
        <f>IFERROR(1/IF(Inputs!$B$39="pvp",15,MAX(0.1,Skills!D13-IF(Skills!E13=TRUE,3.0,0))),0)</f>
        <v/>
      </c>
      <c r="R1629">
        <f>IF(AND(Inputs!$B$39&lt;&gt;"pvp",Inputs!$B$44&gt;0),IF(MAX(0,Inputs!$B$44-B1661)&lt;=0,0,(INT(MAX(0,Inputs!$B$44-B1661)/IF(Inputs!$B$39="pvp",15,MAX(0.1,Skills!D13-IF(Skills!E13=TRUE,3.0,0))))+1)),0)</f>
        <v/>
      </c>
      <c r="S1629">
        <f>IFERROR(O1629/N1629,0)</f>
        <v/>
      </c>
      <c r="T1629">
        <f>IF(C1629,(H1629*N1629*IF(AND(Inputs!$B$39&lt;&gt;"pvp",Inputs!$B$44&gt;0),((Skills!G13*((R1629-1)*IF(Skills!H13&gt;0,Skills!I13/Skills!H13,1)+IF(Skills!H13&gt;0,MIN(Skills!I13,MAX(0,MAX(0,Inputs!$B$44-B1661)-((R1629-1)*IF(Inputs!$B$39="pvp",15,MAX(0.1,Skills!D13-IF(Skills!E13=TRUE,3.0,0))))))/Skills!H13,1)))/Inputs!$B$44),G1629*Q1629))*IF(Inputs!$B$39="pvp",1,1+(Inputs!$B$20+((C1643=TRUE)*(F1643-Calc!F27))+Skills!P13+B1657)/100),0)</f>
        <v/>
      </c>
      <c r="V1629">
        <f>IF(C1629,(H1629*N1629*IF(AND(Inputs!$B$39&lt;&gt;"pvp",Inputs!$B$44&gt;0),((Skills!G13*((R1629-1)*IF(Skills!H13&gt;0,Skills!I13/Skills!H13,1)+IF(Skills!H13&gt;0,MIN(Skills!I13,MAX(0,MAX(0,Inputs!$B$44-B1661)-((R1629-1)*IF(Inputs!$B$39="pvp",15,MAX(0.1,Skills!D13-IF(Skills!E13=TRUE,3.0,0))))))/Skills!H13,1)))/Inputs!$B$44),G1629*Q1629))*IF(Inputs!$B$39="pvp",1,(1+(Inputs!$B$21+Skills!Q13+B1657)/100)*(MIN(Skills!W13,Inputs!$B$37))),0)</f>
        <v/>
      </c>
    </row>
    <row r="1630">
      <c r="A1630">
        <f>Skills!A14</f>
        <v/>
      </c>
      <c r="B1630">
        <f>Skills!B14</f>
        <v/>
      </c>
      <c r="C1630">
        <f>Inputs!$B$3&gt;=105</f>
        <v/>
      </c>
      <c r="D1630">
        <f>IF(Skills!C14=1,60+Inputs!$B$25+Inputs!$B$29,IF(Skills!C14=2,90+Inputs!$B$26+Inputs!$B$29,IF(Skills!C14=3,120+Inputs!$B$27+Inputs!$B$29,MAX(0,(Inputs!$B$3-100)*3)+Inputs!$B$28+Inputs!$B$29)))</f>
        <v/>
      </c>
      <c r="E1630">
        <f>INDEX(FactorTable!$B$2:$Y$301, MATCH(ROUND(MIN(300,MAX(1,D1630)),0), FactorTable!$A$2:$A$301,0), Skills!M14+1)</f>
        <v/>
      </c>
      <c r="F1630">
        <f>IF(Skills!N14=TRUE,(Skills!L14/10)*(E1630/1000),Skills!L14/10)+Skills!O14</f>
        <v/>
      </c>
      <c r="G1630">
        <f>Calc!G14</f>
        <v/>
      </c>
      <c r="H1630">
        <f>Calc!H14</f>
        <v/>
      </c>
      <c r="I1630">
        <f>IF(Skills!AA14&lt;&gt;"",1+(Skills!AA14/10)*(U1619/1000)/100,1)</f>
        <v/>
      </c>
      <c r="J1630">
        <f>((Inputs!$B$6*(1+Inputs!$B$7/100))+(((Inputs!$B$12*(1+Inputs!$B$13/100))-(Inputs!$B$12*(1+Inputs!$B$13/100)))+0.25*(Inputs!$B$14-Inputs!$B$14))*(1+Inputs!$B$7/100))*(F1630/100)</f>
        <v/>
      </c>
      <c r="K1630">
        <f>J1630*(1+((Inputs!$B$12*(1+Inputs!$B$13/100))*0.01+Inputs!$B$14*0.0025)/100)*(1+Inputs!$B$15/100)*(1+Inputs!$B$16/100)*(5000/(6000+Inputs!$B$43*(1-Inputs!$B$19/100)))*(1+(Inputs!$B$24+((C1646=TRUE)*(F1646-Calc!F30)))/100)*(1+Skills!R14/100)*(1+(IF(Skills!A14="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1630)</f>
        <v/>
      </c>
      <c r="L1630">
        <f>K1630*(MIN(Inputs!$B$22+((C1640=TRUE)*(F1640-Calc!F24)),Inputs!$B$23)/100+Inputs!$B$23/100)/2</f>
        <v/>
      </c>
      <c r="M1630">
        <f>L1630*(1+(Inputs!$B$10+((C1642=TRUE)*(F1642-Calc!F26))+B1659)/100)</f>
        <v/>
      </c>
      <c r="N1630">
        <f>L1630*(1-MIN((Inputs!$B$9+((C1641=TRUE)*(F1641-Calc!F25))+B1656),100)/100)+M1630*(MIN((Inputs!$B$9+((C1641=TRUE)*(F1641-Calc!F25))+B1656),100)/100)</f>
        <v/>
      </c>
      <c r="O1630">
        <f>(1-Summary!$B$55)*T1630+Summary!$B$55*V1630</f>
        <v/>
      </c>
      <c r="P1630">
        <f>IF(B1660=0,0,O1630/B1660)</f>
        <v/>
      </c>
      <c r="Q1630">
        <f>IFERROR(1/IF(Inputs!$B$39="pvp",15,MAX(0.1,Skills!D14-IF(Skills!E14=TRUE,3.0,0))),0)</f>
        <v/>
      </c>
      <c r="R1630">
        <f>IF(AND(Inputs!$B$39&lt;&gt;"pvp",Inputs!$B$44&gt;0),IF(MAX(0,Inputs!$B$44-B1661)&lt;=0,0,(INT(MAX(0,Inputs!$B$44-B1661)/IF(Inputs!$B$39="pvp",15,MAX(0.1,Skills!D14-IF(Skills!E14=TRUE,3.0,0))))+1)),0)</f>
        <v/>
      </c>
      <c r="S1630">
        <f>IFERROR(O1630/N1630,0)</f>
        <v/>
      </c>
      <c r="T1630">
        <f>IF(C1630,(H1630*N1630*IF(AND(Inputs!$B$39&lt;&gt;"pvp",Inputs!$B$44&gt;0),((Skills!G14*((R1630-1)*IF(Skills!H14&gt;0,Skills!I14/Skills!H14,1)+IF(Skills!H14&gt;0,MIN(Skills!I14,MAX(0,MAX(0,Inputs!$B$44-B1661)-((R1630-1)*IF(Inputs!$B$39="pvp",15,MAX(0.1,Skills!D14-IF(Skills!E14=TRUE,3.0,0))))))/Skills!H14,1)))/Inputs!$B$44),G1630*Q1630))*IF(Inputs!$B$39="pvp",1,1+(Inputs!$B$20+((C1643=TRUE)*(F1643-Calc!F27))+Skills!P14+B1657)/100),0)</f>
        <v/>
      </c>
      <c r="V1630">
        <f>IF(C1630,(H1630*N1630*IF(AND(Inputs!$B$39&lt;&gt;"pvp",Inputs!$B$44&gt;0),((Skills!G14*((R1630-1)*IF(Skills!H14&gt;0,Skills!I14/Skills!H14,1)+IF(Skills!H14&gt;0,MIN(Skills!I14,MAX(0,MAX(0,Inputs!$B$44-B1661)-((R1630-1)*IF(Inputs!$B$39="pvp",15,MAX(0.1,Skills!D14-IF(Skills!E14=TRUE,3.0,0))))))/Skills!H14,1)))/Inputs!$B$44),G1630*Q1630))*IF(Inputs!$B$39="pvp",1,(1+(Inputs!$B$21+Skills!Q14+B1657)/100)*(MIN(Skills!W14,Inputs!$B$37))),0)</f>
        <v/>
      </c>
    </row>
    <row r="1631">
      <c r="A1631">
        <f>Skills!A15</f>
        <v/>
      </c>
      <c r="B1631">
        <f>Skills!B15</f>
        <v/>
      </c>
      <c r="C1631">
        <f>Inputs!$B$3&gt;=110</f>
        <v/>
      </c>
      <c r="D1631">
        <f>IF(Skills!C15=1,60+Inputs!$B$25+Inputs!$B$29,IF(Skills!C15=2,90+Inputs!$B$26+Inputs!$B$29,IF(Skills!C15=3,120+Inputs!$B$27+Inputs!$B$29,MAX(0,(Inputs!$B$3-100)*3)+Inputs!$B$28+Inputs!$B$29)))</f>
        <v/>
      </c>
      <c r="E1631">
        <f>INDEX(FactorTable!$B$2:$Y$301, MATCH(ROUND(MIN(300,MAX(1,D1631)),0), FactorTable!$A$2:$A$301,0), Skills!M15+1)</f>
        <v/>
      </c>
      <c r="F1631">
        <f>IF(Skills!N15=TRUE,(Skills!L15/10)*(E1631/1000),Skills!L15/10)+Skills!O15</f>
        <v/>
      </c>
      <c r="G1631">
        <f>Calc!G15</f>
        <v/>
      </c>
      <c r="H1631">
        <f>Calc!H15</f>
        <v/>
      </c>
      <c r="I1631">
        <f>IF(Skills!AA15&lt;&gt;"",1+(Skills!AA15/10)*(U1619/1000)/100,1)</f>
        <v/>
      </c>
      <c r="J1631" t="inlineStr"/>
      <c r="K1631" t="inlineStr"/>
      <c r="L1631" t="inlineStr"/>
      <c r="M1631" t="inlineStr"/>
      <c r="N1631" t="inlineStr"/>
      <c r="O1631">
        <f>(1-Summary!$B$55)*T1631+Summary!$B$55*V1631</f>
        <v/>
      </c>
      <c r="P1631">
        <f>IF(B1660=0,0,O1631/B1660)</f>
        <v/>
      </c>
      <c r="Q1631">
        <f>IFERROR(1/IF(Inputs!$B$39="pvp",15,MAX(0.1,Skills!D15-IF(Skills!E15=TRUE,3.0,0))),0)</f>
        <v/>
      </c>
      <c r="R1631">
        <f>IF(AND(Inputs!$B$39&lt;&gt;"pvp",Inputs!$B$44&gt;0),IF(Inputs!$B$44&lt;=0,0,(INT(Inputs!$B$44/IF(Inputs!$B$39="pvp",15,MAX(0.1,Skills!D15-IF(Skills!E15=TRUE,3.0,0))))+1)),0)</f>
        <v/>
      </c>
      <c r="S1631">
        <f>IFERROR(O1631/N1631,0)</f>
        <v/>
      </c>
      <c r="T1631" t="n">
        <v>0</v>
      </c>
      <c r="V1631" t="n">
        <v>0</v>
      </c>
    </row>
    <row r="1632">
      <c r="A1632">
        <f>Skills!A16</f>
        <v/>
      </c>
      <c r="B1632">
        <f>Skills!B16</f>
        <v/>
      </c>
      <c r="C1632">
        <f>Inputs!$B$3&gt;=110</f>
        <v/>
      </c>
      <c r="D1632">
        <f>IF(Skills!C16=1,60+Inputs!$B$25+Inputs!$B$29,IF(Skills!C16=2,90+Inputs!$B$26+Inputs!$B$29,IF(Skills!C16=3,120+Inputs!$B$27+Inputs!$B$29,MAX(0,(Inputs!$B$3-100)*3)+Inputs!$B$28+Inputs!$B$29)))</f>
        <v/>
      </c>
      <c r="E1632">
        <f>INDEX(FactorTable!$B$2:$Y$301, MATCH(ROUND(MIN(300,MAX(1,D1632)),0), FactorTable!$A$2:$A$301,0), Skills!M16+1)</f>
        <v/>
      </c>
      <c r="F1632">
        <f>IF(Skills!N16=TRUE,(Skills!L16/10)*(E1632/1000),Skills!L16/10)+Skills!O16</f>
        <v/>
      </c>
      <c r="G1632">
        <f>Calc!G16</f>
        <v/>
      </c>
      <c r="H1632">
        <f>Calc!H16</f>
        <v/>
      </c>
      <c r="I1632">
        <f>IF(Skills!AA16&lt;&gt;"",1+(Skills!AA16/10)*(U1619/1000)/100,1)</f>
        <v/>
      </c>
      <c r="J1632" t="inlineStr"/>
      <c r="K1632" t="inlineStr"/>
      <c r="L1632" t="inlineStr"/>
      <c r="M1632" t="inlineStr"/>
      <c r="N1632" t="inlineStr"/>
      <c r="O1632">
        <f>(1-Summary!$B$55)*T1632+Summary!$B$55*V1632</f>
        <v/>
      </c>
      <c r="P1632">
        <f>IF(B1660=0,0,O1632/B1660)</f>
        <v/>
      </c>
      <c r="Q1632">
        <f>IFERROR(1/IF(Inputs!$B$39="pvp",15,MAX(0.1,Skills!D16-IF(Skills!E16=TRUE,3.0,0))),0)</f>
        <v/>
      </c>
      <c r="R1632">
        <f>IF(AND(Inputs!$B$39&lt;&gt;"pvp",Inputs!$B$44&gt;0),IF(Inputs!$B$44&lt;=0,0,(INT(Inputs!$B$44/IF(Inputs!$B$39="pvp",15,MAX(0.1,Skills!D16-IF(Skills!E16=TRUE,3.0,0))))+1)),0)</f>
        <v/>
      </c>
      <c r="S1632">
        <f>IFERROR(O1632/N1632,0)</f>
        <v/>
      </c>
      <c r="T1632" t="n">
        <v>0</v>
      </c>
      <c r="V1632" t="n">
        <v>0</v>
      </c>
    </row>
    <row r="1633">
      <c r="A1633">
        <f>Skills!A17</f>
        <v/>
      </c>
      <c r="B1633">
        <f>Skills!B17</f>
        <v/>
      </c>
      <c r="C1633">
        <f>Inputs!$B$3&gt;=115</f>
        <v/>
      </c>
      <c r="D1633">
        <f>IF(Skills!C17=1,60+Inputs!$B$25+Inputs!$B$29,IF(Skills!C17=2,90+Inputs!$B$26+Inputs!$B$29,IF(Skills!C17=3,120+Inputs!$B$27+Inputs!$B$29,MAX(0,(Inputs!$B$3-100)*3)+Inputs!$B$28+Inputs!$B$29)))</f>
        <v/>
      </c>
      <c r="E1633">
        <f>INDEX(FactorTable!$B$2:$Y$301, MATCH(ROUND(MIN(300,MAX(1,D1633)),0), FactorTable!$A$2:$A$301,0), Skills!M17+1)</f>
        <v/>
      </c>
      <c r="F1633">
        <f>IF(Skills!N17=TRUE,(Skills!L17/10)*(E1633/1000),Skills!L17/10)+Skills!O17</f>
        <v/>
      </c>
      <c r="G1633">
        <f>Calc!G17</f>
        <v/>
      </c>
      <c r="H1633">
        <f>Calc!H17</f>
        <v/>
      </c>
      <c r="I1633">
        <f>IF(Skills!AA17&lt;&gt;"",1+(Skills!AA17/10)*(U1619/1000)/100,1)</f>
        <v/>
      </c>
      <c r="J1633">
        <f>((Inputs!$B$6*(1+Inputs!$B$7/100))+(((Inputs!$B$12*(1+Inputs!$B$13/100))-(Inputs!$B$12*(1+Inputs!$B$13/100)))+0.25*(Inputs!$B$14-Inputs!$B$14))*(1+Inputs!$B$7/100))*(F1633/100)</f>
        <v/>
      </c>
      <c r="K1633">
        <f>J1633*(1+((Inputs!$B$12*(1+Inputs!$B$13/100))*0.01+Inputs!$B$14*0.0025)/100)*(1+Inputs!$B$15/100)*(1+Inputs!$B$16/100)*(5000/(6000+Inputs!$B$43*(1-Inputs!$B$19/100)))*(1+(Inputs!$B$24+((C1646=TRUE)*(F1646-Calc!F30)))/100)*(1+Skills!R17/100)*(1+(IF(Skills!A17="SHOWDOWN",Inputs!$B$17+((C1639=TRUE)*(F1639-Calc!F23)),Inputs!$B$18+((C1645=TRUE)*(F1645-Calc!F29))))/100)*(((1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B1658*I1633)</f>
        <v/>
      </c>
      <c r="L1633">
        <f>K1633*(MIN(Inputs!$B$22+((C1640=TRUE)*(F1640-Calc!F24)),Inputs!$B$23)/100+Inputs!$B$23/100)/2</f>
        <v/>
      </c>
      <c r="M1633">
        <f>L1633*(1+(Inputs!$B$10+((C1642=TRUE)*(F1642-Calc!F26))+B1659)/100)</f>
        <v/>
      </c>
      <c r="N1633">
        <f>L1633*(1-MIN((Inputs!$B$9+((C1641=TRUE)*(F1641-Calc!F25))+B1656),100)/100)+M1633*(MIN((Inputs!$B$9+((C1641=TRUE)*(F1641-Calc!F25))+B1656),100)/100)</f>
        <v/>
      </c>
      <c r="O1633">
        <f>(1-Summary!$B$55)*T1633+Summary!$B$55*V1633</f>
        <v/>
      </c>
      <c r="P1633">
        <f>IF(B1660=0,0,O1633/B1660)</f>
        <v/>
      </c>
      <c r="Q1633" t="n">
        <v>0</v>
      </c>
      <c r="R1633" t="n">
        <v>0</v>
      </c>
      <c r="S1633">
        <f>IFERROR(O1633/N1633,0)</f>
        <v/>
      </c>
      <c r="T1633">
        <f>IF(C1633,(Inputs!$B$38*0.2*N1633)*IF(Inputs!$B$39="pvp",1,1+(Inputs!$B$20+((C1643=TRUE)*(F1643-Calc!F27))+Skills!P17+B1657)/100),0)</f>
        <v/>
      </c>
      <c r="V1633">
        <f>IF(C1633,(Inputs!$B$38*0.2*N1633)*IF(Inputs!$B$39="pvp",1,(1+(Inputs!$B$21+Skills!Q17+B1657)/100)*(MIN(Skills!W17,Inputs!$B$37))),0)</f>
        <v/>
      </c>
    </row>
    <row r="1634">
      <c r="A1634">
        <f>Skills!A18</f>
        <v/>
      </c>
      <c r="B1634">
        <f>Skills!B18</f>
        <v/>
      </c>
      <c r="C1634">
        <f>Inputs!$B$3&gt;=115</f>
        <v/>
      </c>
      <c r="D1634">
        <f>IF(Skills!C18=1,60+Inputs!$B$25+Inputs!$B$29,IF(Skills!C18=2,90+Inputs!$B$26+Inputs!$B$29,IF(Skills!C18=3,120+Inputs!$B$27+Inputs!$B$29,MAX(0,(Inputs!$B$3-100)*3)+Inputs!$B$28+Inputs!$B$29)))</f>
        <v/>
      </c>
      <c r="E1634">
        <f>INDEX(FactorTable!$B$2:$Y$301, MATCH(ROUND(MIN(300,MAX(1,D1634)),0), FactorTable!$A$2:$A$301,0), Skills!M18+1)</f>
        <v/>
      </c>
      <c r="F1634">
        <f>IF(Skills!N18=TRUE,(Skills!L18/10)*(E1634/1000),Skills!L18/10)+Skills!O18</f>
        <v/>
      </c>
      <c r="G1634">
        <f>Calc!G18</f>
        <v/>
      </c>
      <c r="H1634">
        <f>Calc!H18</f>
        <v/>
      </c>
      <c r="I1634">
        <f>IF(Skills!AA18&lt;&gt;"",1+(Skills!AA18/10)*(U1619/1000)/100,1)</f>
        <v/>
      </c>
      <c r="J1634" t="inlineStr"/>
      <c r="K1634" t="inlineStr"/>
      <c r="L1634" t="inlineStr"/>
      <c r="M1634" t="inlineStr"/>
      <c r="N1634" t="inlineStr"/>
      <c r="O1634">
        <f>(1-Summary!$B$55)*T1634+Summary!$B$55*V1634</f>
        <v/>
      </c>
      <c r="P1634">
        <f>IF(B1660=0,0,O1634/B1660)</f>
        <v/>
      </c>
      <c r="Q1634" t="n">
        <v>0</v>
      </c>
      <c r="R1634" t="n">
        <v>0</v>
      </c>
      <c r="S1634">
        <f>IFERROR(O1634/N1634,0)</f>
        <v/>
      </c>
      <c r="T1634" t="n">
        <v>0</v>
      </c>
      <c r="V1634" t="n">
        <v>0</v>
      </c>
    </row>
    <row r="1635">
      <c r="A1635">
        <f>Skills!A19</f>
        <v/>
      </c>
      <c r="B1635">
        <f>Skills!B19</f>
        <v/>
      </c>
      <c r="C1635">
        <f>TRUE</f>
        <v/>
      </c>
      <c r="D1635">
        <f>IF(Skills!C19=1,60+Inputs!$B$25+Inputs!$B$29,IF(Skills!C19=2,90+Inputs!$B$26+Inputs!$B$29,IF(Skills!C19=3,120+Inputs!$B$27+Inputs!$B$29,MAX(0,(Inputs!$B$3-100)*3)+Inputs!$B$28+Inputs!$B$29)))</f>
        <v/>
      </c>
      <c r="E1635">
        <f>INDEX(FactorTable!$B$2:$Y$301, MATCH(ROUND(MIN(300,MAX(1,D1635)),0), FactorTable!$A$2:$A$301,0), Skills!M19+1)</f>
        <v/>
      </c>
      <c r="F1635">
        <f>IF(Skills!N19=TRUE,(Skills!L19/10)*(E1635/1000),Skills!L19/10)+Skills!O19</f>
        <v/>
      </c>
      <c r="G1635">
        <f>Calc!G19</f>
        <v/>
      </c>
      <c r="H1635">
        <f>Calc!H19</f>
        <v/>
      </c>
      <c r="I1635">
        <f>IF(Skills!AA19&lt;&gt;"",1+(Skills!AA19/10)*(U1619/1000)/100,1)</f>
        <v/>
      </c>
      <c r="J1635" t="inlineStr"/>
      <c r="K1635" t="inlineStr"/>
      <c r="L1635" t="inlineStr"/>
      <c r="M1635" t="inlineStr"/>
      <c r="N1635" t="inlineStr"/>
      <c r="O1635">
        <f>(1-Summary!$B$55)*T1635+Summary!$B$55*V1635</f>
        <v/>
      </c>
      <c r="P1635">
        <f>IF(B1660=0,0,O1635/B1660)</f>
        <v/>
      </c>
      <c r="Q1635">
        <f>IFERROR(1/IF(Inputs!$B$39="pvp",15,MAX(0.1,Skills!D19-IF(Skills!E19=TRUE,3.0,0))),0)</f>
        <v/>
      </c>
      <c r="R1635">
        <f>IF(AND(Inputs!$B$39&lt;&gt;"pvp",Inputs!$B$44&gt;0),IF(Inputs!$B$44&lt;=0,0,(INT(Inputs!$B$44/IF(Inputs!$B$39="pvp",15,MAX(0.1,Skills!D19-IF(Skills!E19=TRUE,3.0,0))))+1)),0)</f>
        <v/>
      </c>
      <c r="S1635">
        <f>IFERROR(O1635/N1635,0)</f>
        <v/>
      </c>
      <c r="T1635" t="n">
        <v>0</v>
      </c>
      <c r="V1635" t="n">
        <v>0</v>
      </c>
    </row>
    <row r="1636">
      <c r="A1636">
        <f>Skills!A20</f>
        <v/>
      </c>
      <c r="B1636">
        <f>Skills!B20</f>
        <v/>
      </c>
      <c r="C1636">
        <f>Inputs!$B$3&gt;=15</f>
        <v/>
      </c>
      <c r="D1636">
        <f>IF(Skills!C20=1,60+Inputs!$B$25+Inputs!$B$29,IF(Skills!C20=2,90+Inputs!$B$26+Inputs!$B$29,IF(Skills!C20=3,120+Inputs!$B$27+Inputs!$B$29,MAX(0,(Inputs!$B$3-100)*3)+Inputs!$B$28+Inputs!$B$29)))</f>
        <v/>
      </c>
      <c r="E1636">
        <f>INDEX(FactorTable!$B$2:$Y$301, MATCH(ROUND(MIN(300,MAX(1,D1636)),0), FactorTable!$A$2:$A$301,0), Skills!M20+1)</f>
        <v/>
      </c>
      <c r="F1636">
        <f>IF(Skills!N20=TRUE,(Skills!L20/10)*(E1636/1000),Skills!L20/10)+Skills!O20</f>
        <v/>
      </c>
      <c r="G1636">
        <f>Calc!G20</f>
        <v/>
      </c>
      <c r="H1636">
        <f>Calc!H20</f>
        <v/>
      </c>
      <c r="I1636">
        <f>IF(Skills!AA20&lt;&gt;"",1+(Skills!AA20/10)*(U1619/1000)/100,1)</f>
        <v/>
      </c>
      <c r="J1636" t="inlineStr"/>
      <c r="K1636" t="inlineStr"/>
      <c r="L1636" t="inlineStr"/>
      <c r="M1636" t="inlineStr"/>
      <c r="N1636" t="inlineStr"/>
      <c r="O1636">
        <f>(1-Summary!$B$55)*T1636+Summary!$B$55*V1636</f>
        <v/>
      </c>
      <c r="P1636">
        <f>IF(B1660=0,0,O1636/B1660)</f>
        <v/>
      </c>
      <c r="Q1636">
        <f>IFERROR(1/IF(Inputs!$B$39="pvp",15,MAX(0.1,Skills!D20-IF(Skills!E20=TRUE,3.0,0))),0)</f>
        <v/>
      </c>
      <c r="R1636">
        <f>IF(AND(Inputs!$B$39&lt;&gt;"pvp",Inputs!$B$44&gt;0),IF(Inputs!$B$44&lt;=0,0,(INT(Inputs!$B$44/IF(Inputs!$B$39="pvp",15,MAX(0.1,Skills!D20-IF(Skills!E20=TRUE,3.0,0))))+1)),0)</f>
        <v/>
      </c>
      <c r="S1636">
        <f>IFERROR(O1636/N1636,0)</f>
        <v/>
      </c>
      <c r="T1636" t="n">
        <v>0</v>
      </c>
      <c r="V1636" t="n">
        <v>0</v>
      </c>
    </row>
    <row r="1637">
      <c r="A1637">
        <f>Skills!A21</f>
        <v/>
      </c>
      <c r="B1637">
        <f>Skills!B21</f>
        <v/>
      </c>
      <c r="C1637">
        <f>Inputs!$B$3&gt;=15</f>
        <v/>
      </c>
      <c r="D1637">
        <f>IF(Skills!C21=1,60+Inputs!$B$25+Inputs!$B$29,IF(Skills!C21=2,90+Inputs!$B$26+Inputs!$B$29,IF(Skills!C21=3,120+Inputs!$B$27+Inputs!$B$29,MAX(0,(Inputs!$B$3-100)*3)+Inputs!$B$28+Inputs!$B$29)))</f>
        <v/>
      </c>
      <c r="E1637">
        <f>INDEX(FactorTable!$B$2:$Y$301, MATCH(ROUND(MIN(300,MAX(1,D1637)),0), FactorTable!$A$2:$A$301,0), Skills!M21+1)</f>
        <v/>
      </c>
      <c r="F1637">
        <f>IF(Skills!N21=TRUE,(Skills!L21/10)*(E1637/1000),Skills!L21/10)+Skills!O21</f>
        <v/>
      </c>
      <c r="G1637">
        <f>Calc!G21</f>
        <v/>
      </c>
      <c r="H1637">
        <f>Calc!H21</f>
        <v/>
      </c>
      <c r="I1637">
        <f>IF(Skills!AA21&lt;&gt;"",1+(Skills!AA21/10)*(U1619/1000)/100,1)</f>
        <v/>
      </c>
      <c r="J1637" t="inlineStr"/>
      <c r="K1637" t="inlineStr"/>
      <c r="L1637" t="inlineStr"/>
      <c r="M1637" t="inlineStr"/>
      <c r="N1637" t="inlineStr"/>
      <c r="O1637">
        <f>(1-Summary!$B$55)*T1637+Summary!$B$55*V1637</f>
        <v/>
      </c>
      <c r="P1637">
        <f>IF(B1660=0,0,O1637/B1660)</f>
        <v/>
      </c>
      <c r="Q1637">
        <f>IFERROR(1/IF(Inputs!$B$39="pvp",15,MAX(0.1,Skills!D21-IF(Skills!E21=TRUE,3.0,0))),0)</f>
        <v/>
      </c>
      <c r="R1637">
        <f>IF(AND(Inputs!$B$39&lt;&gt;"pvp",Inputs!$B$44&gt;0),IF(Inputs!$B$44&lt;=0,0,(INT(Inputs!$B$44/IF(Inputs!$B$39="pvp",15,MAX(0.1,Skills!D21-IF(Skills!E21=TRUE,3.0,0))))+1)),0)</f>
        <v/>
      </c>
      <c r="S1637">
        <f>IFERROR(O1637/N1637,0)</f>
        <v/>
      </c>
      <c r="T1637" t="n">
        <v>0</v>
      </c>
      <c r="V1637" t="n">
        <v>0</v>
      </c>
    </row>
    <row r="1638">
      <c r="A1638">
        <f>Skills!A22</f>
        <v/>
      </c>
      <c r="B1638">
        <f>Skills!B22</f>
        <v/>
      </c>
      <c r="C1638">
        <f>Inputs!$B$3&gt;=33</f>
        <v/>
      </c>
      <c r="D1638">
        <f>IF(Skills!C22=1,60+Inputs!$B$25+Inputs!$B$29,IF(Skills!C22=2,90+Inputs!$B$26+Inputs!$B$29,IF(Skills!C22=3,120+Inputs!$B$27+Inputs!$B$29,MAX(0,(Inputs!$B$3-100)*3)+Inputs!$B$28+Inputs!$B$29)))</f>
        <v/>
      </c>
      <c r="E1638">
        <f>INDEX(FactorTable!$B$2:$Y$301, MATCH(ROUND(MIN(300,MAX(1,D1638)),0), FactorTable!$A$2:$A$301,0), Skills!M22+1)</f>
        <v/>
      </c>
      <c r="F1638">
        <f>IF(Skills!N22=TRUE,(Skills!L22/10)*(E1638/1000),Skills!L22/10)+Skills!O22</f>
        <v/>
      </c>
      <c r="G1638">
        <f>Calc!G22</f>
        <v/>
      </c>
      <c r="H1638">
        <f>Calc!H22</f>
        <v/>
      </c>
      <c r="I1638">
        <f>IF(Skills!AA22&lt;&gt;"",1+(Skills!AA22/10)*(U1619/1000)/100,1)</f>
        <v/>
      </c>
      <c r="J1638" t="inlineStr"/>
      <c r="K1638" t="inlineStr"/>
      <c r="L1638" t="inlineStr"/>
      <c r="M1638" t="inlineStr"/>
      <c r="N1638" t="inlineStr"/>
      <c r="O1638">
        <f>(1-Summary!$B$55)*T1638+Summary!$B$55*V1638</f>
        <v/>
      </c>
      <c r="P1638">
        <f>IF(B1660=0,0,O1638/B1660)</f>
        <v/>
      </c>
      <c r="Q1638" t="n">
        <v>0</v>
      </c>
      <c r="R1638" t="n">
        <v>0</v>
      </c>
      <c r="S1638">
        <f>IFERROR(O1638/N1638,0)</f>
        <v/>
      </c>
      <c r="T1638" t="n">
        <v>0</v>
      </c>
      <c r="V1638" t="n">
        <v>0</v>
      </c>
    </row>
    <row r="1639">
      <c r="A1639">
        <f>Skills!A23</f>
        <v/>
      </c>
      <c r="B1639">
        <f>Skills!B23</f>
        <v/>
      </c>
      <c r="C1639">
        <f>Inputs!$B$3&gt;=38</f>
        <v/>
      </c>
      <c r="D1639">
        <f>IF(Skills!C23=1,60+Inputs!$B$25+Inputs!$B$29,IF(Skills!C23=2,90+Inputs!$B$26+Inputs!$B$29,IF(Skills!C23=3,120+Inputs!$B$27+Inputs!$B$29,MAX(0,(Inputs!$B$3-100)*3)+Inputs!$B$28+Inputs!$B$29)))</f>
        <v/>
      </c>
      <c r="E1639">
        <f>INDEX(FactorTable!$B$2:$Y$301, MATCH(ROUND(MIN(300,MAX(1,D1639)),0), FactorTable!$A$2:$A$301,0), Skills!M23+1)</f>
        <v/>
      </c>
      <c r="F1639">
        <f>IF(Skills!N23=TRUE,(Skills!L23/10)*(E1639/1000),Skills!L23/10)+Skills!O23</f>
        <v/>
      </c>
      <c r="G1639">
        <f>Calc!G23</f>
        <v/>
      </c>
      <c r="H1639">
        <f>Calc!H23</f>
        <v/>
      </c>
      <c r="I1639">
        <f>IF(Skills!AA23&lt;&gt;"",1+(Skills!AA23/10)*(U1619/1000)/100,1)</f>
        <v/>
      </c>
      <c r="J1639" t="inlineStr"/>
      <c r="K1639" t="inlineStr"/>
      <c r="L1639" t="inlineStr"/>
      <c r="M1639" t="inlineStr"/>
      <c r="N1639" t="inlineStr"/>
      <c r="O1639">
        <f>(1-Summary!$B$55)*T1639+Summary!$B$55*V1639</f>
        <v/>
      </c>
      <c r="P1639">
        <f>IF(B1660=0,0,O1639/B1660)</f>
        <v/>
      </c>
      <c r="Q1639" t="n">
        <v>0</v>
      </c>
      <c r="R1639" t="n">
        <v>0</v>
      </c>
      <c r="S1639">
        <f>IFERROR(O1639/N1639,0)</f>
        <v/>
      </c>
      <c r="T1639" t="n">
        <v>0</v>
      </c>
      <c r="V1639" t="n">
        <v>0</v>
      </c>
    </row>
    <row r="1640">
      <c r="A1640">
        <f>Skills!A24</f>
        <v/>
      </c>
      <c r="B1640">
        <f>Skills!B24</f>
        <v/>
      </c>
      <c r="C1640">
        <f>Inputs!$B$3&gt;=40</f>
        <v/>
      </c>
      <c r="D1640">
        <f>IF(Skills!C24=1,60+Inputs!$B$25+Inputs!$B$29,IF(Skills!C24=2,90+Inputs!$B$26+Inputs!$B$29,IF(Skills!C24=3,120+Inputs!$B$27+Inputs!$B$29,MAX(0,(Inputs!$B$3-100)*3)+Inputs!$B$28+Inputs!$B$29)))</f>
        <v/>
      </c>
      <c r="E1640">
        <f>INDEX(FactorTable!$B$2:$Y$301, MATCH(ROUND(MIN(300,MAX(1,D1640)),0), FactorTable!$A$2:$A$301,0), Skills!M24+1)</f>
        <v/>
      </c>
      <c r="F1640">
        <f>IF(Skills!N24=TRUE,(Skills!L24/10)*(E1640/1000),Skills!L24/10)+Skills!O24</f>
        <v/>
      </c>
      <c r="G1640">
        <f>Calc!G24</f>
        <v/>
      </c>
      <c r="H1640">
        <f>Calc!H24</f>
        <v/>
      </c>
      <c r="I1640">
        <f>IF(Skills!AA24&lt;&gt;"",1+(Skills!AA24/10)*(U1619/1000)/100,1)</f>
        <v/>
      </c>
      <c r="J1640" t="inlineStr"/>
      <c r="K1640" t="inlineStr"/>
      <c r="L1640" t="inlineStr"/>
      <c r="M1640" t="inlineStr"/>
      <c r="N1640" t="inlineStr"/>
      <c r="O1640">
        <f>(1-Summary!$B$55)*T1640+Summary!$B$55*V1640</f>
        <v/>
      </c>
      <c r="P1640">
        <f>IF(B1660=0,0,O1640/B1660)</f>
        <v/>
      </c>
      <c r="Q1640" t="n">
        <v>0</v>
      </c>
      <c r="R1640" t="n">
        <v>0</v>
      </c>
      <c r="S1640">
        <f>IFERROR(O1640/N1640,0)</f>
        <v/>
      </c>
      <c r="T1640" t="n">
        <v>0</v>
      </c>
      <c r="V1640" t="n">
        <v>0</v>
      </c>
    </row>
    <row r="1641">
      <c r="A1641">
        <f>Skills!A25</f>
        <v/>
      </c>
      <c r="B1641">
        <f>Skills!B25</f>
        <v/>
      </c>
      <c r="C1641">
        <f>Inputs!$B$3&gt;=45</f>
        <v/>
      </c>
      <c r="D1641">
        <f>IF(Skills!C25=1,60+Inputs!$B$25+Inputs!$B$29,IF(Skills!C25=2,90+Inputs!$B$26+Inputs!$B$29,IF(Skills!C25=3,120+Inputs!$B$27+Inputs!$B$29,MAX(0,(Inputs!$B$3-100)*3)+Inputs!$B$28+Inputs!$B$29)))</f>
        <v/>
      </c>
      <c r="E1641">
        <f>INDEX(FactorTable!$B$2:$Y$301, MATCH(ROUND(MIN(300,MAX(1,D1641)),0), FactorTable!$A$2:$A$301,0), Skills!M25+1)</f>
        <v/>
      </c>
      <c r="F1641">
        <f>IF(Skills!N25=TRUE,(Skills!L25/10)*(E1641/1000),Skills!L25/10)+Skills!O25</f>
        <v/>
      </c>
      <c r="G1641">
        <f>Calc!G25</f>
        <v/>
      </c>
      <c r="H1641">
        <f>Calc!H25</f>
        <v/>
      </c>
      <c r="I1641">
        <f>IF(Skills!AA25&lt;&gt;"",1+(Skills!AA25/10)*(U1619/1000)/100,1)</f>
        <v/>
      </c>
      <c r="J1641" t="inlineStr"/>
      <c r="K1641" t="inlineStr"/>
      <c r="L1641" t="inlineStr"/>
      <c r="M1641" t="inlineStr"/>
      <c r="N1641" t="inlineStr"/>
      <c r="O1641">
        <f>(1-Summary!$B$55)*T1641+Summary!$B$55*V1641</f>
        <v/>
      </c>
      <c r="P1641">
        <f>IF(B1660=0,0,O1641/B1660)</f>
        <v/>
      </c>
      <c r="Q1641" t="n">
        <v>0</v>
      </c>
      <c r="R1641" t="n">
        <v>0</v>
      </c>
      <c r="S1641">
        <f>IFERROR(O1641/N1641,0)</f>
        <v/>
      </c>
      <c r="T1641" t="n">
        <v>0</v>
      </c>
      <c r="V1641" t="n">
        <v>0</v>
      </c>
    </row>
    <row r="1642">
      <c r="A1642">
        <f>Skills!A26</f>
        <v/>
      </c>
      <c r="B1642">
        <f>Skills!B26</f>
        <v/>
      </c>
      <c r="C1642">
        <f>Inputs!$B$3&gt;=45</f>
        <v/>
      </c>
      <c r="D1642">
        <f>IF(Skills!C26=1,60+Inputs!$B$25+Inputs!$B$29,IF(Skills!C26=2,90+Inputs!$B$26+Inputs!$B$29,IF(Skills!C26=3,120+Inputs!$B$27+Inputs!$B$29,MAX(0,(Inputs!$B$3-100)*3)+Inputs!$B$28+Inputs!$B$29)))</f>
        <v/>
      </c>
      <c r="E1642">
        <f>INDEX(FactorTable!$B$2:$Y$301, MATCH(ROUND(MIN(300,MAX(1,D1642)),0), FactorTable!$A$2:$A$301,0), Skills!M26+1)</f>
        <v/>
      </c>
      <c r="F1642">
        <f>IF(Skills!N26=TRUE,(Skills!L26/10)*(E1642/1000),Skills!L26/10)+Skills!O26</f>
        <v/>
      </c>
      <c r="G1642">
        <f>Calc!G26</f>
        <v/>
      </c>
      <c r="H1642">
        <f>Calc!H26</f>
        <v/>
      </c>
      <c r="I1642">
        <f>IF(Skills!AA26&lt;&gt;"",1+(Skills!AA26/10)*(U1619/1000)/100,1)</f>
        <v/>
      </c>
      <c r="J1642" t="inlineStr"/>
      <c r="K1642" t="inlineStr"/>
      <c r="L1642" t="inlineStr"/>
      <c r="M1642" t="inlineStr"/>
      <c r="N1642" t="inlineStr"/>
      <c r="O1642">
        <f>(1-Summary!$B$55)*T1642+Summary!$B$55*V1642</f>
        <v/>
      </c>
      <c r="P1642">
        <f>IF(B1660=0,0,O1642/B1660)</f>
        <v/>
      </c>
      <c r="Q1642" t="n">
        <v>0</v>
      </c>
      <c r="R1642" t="n">
        <v>0</v>
      </c>
      <c r="S1642">
        <f>IFERROR(O1642/N1642,0)</f>
        <v/>
      </c>
      <c r="T1642" t="n">
        <v>0</v>
      </c>
      <c r="V1642" t="n">
        <v>0</v>
      </c>
    </row>
    <row r="1643">
      <c r="A1643">
        <f>Skills!A27</f>
        <v/>
      </c>
      <c r="B1643">
        <f>Skills!B27</f>
        <v/>
      </c>
      <c r="C1643">
        <f>Inputs!$B$3&gt;=72</f>
        <v/>
      </c>
      <c r="D1643">
        <f>IF(Skills!C27=1,60+Inputs!$B$25+Inputs!$B$29,IF(Skills!C27=2,90+Inputs!$B$26+Inputs!$B$29,IF(Skills!C27=3,120+Inputs!$B$27+Inputs!$B$29,MAX(0,(Inputs!$B$3-100)*3)+Inputs!$B$28+Inputs!$B$29)))</f>
        <v/>
      </c>
      <c r="E1643">
        <f>INDEX(FactorTable!$B$2:$Y$301, MATCH(ROUND(MIN(300,MAX(1,D1643)),0), FactorTable!$A$2:$A$301,0), Skills!M27+1)</f>
        <v/>
      </c>
      <c r="F1643">
        <f>IF(Skills!N27=TRUE,(Skills!L27/10)*(E1643/1000),Skills!L27/10)+Skills!O27</f>
        <v/>
      </c>
      <c r="G1643">
        <f>Calc!G27</f>
        <v/>
      </c>
      <c r="H1643">
        <f>Calc!H27</f>
        <v/>
      </c>
      <c r="I1643">
        <f>IF(Skills!AA27&lt;&gt;"",1+(Skills!AA27/10)*(U1619/1000)/100,1)</f>
        <v/>
      </c>
      <c r="J1643" t="inlineStr"/>
      <c r="K1643" t="inlineStr"/>
      <c r="L1643" t="inlineStr"/>
      <c r="M1643" t="inlineStr"/>
      <c r="N1643" t="inlineStr"/>
      <c r="O1643">
        <f>(1-Summary!$B$55)*T1643+Summary!$B$55*V1643</f>
        <v/>
      </c>
      <c r="P1643">
        <f>IF(B1660=0,0,O1643/B1660)</f>
        <v/>
      </c>
      <c r="Q1643" t="n">
        <v>0</v>
      </c>
      <c r="R1643" t="n">
        <v>0</v>
      </c>
      <c r="S1643">
        <f>IFERROR(O1643/N1643,0)</f>
        <v/>
      </c>
      <c r="T1643" t="n">
        <v>0</v>
      </c>
      <c r="V1643" t="n">
        <v>0</v>
      </c>
    </row>
    <row r="1644">
      <c r="A1644">
        <f>Skills!A28</f>
        <v/>
      </c>
      <c r="B1644">
        <f>Skills!B28</f>
        <v/>
      </c>
      <c r="C1644">
        <f>Inputs!$B$3&gt;=75</f>
        <v/>
      </c>
      <c r="D1644">
        <f>IF(Skills!C28=1,60+Inputs!$B$25+Inputs!$B$29,IF(Skills!C28=2,90+Inputs!$B$26+Inputs!$B$29,IF(Skills!C28=3,120+Inputs!$B$27+Inputs!$B$29,MAX(0,(Inputs!$B$3-100)*3)+Inputs!$B$28+Inputs!$B$29)))</f>
        <v/>
      </c>
      <c r="E1644">
        <f>INDEX(FactorTable!$B$2:$Y$301, MATCH(ROUND(MIN(300,MAX(1,D1644)),0), FactorTable!$A$2:$A$301,0), Skills!M28+1)</f>
        <v/>
      </c>
      <c r="F1644">
        <f>IF(Skills!N28=TRUE,(Skills!L28/10)*(E1644/1000),Skills!L28/10)+Skills!O28</f>
        <v/>
      </c>
      <c r="G1644">
        <f>Calc!G28</f>
        <v/>
      </c>
      <c r="H1644">
        <f>Calc!H28</f>
        <v/>
      </c>
      <c r="I1644">
        <f>IF(Skills!AA28&lt;&gt;"",1+(Skills!AA28/10)*(U1619/1000)/100,1)</f>
        <v/>
      </c>
      <c r="J1644" t="inlineStr"/>
      <c r="K1644" t="inlineStr"/>
      <c r="L1644" t="inlineStr"/>
      <c r="M1644" t="inlineStr"/>
      <c r="N1644" t="inlineStr"/>
      <c r="O1644">
        <f>(1-Summary!$B$55)*T1644+Summary!$B$55*V1644</f>
        <v/>
      </c>
      <c r="P1644">
        <f>IF(B1660=0,0,O1644/B1660)</f>
        <v/>
      </c>
      <c r="Q1644" t="n">
        <v>0</v>
      </c>
      <c r="R1644" t="n">
        <v>0</v>
      </c>
      <c r="S1644">
        <f>IFERROR(O1644/N1644,0)</f>
        <v/>
      </c>
      <c r="T1644" t="n">
        <v>0</v>
      </c>
      <c r="V1644" t="n">
        <v>0</v>
      </c>
    </row>
    <row r="1645">
      <c r="A1645">
        <f>Skills!A29</f>
        <v/>
      </c>
      <c r="B1645">
        <f>Skills!B29</f>
        <v/>
      </c>
      <c r="C1645">
        <f>Inputs!$B$3&gt;=120</f>
        <v/>
      </c>
      <c r="D1645">
        <f>IF(Skills!C29=1,60+Inputs!$B$25+Inputs!$B$29,IF(Skills!C29=2,90+Inputs!$B$26+Inputs!$B$29,IF(Skills!C29=3,120+Inputs!$B$27+Inputs!$B$29,MAX(0,(Inputs!$B$3-100)*3)+Inputs!$B$28+Inputs!$B$29)))</f>
        <v/>
      </c>
      <c r="E1645">
        <f>INDEX(FactorTable!$B$2:$Y$301, MATCH(ROUND(MIN(300,MAX(1,D1645)),0), FactorTable!$A$2:$A$301,0), Skills!M29+1)</f>
        <v/>
      </c>
      <c r="F1645">
        <f>IF(Skills!N29=TRUE,(Skills!L29/10)*(E1645/1000),Skills!L29/10)+Skills!O29</f>
        <v/>
      </c>
      <c r="G1645">
        <f>Calc!G29</f>
        <v/>
      </c>
      <c r="H1645">
        <f>Calc!H29</f>
        <v/>
      </c>
      <c r="I1645">
        <f>IF(Skills!AA29&lt;&gt;"",1+(Skills!AA29/10)*(U1619/1000)/100,1)</f>
        <v/>
      </c>
      <c r="J1645" t="inlineStr"/>
      <c r="K1645" t="inlineStr"/>
      <c r="L1645" t="inlineStr"/>
      <c r="M1645" t="inlineStr"/>
      <c r="N1645" t="inlineStr"/>
      <c r="O1645">
        <f>(1-Summary!$B$55)*T1645+Summary!$B$55*V1645</f>
        <v/>
      </c>
      <c r="P1645">
        <f>IF(B1660=0,0,O1645/B1660)</f>
        <v/>
      </c>
      <c r="Q1645" t="n">
        <v>0</v>
      </c>
      <c r="R1645" t="n">
        <v>0</v>
      </c>
      <c r="S1645">
        <f>IFERROR(O1645/N1645,0)</f>
        <v/>
      </c>
      <c r="T1645" t="n">
        <v>0</v>
      </c>
      <c r="V1645" t="n">
        <v>0</v>
      </c>
    </row>
    <row r="1646">
      <c r="A1646">
        <f>Skills!A30</f>
        <v/>
      </c>
      <c r="B1646">
        <f>Skills!B30</f>
        <v/>
      </c>
      <c r="C1646">
        <f>Inputs!$B$3&gt;=125</f>
        <v/>
      </c>
      <c r="D1646">
        <f>IF(Skills!C30=1,60+Inputs!$B$25+Inputs!$B$29,IF(Skills!C30=2,90+Inputs!$B$26+Inputs!$B$29,IF(Skills!C30=3,120+Inputs!$B$27+Inputs!$B$29,MAX(0,(Inputs!$B$3-100)*3)+Inputs!$B$28+Inputs!$B$29)))</f>
        <v/>
      </c>
      <c r="E1646">
        <f>INDEX(FactorTable!$B$2:$Y$301, MATCH(ROUND(MIN(300,MAX(1,D1646)),0), FactorTable!$A$2:$A$301,0), Skills!M30+1)</f>
        <v/>
      </c>
      <c r="F1646">
        <f>IF(Skills!N30=TRUE,(Skills!L30/10)*(E1646/1000),Skills!L30/10)+Skills!O30</f>
        <v/>
      </c>
      <c r="G1646">
        <f>Calc!G30</f>
        <v/>
      </c>
      <c r="H1646">
        <f>Calc!H30</f>
        <v/>
      </c>
      <c r="I1646">
        <f>IF(Skills!AA30&lt;&gt;"",1+(Skills!AA30/10)*(U1619/1000)/100,1)</f>
        <v/>
      </c>
      <c r="J1646" t="inlineStr"/>
      <c r="K1646" t="inlineStr"/>
      <c r="L1646" t="inlineStr"/>
      <c r="M1646" t="inlineStr"/>
      <c r="N1646" t="inlineStr"/>
      <c r="O1646">
        <f>(1-Summary!$B$55)*T1646+Summary!$B$55*V1646</f>
        <v/>
      </c>
      <c r="P1646">
        <f>IF(B1660=0,0,O1646/B1660)</f>
        <v/>
      </c>
      <c r="Q1646" t="n">
        <v>0</v>
      </c>
      <c r="R1646" t="n">
        <v>0</v>
      </c>
      <c r="S1646">
        <f>IFERROR(O1646/N1646,0)</f>
        <v/>
      </c>
      <c r="T1646" t="n">
        <v>0</v>
      </c>
      <c r="V1646" t="n">
        <v>0</v>
      </c>
    </row>
    <row r="1647">
      <c r="A1647">
        <f>Skills!A31</f>
        <v/>
      </c>
      <c r="B1647">
        <f>Skills!B31</f>
        <v/>
      </c>
      <c r="C1647">
        <f>Inputs!$B$3&gt;=107</f>
        <v/>
      </c>
      <c r="D1647">
        <f>IF(Skills!C31=1,60+Inputs!$B$25+Inputs!$B$29,IF(Skills!C31=2,90+Inputs!$B$26+Inputs!$B$29,IF(Skills!C31=3,120+Inputs!$B$27+Inputs!$B$29,MAX(0,(Inputs!$B$3-100)*3)+Inputs!$B$28+Inputs!$B$29)))</f>
        <v/>
      </c>
      <c r="E1647">
        <f>INDEX(FactorTable!$B$2:$Y$301, MATCH(ROUND(MIN(300,MAX(1,D1647)),0), FactorTable!$A$2:$A$301,0), Skills!M31+1)</f>
        <v/>
      </c>
      <c r="F1647">
        <f>IF(Skills!N31=TRUE,(Skills!L31/10)*(E1647/1000),Skills!L31/10)+Skills!O31</f>
        <v/>
      </c>
      <c r="G1647">
        <f>Calc!G31</f>
        <v/>
      </c>
      <c r="H1647">
        <f>Calc!H31</f>
        <v/>
      </c>
      <c r="I1647">
        <f>IF(Skills!AA31&lt;&gt;"",1+(Skills!AA31/10)*(U1619/1000)/100,1)</f>
        <v/>
      </c>
      <c r="J1647" t="inlineStr"/>
      <c r="K1647" t="inlineStr"/>
      <c r="L1647" t="inlineStr"/>
      <c r="M1647" t="inlineStr"/>
      <c r="N1647" t="inlineStr"/>
      <c r="O1647">
        <f>(1-Summary!$B$55)*T1647+Summary!$B$55*V1647</f>
        <v/>
      </c>
      <c r="P1647">
        <f>IF(B1660=0,0,O1647/B1660)</f>
        <v/>
      </c>
      <c r="Q1647" t="n">
        <v>0</v>
      </c>
      <c r="R1647" t="n">
        <v>0</v>
      </c>
      <c r="S1647">
        <f>IFERROR(O1647/N1647,0)</f>
        <v/>
      </c>
      <c r="T1647" t="n">
        <v>0</v>
      </c>
      <c r="V1647" t="n">
        <v>0</v>
      </c>
    </row>
    <row r="1649">
      <c r="A1649" t="inlineStr">
        <is>
          <t>Actions Per Second (pre-Adrenalin)</t>
        </is>
      </c>
      <c r="B1649">
        <f>1+MIN(150,150*(1-(1-(Inputs!$B$11+((C1638=TRUE)*(F1638-Calc!F22)))/150)*(1-((C1635=TRUE)*F1635*IF(AND(Inputs!$B$39&lt;&gt;"pvp",Inputs!$B$44&gt;0),(((R1635-1)*(Skills!Y19*(1+Inputs!$B$34/100))+MIN((Skills!Y19*(1+Inputs!$B$34/100)),MAX(0,Inputs!$B$44-((R1635-1)*Skills!D19))))/Inputs!$B$44),IF(Inputs!$B$39="pvp",MIN((Skills!Y19*(1+Inputs!$B$34/100)),15)/15,(Skills!Y19*(1+Inputs!$B$34/100))/Skills!D19)))/150)))/100</f>
        <v/>
      </c>
    </row>
    <row r="1650">
      <c r="A1650" t="inlineStr">
        <is>
          <t>Alchemic Adrenaline Uptime</t>
        </is>
      </c>
      <c r="B1650">
        <f>(Skills!Y6*(1+Inputs!$B$34/100))/((Skills!Y6*(1+Inputs!$B$34/100))+(5/B1649))</f>
        <v/>
      </c>
    </row>
    <row r="1651">
      <c r="A1651" t="inlineStr">
        <is>
          <t>Attack Speed Buff Bonus %</t>
        </is>
      </c>
      <c r="B1651">
        <f>((C1635=TRUE)*F1635*IF(AND(Inputs!$B$39&lt;&gt;"pvp",Inputs!$B$44&gt;0),(((R1635-1)*(Skills!Y19*(1+Inputs!$B$34/100))+MIN((Skills!Y19*(1+Inputs!$B$34/100)),MAX(0,Inputs!$B$44-((R1635-1)*Skills!D19))))/Inputs!$B$44),IF(Inputs!$B$39="pvp",MIN((Skills!Y19*(1+Inputs!$B$34/100)),15)/15,(Skills!Y19*(1+Inputs!$B$34/100))/Skills!D19)))+((C1623=TRUE)*F1623*B1650)</f>
        <v/>
      </c>
    </row>
    <row r="1652">
      <c r="A1652" t="inlineStr">
        <is>
          <t>Actions Per Second (final)</t>
        </is>
      </c>
      <c r="B1652">
        <f>1+MIN(150,150*(1-(1-(Inputs!$B$11+((C1638=TRUE)*(F1638-Calc!F22)))/150)*(1-B1651/150)))/100</f>
        <v/>
      </c>
    </row>
    <row r="1653">
      <c r="A1653" t="inlineStr">
        <is>
          <t>Skill + Buff Cast Rate</t>
        </is>
      </c>
      <c r="B1653">
        <f>IF(AND(Inputs!$B$39&lt;&gt;"pvp",Inputs!$B$44&gt;0),SUMPRODUCT((Skills!E2:E31=TRUE)*(C1618:C1647=TRUE)*R1618:R1647*Skills!F2:F31)/Inputs!$B$44,SUMPRODUCT((Skills!E2:E31=TRUE)*(C1618:C1647=TRUE)*Q1618:Q1647*Skills!F2:F31))</f>
        <v/>
      </c>
    </row>
    <row r="1654">
      <c r="A1654" t="inlineStr">
        <is>
          <t>Showdown Casts Per Second</t>
        </is>
      </c>
      <c r="B1654">
        <f>MAX(0,B1652-B1653)</f>
        <v/>
      </c>
    </row>
    <row r="1655">
      <c r="A1655" t="inlineStr">
        <is>
          <t>Average Buff Multiplier</t>
        </is>
      </c>
      <c r="B1655">
        <f>(1+(((C1637=TRUE)*F1637*IF(AND(Inputs!$B$39&lt;&gt;"pvp",Inputs!$B$44&gt;0),(((R1637-1)*(Skills!Y21*(1+Inputs!$B$34/100))+MIN((Skills!Y21*(1+Inputs!$B$34/100)),MAX(0,Inputs!$B$44-((R1637-1)*Skills!D21))))/Inputs!$B$44),IF(Inputs!$B$39="pvp",MIN((Skills!Y21*(1+Inputs!$B$34/100)),15)/15,(Skills!Y21*(1+Inputs!$B$34/100))/Skills!D21)))+((C1644=TRUE)*(F1644-Calc!F28))+((C1634=TRUE)*(F1634-Calc!F18)))/100)*(1+((C1631=TRUE)*F1631*IF(AND(Inputs!$B$39&lt;&gt;"pvp",Inputs!$B$44&gt;0),(((R1631-1)*(Skills!Y15*(1+Inputs!$B$34/100))+MIN((Skills!Y15*(1+Inputs!$B$34/100)),MAX(0,Inputs!$B$44-((R1631-1)*Skills!D15))))/Inputs!$B$44),IF(Inputs!$B$39="pvp",MIN((Skills!Y15*(1+Inputs!$B$34/100)),15)/15,(Skills!Y15*(1+Inputs!$B$34/100))/Skills!D15)))/100)*(1+((C1622=TRUE)*F1622*B1650)/100)</f>
        <v/>
      </c>
    </row>
    <row r="1656">
      <c r="A1656" t="inlineStr">
        <is>
          <t>Global Crit Rate Bonus %</t>
        </is>
      </c>
      <c r="B1656">
        <f>IF(Inputs!$B$3&gt;=47,8,0)+((C1636=TRUE)*F1636*IF(AND(Inputs!$B$39&lt;&gt;"pvp",Inputs!$B$44&gt;0),(((R1636-1)*(Skills!Y20*(1+Inputs!$B$34/100))+MIN((Skills!Y20*(1+Inputs!$B$34/100)),MAX(0,Inputs!$B$44-((R1636-1)*Skills!D20))))/Inputs!$B$44),IF(Inputs!$B$39="pvp",MIN((Skills!Y20*(1+Inputs!$B$34/100)),15)/15,(Skills!Y20*(1+Inputs!$B$34/100))/Skills!D20)))</f>
        <v/>
      </c>
    </row>
    <row r="1657">
      <c r="A1657" t="inlineStr">
        <is>
          <t>Global Monster Damage-Taken Bonus %</t>
        </is>
      </c>
      <c r="B1657">
        <f>IF(Inputs!$B$3&gt;=82,15,0)+((C1632=TRUE)*F1632*IF(AND(Inputs!$B$39&lt;&gt;"pvp",Inputs!$B$44&gt;0),(((R1632-1)*(Skills!Y16*(1+Inputs!$B$34/100))+MIN((Skills!Y16*(1+Inputs!$B$34/100)),MAX(0,Inputs!$B$44-((R1632-1)*Skills!D16))))/Inputs!$B$44),IF(Inputs!$B$39="pvp",MIN((Skills!Y16*(1+Inputs!$B$34/100)),15)/15,(Skills!Y16*(1+Inputs!$B$34/100))/Skills!D16)))</f>
        <v/>
      </c>
    </row>
    <row r="1658">
      <c r="A1658" t="inlineStr">
        <is>
          <t>Shadow Partner Average Multiplier</t>
        </is>
      </c>
      <c r="B1658">
        <f>1+((C1627=TRUE)*F1627*I1627*Skills!J11/100)/100</f>
        <v/>
      </c>
    </row>
    <row r="1659">
      <c r="A1659" t="inlineStr">
        <is>
          <t>Global Critical Damage Bonus % (Frailty Curse Mastery Lv.111)</t>
        </is>
      </c>
      <c r="B1659">
        <f>IF(Inputs!$B$3&gt;=111,30,0)*IF(AND(Inputs!$B$39&lt;&gt;"pvp",Inputs!$B$44&gt;0),(((R1632-1)*(Skills!Y16*(1+Inputs!$B$34/100))+MIN((Skills!Y16*(1+Inputs!$B$34/100)),MAX(0,Inputs!$B$44-((R1632-1)*Skills!D16))))/Inputs!$B$44),IF(Inputs!$B$39="pvp",MIN((Skills!Y16*(1+Inputs!$B$34/100)),15)/15,(Skills!Y16*(1+Inputs!$B$34/100))/Skills!D16))</f>
        <v/>
      </c>
    </row>
    <row r="1660">
      <c r="A1660" s="5" t="inlineStr">
        <is>
          <t>TOTAL DPS</t>
        </is>
      </c>
      <c r="B1660" s="5">
        <f>SUM(O1618:O1647)</f>
        <v/>
      </c>
    </row>
    <row r="1661">
      <c r="A1661" t="inlineStr">
        <is>
          <t>Buff-Casting Startup Delay (s, fixed-duration only)</t>
        </is>
      </c>
      <c r="B1661">
        <f>IF(AND(Inputs!$B$39&lt;&gt;"pvp",Inputs!$B$44&gt;0),SUMPRODUCT((Skills!Y2:Y31&gt;0)*(Skills!E2:E31=TRUE)*(C1618:C1647=TRUE))/B1652,0)</f>
        <v/>
      </c>
    </row>
    <row r="1662">
      <c r="A1662" t="inlineStr">
        <is>
          <t>Boss-Only Total DPS (this block's swept value)</t>
        </is>
      </c>
      <c r="B1662">
        <f>SUM(T1618:T1647)</f>
        <v/>
      </c>
    </row>
    <row r="1663">
      <c r="A1663" t="inlineStr">
        <is>
          <t>Normal-Only Total DPS (this block's swept value)</t>
        </is>
      </c>
      <c r="B1663">
        <f>SUM(V1618:V1647)</f>
        <v/>
      </c>
    </row>
    <row r="1665">
      <c r="A1665" s="5" t="inlineStr">
        <is>
          <t>Stat: CDR = 3.5s</t>
        </is>
      </c>
    </row>
    <row r="1666">
      <c r="A1666" s="9" t="inlineStr">
        <is>
          <t>Key</t>
        </is>
      </c>
      <c r="B1666" s="9" t="inlineStr">
        <is>
          <t>Name</t>
        </is>
      </c>
      <c r="C1666" s="9" t="inlineStr">
        <is>
          <t>Unlocked</t>
        </is>
      </c>
      <c r="D1666" s="9" t="inlineStr">
        <is>
          <t>InputLevel</t>
        </is>
      </c>
      <c r="E1666" s="9" t="inlineStr">
        <is>
          <t>Factor</t>
        </is>
      </c>
      <c r="F1666" s="9" t="inlineStr">
        <is>
          <t>CoefficientPercent</t>
        </is>
      </c>
      <c r="G1666" s="9" t="inlineStr">
        <is>
          <t>EffectiveHits</t>
        </is>
      </c>
      <c r="H1666" s="9" t="inlineStr">
        <is>
          <t>ProcProbability</t>
        </is>
      </c>
      <c r="I1666" s="9" t="inlineStr">
        <is>
          <t>MapleHeroMultiplier</t>
        </is>
      </c>
      <c r="J1666" s="9" t="inlineStr">
        <is>
          <t>BaseDamage</t>
        </is>
      </c>
      <c r="K1666" s="9" t="inlineStr">
        <is>
          <t>BaseHitDamage</t>
        </is>
      </c>
      <c r="L1666" s="9" t="inlineStr">
        <is>
          <t>NonCritAvg</t>
        </is>
      </c>
      <c r="M1666" s="9" t="inlineStr">
        <is>
          <t>CritAvg</t>
        </is>
      </c>
      <c r="N1666" s="9" t="inlineStr">
        <is>
          <t>ExpectedDamage(perHit)</t>
        </is>
      </c>
      <c r="O1666" s="9" t="inlineStr">
        <is>
          <t>DPS</t>
        </is>
      </c>
      <c r="P1666" s="9" t="inlineStr">
        <is>
          <t>% of Total</t>
        </is>
      </c>
      <c r="Q1666" s="9" t="inlineStr">
        <is>
          <t>InvCooldown</t>
        </is>
      </c>
      <c r="R1666" s="9" t="inlineStr">
        <is>
          <t>CastsInFight</t>
        </is>
      </c>
      <c r="S1666" s="9" t="inlineStr">
        <is>
          <t>HitRate(perSec)</t>
        </is>
      </c>
      <c r="U1666" t="inlineStr">
        <is>
          <t>helpers</t>
        </is>
      </c>
    </row>
    <row r="1667">
      <c r="A1667">
        <f>Skills!A2</f>
        <v/>
      </c>
      <c r="B1667">
        <f>Skills!B2</f>
        <v/>
      </c>
      <c r="C1667">
        <f>Inputs!$B$3&gt;=100</f>
        <v/>
      </c>
      <c r="D1667" t="inlineStr"/>
      <c r="E1667" t="inlineStr"/>
      <c r="F1667">
        <f>U1671+Skills!O2</f>
        <v/>
      </c>
      <c r="G1667">
        <f>Calc!G2</f>
        <v/>
      </c>
      <c r="H1667">
        <f>Calc!H2</f>
        <v/>
      </c>
      <c r="I1667">
        <f>IF(Skills!AA2&lt;&gt;"",1+(Skills!AA2/10)*(U1668/1000)/100,1)</f>
        <v/>
      </c>
      <c r="J1667">
        <f>((Inputs!$B$6*(1+Inputs!$B$7/100))+(((Inputs!$B$12*(1+Inputs!$B$13/100))-(Inputs!$B$12*(1+Inputs!$B$13/100)))+0.25*(Inputs!$B$14-Inputs!$B$14))*(1+Inputs!$B$7/100))*(F1667/100)</f>
        <v/>
      </c>
      <c r="K1667">
        <f>J1667*(1+((Inputs!$B$12*(1+Inputs!$B$13/100))*0.01+Inputs!$B$14*0.0025)/100)*(1+Inputs!$B$15/100)*(1+Inputs!$B$16/100)*(5000/(6000+Inputs!$B$43*(1-Inputs!$B$19/100)))*(1+(Inputs!$B$24+((C1695=TRUE)*(F1695-Calc!F30)))/100)*(1+Skills!R2/100)*(1+(IF(Skills!A2="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1667)</f>
        <v/>
      </c>
      <c r="L1667">
        <f>K1667*(MIN(Inputs!$B$22+((C1689=TRUE)*(F1689-Calc!F24)),Inputs!$B$23)/100+Inputs!$B$23/100)/2</f>
        <v/>
      </c>
      <c r="M1667">
        <f>L1667*(1+(Inputs!$B$10+((C1691=TRUE)*(F1691-Calc!F26))+B1708)/100)</f>
        <v/>
      </c>
      <c r="N1667">
        <f>L1667*(1-MIN((Inputs!$B$9+((C1690=TRUE)*(F1690-Calc!F25))+B1705),100)/100)+M1667*(MIN((Inputs!$B$9+((C1690=TRUE)*(F1690-Calc!F25))+B1705),100)/100)</f>
        <v/>
      </c>
      <c r="O1667">
        <f>(1-Summary!$B$55)*T1667+Summary!$B$55*V1667</f>
        <v/>
      </c>
      <c r="P1667">
        <f>IF(B1709=0,0,O1667/B1709)</f>
        <v/>
      </c>
      <c r="Q1667" t="n">
        <v>0</v>
      </c>
      <c r="R1667" t="n">
        <v>0</v>
      </c>
      <c r="S1667">
        <f>IFERROR(O1667/N1667,0)</f>
        <v/>
      </c>
      <c r="T1667">
        <f>IF(C1667,(Skills!G2*N1667*B1703)*IF(Inputs!$B$39="pvp",1,1+(Inputs!$B$20+((C1692=TRUE)*(F1692-Calc!F27))+Skills!P2+B1706)/100),0)</f>
        <v/>
      </c>
      <c r="U1667">
        <f>MAX(0,(Inputs!$B$3-100)*3)+Inputs!$B$28+Inputs!$B$29</f>
        <v/>
      </c>
      <c r="V1667">
        <f>IF(C1667,(Skills!G2*N1667*B1703)*IF(Inputs!$B$39="pvp",1,(1+(Inputs!$B$21+Skills!Q2+B1706)/100)*(MIN((6+Inputs!$B$33),Inputs!$B$37))),0)</f>
        <v/>
      </c>
    </row>
    <row r="1668">
      <c r="A1668">
        <f>Skills!A3</f>
        <v/>
      </c>
      <c r="B1668">
        <f>Skills!B3</f>
        <v/>
      </c>
      <c r="C1668">
        <f>Inputs!$B$3&gt;=35</f>
        <v/>
      </c>
      <c r="D1668">
        <f>IF(Skills!C3=1,60+Inputs!$B$25+Inputs!$B$29,IF(Skills!C3=2,90+Inputs!$B$26+Inputs!$B$29,IF(Skills!C3=3,120+Inputs!$B$27+Inputs!$B$29,MAX(0,(Inputs!$B$3-100)*3)+Inputs!$B$28+Inputs!$B$29)))</f>
        <v/>
      </c>
      <c r="E1668">
        <f>INDEX(FactorTable!$B$2:$Y$301, MATCH(ROUND(MIN(300,MAX(1,D1668)),0), FactorTable!$A$2:$A$301,0), Skills!M3+1)</f>
        <v/>
      </c>
      <c r="F1668">
        <f>IF(Skills!N3=TRUE,(Skills!L3/10)*(E1668/1000),Skills!L3/10)+Skills!O3</f>
        <v/>
      </c>
      <c r="G1668">
        <f>Calc!G3</f>
        <v/>
      </c>
      <c r="H1668">
        <f>Calc!H3</f>
        <v/>
      </c>
      <c r="I1668">
        <f>IF(Skills!AA3&lt;&gt;"",1+(Skills!AA3/10)*(U1668/1000)/100,1)</f>
        <v/>
      </c>
      <c r="J1668">
        <f>((Inputs!$B$6*(1+Inputs!$B$7/100))+(((Inputs!$B$12*(1+Inputs!$B$13/100))-(Inputs!$B$12*(1+Inputs!$B$13/100)))+0.25*(Inputs!$B$14-Inputs!$B$14))*(1+Inputs!$B$7/100))*(F1668/100)</f>
        <v/>
      </c>
      <c r="K1668">
        <f>J1668*(1+((Inputs!$B$12*(1+Inputs!$B$13/100))*0.01+Inputs!$B$14*0.0025)/100)*(1+Inputs!$B$15/100)*(1+Inputs!$B$16/100)*(5000/(6000+Inputs!$B$43*(1-Inputs!$B$19/100)))*(1+(Inputs!$B$24+((C1695=TRUE)*(F1695-Calc!F30)))/100)*(1+Skills!R3/100)*(1+(IF(Skills!A3="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1668)</f>
        <v/>
      </c>
      <c r="L1668">
        <f>K1668*(MIN(Inputs!$B$22+((C1689=TRUE)*(F1689-Calc!F24)),Inputs!$B$23)/100+Inputs!$B$23/100)/2</f>
        <v/>
      </c>
      <c r="M1668">
        <f>L1668*(1+(Inputs!$B$10+((C1691=TRUE)*(F1691-Calc!F26))+B1708)/100)</f>
        <v/>
      </c>
      <c r="N1668">
        <f>L1668*(1-MIN((Inputs!$B$9+((C1690=TRUE)*(F1690-Calc!F25))+B1705),100)/100)+M1668*(MIN((Inputs!$B$9+((C1690=TRUE)*(F1690-Calc!F25))+B1705),100)/100)</f>
        <v/>
      </c>
      <c r="O1668">
        <f>(1-Summary!$B$55)*T1668+Summary!$B$55*V1668</f>
        <v/>
      </c>
      <c r="P1668">
        <f>IF(B1709=0,0,O1668/B1709)</f>
        <v/>
      </c>
      <c r="Q1668">
        <f>IFERROR(1/IF(Inputs!$B$39="pvp",15,MAX(0.1,Skills!D3-IF(Skills!E3=TRUE,3.5,0))),0)</f>
        <v/>
      </c>
      <c r="R1668">
        <f>IF(AND(Inputs!$B$39&lt;&gt;"pvp",Inputs!$B$44&gt;0),IF(MAX(0,Inputs!$B$44-B1710)&lt;=0,0,(INT(MAX(0,Inputs!$B$44-B1710)/IF(Inputs!$B$39="pvp",15,MAX(0.1,Skills!D3-IF(Skills!E3=TRUE,3.5,0))))+1)),0)</f>
        <v/>
      </c>
      <c r="S1668">
        <f>IFERROR(O1668/N1668,0)</f>
        <v/>
      </c>
      <c r="T1668">
        <f>IF(C1668,(H1668*N1668*IF(AND(Inputs!$B$39&lt;&gt;"pvp",Inputs!$B$44&gt;0),((Skills!G3*((R1668-1)*IF(Skills!H3&gt;0,Skills!I3/Skills!H3,1)+IF(Skills!H3&gt;0,MIN(Skills!I3,MAX(0,MAX(0,Inputs!$B$44-B1710)-((R1668-1)*IF(Inputs!$B$39="pvp",15,MAX(0.1,Skills!D3-IF(Skills!E3=TRUE,3.5,0))))))/Skills!H3,1)))/Inputs!$B$44),G1668*Q1668))*IF(Inputs!$B$39="pvp",1,1+(Inputs!$B$20+((C1692=TRUE)*(F1692-Calc!F27))+Skills!P3+B1706)/100),0)</f>
        <v/>
      </c>
      <c r="U1668">
        <f>INDEX(FactorTable!$B$2:$Y$301, MATCH(ROUND(MIN(300,MAX(1,U1667)),0), FactorTable!$A$2:$A$301,0), 24)</f>
        <v/>
      </c>
      <c r="V1668">
        <f>IF(C1668,(H1668*N1668*IF(AND(Inputs!$B$39&lt;&gt;"pvp",Inputs!$B$44&gt;0),((Skills!G3*((R1668-1)*IF(Skills!H3&gt;0,Skills!I3/Skills!H3,1)+IF(Skills!H3&gt;0,MIN(Skills!I3,MAX(0,MAX(0,Inputs!$B$44-B1710)-((R1668-1)*IF(Inputs!$B$39="pvp",15,MAX(0.1,Skills!D3-IF(Skills!E3=TRUE,3.5,0))))))/Skills!H3,1)))/Inputs!$B$44),G1668*Q1668))*IF(Inputs!$B$39="pvp",1,(1+(Inputs!$B$21+Skills!Q3+B1706)/100)*(MIN(Skills!W3,Inputs!$B$37))),0)</f>
        <v/>
      </c>
    </row>
    <row r="1669">
      <c r="A1669">
        <f>Skills!A4</f>
        <v/>
      </c>
      <c r="B1669">
        <f>Skills!B4</f>
        <v/>
      </c>
      <c r="C1669">
        <f>Inputs!$B$3&gt;=40</f>
        <v/>
      </c>
      <c r="D1669">
        <f>IF(Skills!C4=1,60+Inputs!$B$25+Inputs!$B$29,IF(Skills!C4=2,90+Inputs!$B$26+Inputs!$B$29,IF(Skills!C4=3,120+Inputs!$B$27+Inputs!$B$29,MAX(0,(Inputs!$B$3-100)*3)+Inputs!$B$28+Inputs!$B$29)))</f>
        <v/>
      </c>
      <c r="E1669">
        <f>INDEX(FactorTable!$B$2:$Y$301, MATCH(ROUND(MIN(300,MAX(1,D1669)),0), FactorTable!$A$2:$A$301,0), Skills!M4+1)</f>
        <v/>
      </c>
      <c r="F1669">
        <f>IF(Skills!N4=TRUE,(Skills!L4/10)*(E1669/1000),Skills!L4/10)+Skills!O4</f>
        <v/>
      </c>
      <c r="G1669">
        <f>Calc!G4</f>
        <v/>
      </c>
      <c r="H1669">
        <f>Calc!H4</f>
        <v/>
      </c>
      <c r="I1669">
        <f>IF(Skills!AA4&lt;&gt;"",1+(Skills!AA4/10)*(U1668/1000)/100,1)</f>
        <v/>
      </c>
      <c r="J1669">
        <f>((Inputs!$B$6*(1+Inputs!$B$7/100))+(((Inputs!$B$12*(1+Inputs!$B$13/100))-(Inputs!$B$12*(1+Inputs!$B$13/100)))+0.25*(Inputs!$B$14-Inputs!$B$14))*(1+Inputs!$B$7/100))*(F1669/100)</f>
        <v/>
      </c>
      <c r="K1669">
        <f>J1669*(1+((Inputs!$B$12*(1+Inputs!$B$13/100))*0.01+Inputs!$B$14*0.0025)/100)*(1+Inputs!$B$15/100)*(1+Inputs!$B$16/100)*(5000/(6000+Inputs!$B$43*(1-Inputs!$B$19/100)))*(1+(Inputs!$B$24+((C1695=TRUE)*(F1695-Calc!F30)))/100)*(1+Skills!R4/100)*(1+(IF(Skills!A4="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1669)</f>
        <v/>
      </c>
      <c r="L1669">
        <f>K1669*(MIN(Inputs!$B$22+((C1689=TRUE)*(F1689-Calc!F24)),Inputs!$B$23)/100+Inputs!$B$23/100)/2</f>
        <v/>
      </c>
      <c r="M1669">
        <f>L1669*(1+(Inputs!$B$10+((C1691=TRUE)*(F1691-Calc!F26))+B1708)/100)</f>
        <v/>
      </c>
      <c r="N1669">
        <f>L1669*(1-MIN((Inputs!$B$9+((C1690=TRUE)*(F1690-Calc!F25))+B1705),100)/100)+M1669*(MIN((Inputs!$B$9+((C1690=TRUE)*(F1690-Calc!F25))+B1705),100)/100)</f>
        <v/>
      </c>
      <c r="O1669">
        <f>(1-Summary!$B$55)*T1669+Summary!$B$55*V1669</f>
        <v/>
      </c>
      <c r="P1669">
        <f>IF(B1709=0,0,O1669/B1709)</f>
        <v/>
      </c>
      <c r="Q1669">
        <f>IFERROR(1/IF(Inputs!$B$39="pvp",15,MAX(0.1,Skills!D4-IF(Skills!E4=TRUE,3.5,0))),0)</f>
        <v/>
      </c>
      <c r="R1669">
        <f>IF(AND(Inputs!$B$39&lt;&gt;"pvp",Inputs!$B$44&gt;0),IF(MAX(0,Inputs!$B$44-B1710)&lt;=0,0,(INT(MAX(0,Inputs!$B$44-B1710)/IF(Inputs!$B$39="pvp",15,MAX(0.1,Skills!D4-IF(Skills!E4=TRUE,3.5,0))))+1)),0)</f>
        <v/>
      </c>
      <c r="S1669">
        <f>IFERROR(O1669/N1669,0)</f>
        <v/>
      </c>
      <c r="T1669">
        <f>IF(C1669,(H1669*N1669*IF(AND(Inputs!$B$39&lt;&gt;"pvp",Inputs!$B$44&gt;0),((Skills!G4*((R1669-1)*IF(Skills!H4&gt;0,Skills!I4/Skills!H4,1)+IF(Skills!H4&gt;0,MIN(Skills!I4,MAX(0,MAX(0,Inputs!$B$44-B1710)-((R1669-1)*IF(Inputs!$B$39="pvp",15,MAX(0.1,Skills!D4-IF(Skills!E4=TRUE,3.5,0))))))/Skills!H4,1)))/Inputs!$B$44),G1669*Q1669))*IF(Inputs!$B$39="pvp",1,1+(Inputs!$B$20+((C1692=TRUE)*(F1692-Calc!F27))+Skills!P4+B1706)/100),0)</f>
        <v/>
      </c>
      <c r="U1669">
        <f>MAX(0,(Inputs!$B$3-100)*3)+Inputs!$B$28+Inputs!$B$29</f>
        <v/>
      </c>
      <c r="V1669">
        <f>IF(C1669,(H1669*N1669*IF(AND(Inputs!$B$39&lt;&gt;"pvp",Inputs!$B$44&gt;0),((Skills!G4*((R1669-1)*IF(Skills!H4&gt;0,Skills!I4/Skills!H4,1)+IF(Skills!H4&gt;0,MIN(Skills!I4,MAX(0,MAX(0,Inputs!$B$44-B1710)-((R1669-1)*IF(Inputs!$B$39="pvp",15,MAX(0.1,Skills!D4-IF(Skills!E4=TRUE,3.5,0))))))/Skills!H4,1)))/Inputs!$B$44),G1669*Q1669))*IF(Inputs!$B$39="pvp",1,(1+(Inputs!$B$21+Skills!Q4+B1706)/100)*(MIN(Skills!W4,Inputs!$B$37))),0)</f>
        <v/>
      </c>
    </row>
    <row r="1670">
      <c r="A1670">
        <f>Skills!A5</f>
        <v/>
      </c>
      <c r="B1670">
        <f>Skills!B5</f>
        <v/>
      </c>
      <c r="C1670">
        <f>Inputs!$B$3&gt;=63</f>
        <v/>
      </c>
      <c r="D1670">
        <f>IF(Skills!C5=1,60+Inputs!$B$25+Inputs!$B$29,IF(Skills!C5=2,90+Inputs!$B$26+Inputs!$B$29,IF(Skills!C5=3,120+Inputs!$B$27+Inputs!$B$29,MAX(0,(Inputs!$B$3-100)*3)+Inputs!$B$28+Inputs!$B$29)))</f>
        <v/>
      </c>
      <c r="E1670">
        <f>INDEX(FactorTable!$B$2:$Y$301, MATCH(ROUND(MIN(300,MAX(1,D1670)),0), FactorTable!$A$2:$A$301,0), Skills!M5+1)</f>
        <v/>
      </c>
      <c r="F1670">
        <f>IF(Skills!N5=TRUE,(Skills!L5/10)*(E1670/1000),Skills!L5/10)+Skills!O5</f>
        <v/>
      </c>
      <c r="G1670">
        <f>Calc!G5</f>
        <v/>
      </c>
      <c r="H1670">
        <f>Calc!H5</f>
        <v/>
      </c>
      <c r="I1670">
        <f>IF(Skills!AA5&lt;&gt;"",1+(Skills!AA5/10)*(U1668/1000)/100,1)</f>
        <v/>
      </c>
      <c r="J1670">
        <f>((Inputs!$B$6*(1+Inputs!$B$7/100))+(((Inputs!$B$12*(1+Inputs!$B$13/100))-(Inputs!$B$12*(1+Inputs!$B$13/100)))+0.25*(Inputs!$B$14-Inputs!$B$14))*(1+Inputs!$B$7/100))*(F1670/100)</f>
        <v/>
      </c>
      <c r="K1670">
        <f>J1670*(1+((Inputs!$B$12*(1+Inputs!$B$13/100))*0.01+Inputs!$B$14*0.0025)/100)*(1+Inputs!$B$15/100)*(1+Inputs!$B$16/100)*(5000/(6000+Inputs!$B$43*(1-Inputs!$B$19/100)))*(1+(Inputs!$B$24+((C1695=TRUE)*(F1695-Calc!F30)))/100)*(1+Skills!R5/100)*(1+(IF(Skills!A5="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1670)</f>
        <v/>
      </c>
      <c r="L1670">
        <f>K1670*(MIN(Inputs!$B$22+((C1689=TRUE)*(F1689-Calc!F24)),Inputs!$B$23)/100+Inputs!$B$23/100)/2</f>
        <v/>
      </c>
      <c r="M1670">
        <f>L1670*(1+(Inputs!$B$10+((C1691=TRUE)*(F1691-Calc!F26))+B1708)/100)</f>
        <v/>
      </c>
      <c r="N1670">
        <f>L1670*(1-MIN((Inputs!$B$9+((C1690=TRUE)*(F1690-Calc!F25))+B1705),100)/100)+M1670*(MIN((Inputs!$B$9+((C1690=TRUE)*(F1690-Calc!F25))+B1705),100)/100)</f>
        <v/>
      </c>
      <c r="O1670">
        <f>(1-Summary!$B$55)*T1670+Summary!$B$55*V1670</f>
        <v/>
      </c>
      <c r="P1670">
        <f>IF(B1709=0,0,O1670/B1709)</f>
        <v/>
      </c>
      <c r="Q1670">
        <f>IFERROR(1/IF(Inputs!$B$39="pvp",15,MAX(0.1,Skills!D5-IF(Skills!E5=TRUE,3.5,0))),0)</f>
        <v/>
      </c>
      <c r="R1670">
        <f>IF(AND(Inputs!$B$39&lt;&gt;"pvp",Inputs!$B$44&gt;0),IF(MAX(0,Inputs!$B$44-B1710)&lt;=0,0,(INT(MAX(0,Inputs!$B$44-B1710)/IF(Inputs!$B$39="pvp",15,MAX(0.1,Skills!D5-IF(Skills!E5=TRUE,3.5,0))))+1)),0)</f>
        <v/>
      </c>
      <c r="S1670">
        <f>IFERROR(O1670/N1670,0)</f>
        <v/>
      </c>
      <c r="T1670">
        <f>IF(C1670,(H1670*N1670*IF(AND(Inputs!$B$39&lt;&gt;"pvp",Inputs!$B$44&gt;0),((Skills!G5*((R1670-1)*IF(Skills!H5&gt;0,Skills!I5/Skills!H5,1)+IF(Skills!H5&gt;0,MIN(Skills!I5,MAX(0,MAX(0,Inputs!$B$44-B1710)-((R1670-1)*IF(Inputs!$B$39="pvp",15,MAX(0.1,Skills!D5-IF(Skills!E5=TRUE,3.5,0))))))/Skills!H5,1)))/Inputs!$B$44),G1670*Q1670))*IF(Inputs!$B$39="pvp",1,1+(Inputs!$B$20+((C1692=TRUE)*(F1692-Calc!F27))+Skills!P5+B1706)/100),0)</f>
        <v/>
      </c>
      <c r="U1670">
        <f>INDEX(FactorTable!$B$2:$Y$301, MATCH(ROUND(MIN(300,MAX(1,U1669)),0), FactorTable!$A$2:$A$301,0), 22)</f>
        <v/>
      </c>
      <c r="V1670">
        <f>IF(C1670,(H1670*N1670*IF(AND(Inputs!$B$39&lt;&gt;"pvp",Inputs!$B$44&gt;0),((Skills!G5*((R1670-1)*IF(Skills!H5&gt;0,Skills!I5/Skills!H5,1)+IF(Skills!H5&gt;0,MIN(Skills!I5,MAX(0,MAX(0,Inputs!$B$44-B1710)-((R1670-1)*IF(Inputs!$B$39="pvp",15,MAX(0.1,Skills!D5-IF(Skills!E5=TRUE,3.5,0))))))/Skills!H5,1)))/Inputs!$B$44),G1670*Q1670))*IF(Inputs!$B$39="pvp",1,(1+(Inputs!$B$21+Skills!Q5+B1706)/100)*(MIN(Skills!W5,Inputs!$B$37))),0)</f>
        <v/>
      </c>
    </row>
    <row r="1671">
      <c r="A1671">
        <f>Skills!A6</f>
        <v/>
      </c>
      <c r="B1671">
        <f>Skills!B6</f>
        <v/>
      </c>
      <c r="C1671">
        <f>Inputs!$B$3&gt;=66</f>
        <v/>
      </c>
      <c r="D1671">
        <f>IF(Skills!C6=1,60+Inputs!$B$25+Inputs!$B$29,IF(Skills!C6=2,90+Inputs!$B$26+Inputs!$B$29,IF(Skills!C6=3,120+Inputs!$B$27+Inputs!$B$29,MAX(0,(Inputs!$B$3-100)*3)+Inputs!$B$28+Inputs!$B$29)))</f>
        <v/>
      </c>
      <c r="E1671">
        <f>INDEX(FactorTable!$B$2:$Y$301, MATCH(ROUND(MIN(300,MAX(1,D1671)),0), FactorTable!$A$2:$A$301,0), Skills!M6+1)</f>
        <v/>
      </c>
      <c r="F1671">
        <f>IF(Skills!N6=TRUE,(Skills!L6/10)*(E1671/1000),Skills!L6/10)+Skills!O6</f>
        <v/>
      </c>
      <c r="G1671">
        <f>Calc!G6</f>
        <v/>
      </c>
      <c r="H1671">
        <f>Calc!H6</f>
        <v/>
      </c>
      <c r="I1671">
        <f>IF(Skills!AA6&lt;&gt;"",1+(Skills!AA6/10)*(U1668/1000)/100,1)</f>
        <v/>
      </c>
      <c r="J1671" t="inlineStr"/>
      <c r="K1671" t="inlineStr"/>
      <c r="L1671" t="inlineStr"/>
      <c r="M1671" t="inlineStr"/>
      <c r="N1671" t="inlineStr"/>
      <c r="O1671">
        <f>(1-Summary!$B$55)*T1671+Summary!$B$55*V1671</f>
        <v/>
      </c>
      <c r="P1671">
        <f>IF(B1709=0,0,O1671/B1709)</f>
        <v/>
      </c>
      <c r="Q1671" t="n">
        <v>0</v>
      </c>
      <c r="R1671" t="n">
        <v>0</v>
      </c>
      <c r="S1671">
        <f>IFERROR(O1671/N1671,0)</f>
        <v/>
      </c>
      <c r="T1671" t="n">
        <v>0</v>
      </c>
      <c r="U1671">
        <f>290*U1670/1000</f>
        <v/>
      </c>
      <c r="V1671" t="n">
        <v>0</v>
      </c>
    </row>
    <row r="1672">
      <c r="A1672">
        <f>Skills!A7</f>
        <v/>
      </c>
      <c r="B1672">
        <f>Skills!B7</f>
        <v/>
      </c>
      <c r="C1672">
        <f>Inputs!$B$3&gt;=66</f>
        <v/>
      </c>
      <c r="D1672">
        <f>IF(Skills!C7=1,60+Inputs!$B$25+Inputs!$B$29,IF(Skills!C7=2,90+Inputs!$B$26+Inputs!$B$29,IF(Skills!C7=3,120+Inputs!$B$27+Inputs!$B$29,MAX(0,(Inputs!$B$3-100)*3)+Inputs!$B$28+Inputs!$B$29)))</f>
        <v/>
      </c>
      <c r="E1672">
        <f>INDEX(FactorTable!$B$2:$Y$301, MATCH(ROUND(MIN(300,MAX(1,D1672)),0), FactorTable!$A$2:$A$301,0), Skills!M7+1)</f>
        <v/>
      </c>
      <c r="F1672">
        <f>IF(Skills!N7=TRUE,(Skills!L7/10)*(E1672/1000),Skills!L7/10)+Skills!O7</f>
        <v/>
      </c>
      <c r="G1672">
        <f>Calc!G7</f>
        <v/>
      </c>
      <c r="H1672">
        <f>Calc!H7</f>
        <v/>
      </c>
      <c r="I1672">
        <f>IF(Skills!AA7&lt;&gt;"",1+(Skills!AA7/10)*(U1668/1000)/100,1)</f>
        <v/>
      </c>
      <c r="J1672" t="inlineStr"/>
      <c r="K1672" t="inlineStr"/>
      <c r="L1672" t="inlineStr"/>
      <c r="M1672" t="inlineStr"/>
      <c r="N1672" t="inlineStr"/>
      <c r="O1672">
        <f>(1-Summary!$B$55)*T1672+Summary!$B$55*V1672</f>
        <v/>
      </c>
      <c r="P1672">
        <f>IF(B1709=0,0,O1672/B1709)</f>
        <v/>
      </c>
      <c r="Q1672" t="n">
        <v>0</v>
      </c>
      <c r="R1672" t="n">
        <v>0</v>
      </c>
      <c r="S1672">
        <f>IFERROR(O1672/N1672,0)</f>
        <v/>
      </c>
      <c r="T1672" t="n">
        <v>0</v>
      </c>
      <c r="V1672" t="n">
        <v>0</v>
      </c>
    </row>
    <row r="1673">
      <c r="A1673">
        <f>Skills!A8</f>
        <v/>
      </c>
      <c r="B1673">
        <f>Skills!B8</f>
        <v/>
      </c>
      <c r="C1673">
        <f>Inputs!$B$3&gt;=69</f>
        <v/>
      </c>
      <c r="D1673">
        <f>IF(Skills!C8=1,60+Inputs!$B$25+Inputs!$B$29,IF(Skills!C8=2,90+Inputs!$B$26+Inputs!$B$29,IF(Skills!C8=3,120+Inputs!$B$27+Inputs!$B$29,MAX(0,(Inputs!$B$3-100)*3)+Inputs!$B$28+Inputs!$B$29)))</f>
        <v/>
      </c>
      <c r="E1673">
        <f>INDEX(FactorTable!$B$2:$Y$301, MATCH(ROUND(MIN(300,MAX(1,D1673)),0), FactorTable!$A$2:$A$301,0), Skills!M8+1)</f>
        <v/>
      </c>
      <c r="F1673">
        <f>IF(Skills!N8=TRUE,(Skills!L8/10)*(E1673/1000),Skills!L8/10)+Skills!O8</f>
        <v/>
      </c>
      <c r="G1673">
        <f>Calc!G8</f>
        <v/>
      </c>
      <c r="H1673">
        <f>Calc!H8</f>
        <v/>
      </c>
      <c r="I1673">
        <f>IF(Skills!AA8&lt;&gt;"",1+(Skills!AA8/10)*(U1668/1000)/100,1)</f>
        <v/>
      </c>
      <c r="J1673">
        <f>((Inputs!$B$6*(1+Inputs!$B$7/100))+(((Inputs!$B$12*(1+Inputs!$B$13/100))-(Inputs!$B$12*(1+Inputs!$B$13/100)))+0.25*(Inputs!$B$14-Inputs!$B$14))*(1+Inputs!$B$7/100))*(F1673/100)</f>
        <v/>
      </c>
      <c r="K1673">
        <f>J1673*(1+((Inputs!$B$12*(1+Inputs!$B$13/100))*0.01+Inputs!$B$14*0.0025)/100)*(1+Inputs!$B$15/100)*(1+Inputs!$B$16/100)*(5000/(6000+Inputs!$B$43*(1-Inputs!$B$19/100)))*(1+(Inputs!$B$24+((C1695=TRUE)*(F1695-Calc!F30)))/100)*(1+Skills!R8/100)*(1+(IF(Skills!A8="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1673)</f>
        <v/>
      </c>
      <c r="L1673">
        <f>K1673*(MIN(Inputs!$B$22+((C1689=TRUE)*(F1689-Calc!F24)),Inputs!$B$23)/100+Inputs!$B$23/100)/2</f>
        <v/>
      </c>
      <c r="M1673">
        <f>L1673*(1+(Inputs!$B$10+((C1691=TRUE)*(F1691-Calc!F26))+B1708)/100)</f>
        <v/>
      </c>
      <c r="N1673">
        <f>L1673*(1-MIN((Inputs!$B$9+((C1690=TRUE)*(F1690-Calc!F25))+B1705),100)/100)+M1673*(MIN((Inputs!$B$9+((C1690=TRUE)*(F1690-Calc!F25))+B1705),100)/100)</f>
        <v/>
      </c>
      <c r="O1673">
        <f>(1-Summary!$B$55)*T1673+Summary!$B$55*V1673</f>
        <v/>
      </c>
      <c r="P1673">
        <f>IF(B1709=0,0,O1673/B1709)</f>
        <v/>
      </c>
      <c r="Q1673">
        <f>IFERROR(1/IF(Inputs!$B$39="pvp",15,MAX(0.1,Skills!D8-IF(Skills!E8=TRUE,3.5,0))),0)</f>
        <v/>
      </c>
      <c r="R1673">
        <f>IF(AND(Inputs!$B$39&lt;&gt;"pvp",Inputs!$B$44&gt;0),IF(MAX(0,Inputs!$B$44-B1710)&lt;=0,0,(INT(MAX(0,Inputs!$B$44-B1710)/IF(Inputs!$B$39="pvp",15,MAX(0.1,Skills!D8-IF(Skills!E8=TRUE,3.5,0))))+1)),0)</f>
        <v/>
      </c>
      <c r="S1673">
        <f>IFERROR(O1673/N1673,0)</f>
        <v/>
      </c>
      <c r="T1673">
        <f>IF(C1673,(H1673*N1673*IF(AND(Inputs!$B$39&lt;&gt;"pvp",Inputs!$B$44&gt;0),((Skills!G8*((R1673-1)*IF(Skills!H8&gt;0,Skills!I8/Skills!H8,1)+IF(Skills!H8&gt;0,MIN(Skills!I8,MAX(0,MAX(0,Inputs!$B$44-B1710)-((R1673-1)*IF(Inputs!$B$39="pvp",15,MAX(0.1,Skills!D8-IF(Skills!E8=TRUE,3.5,0))))))/Skills!H8,1)))/Inputs!$B$44),G1673*Q1673))*IF(Inputs!$B$39="pvp",1,1+(Inputs!$B$20+((C1692=TRUE)*(F1692-Calc!F27))+Skills!P8+B1706)/100),0)</f>
        <v/>
      </c>
      <c r="V1673">
        <f>IF(C1673,(H1673*N1673*IF(AND(Inputs!$B$39&lt;&gt;"pvp",Inputs!$B$44&gt;0),((Skills!G8*((R1673-1)*IF(Skills!H8&gt;0,Skills!I8/Skills!H8,1)+IF(Skills!H8&gt;0,MIN(Skills!I8,MAX(0,MAX(0,Inputs!$B$44-B1710)-((R1673-1)*IF(Inputs!$B$39="pvp",15,MAX(0.1,Skills!D8-IF(Skills!E8=TRUE,3.5,0))))))/Skills!H8,1)))/Inputs!$B$44),G1673*Q1673))*IF(Inputs!$B$39="pvp",1,(1+(Inputs!$B$21+Skills!Q8+B1706)/100)*(MIN(Skills!W8,Inputs!$B$37))),0)</f>
        <v/>
      </c>
    </row>
    <row r="1674">
      <c r="A1674">
        <f>Skills!A9</f>
        <v/>
      </c>
      <c r="B1674">
        <f>Skills!B9</f>
        <v/>
      </c>
      <c r="C1674">
        <f>Inputs!$B$3&gt;=72</f>
        <v/>
      </c>
      <c r="D1674">
        <f>IF(Skills!C9=1,60+Inputs!$B$25+Inputs!$B$29,IF(Skills!C9=2,90+Inputs!$B$26+Inputs!$B$29,IF(Skills!C9=3,120+Inputs!$B$27+Inputs!$B$29,MAX(0,(Inputs!$B$3-100)*3)+Inputs!$B$28+Inputs!$B$29)))</f>
        <v/>
      </c>
      <c r="E1674">
        <f>INDEX(FactorTable!$B$2:$Y$301, MATCH(ROUND(MIN(300,MAX(1,D1674)),0), FactorTable!$A$2:$A$301,0), Skills!M9+1)</f>
        <v/>
      </c>
      <c r="F1674">
        <f>IF(Skills!N9=TRUE,(Skills!L9/10)*(E1674/1000),Skills!L9/10)+Skills!O9</f>
        <v/>
      </c>
      <c r="G1674">
        <f>Calc!G9</f>
        <v/>
      </c>
      <c r="H1674">
        <f>Calc!H9</f>
        <v/>
      </c>
      <c r="I1674">
        <f>IF(Skills!AA9&lt;&gt;"",1+(Skills!AA9/10)*(U1668/1000)/100,1)</f>
        <v/>
      </c>
      <c r="J1674">
        <f>((Inputs!$B$6*(1+Inputs!$B$7/100))+(((Inputs!$B$12*(1+Inputs!$B$13/100))-(Inputs!$B$12*(1+Inputs!$B$13/100)))+0.25*(Inputs!$B$14-Inputs!$B$14))*(1+Inputs!$B$7/100))*(F1674/100)</f>
        <v/>
      </c>
      <c r="K1674">
        <f>J1674*(1+((Inputs!$B$12*(1+Inputs!$B$13/100))*0.01+Inputs!$B$14*0.0025)/100)*(1+Inputs!$B$15/100)*(1+Inputs!$B$16/100)*(5000/(6000+Inputs!$B$43*(1-Inputs!$B$19/100)))*(1+(Inputs!$B$24+((C1695=TRUE)*(F1695-Calc!F30)))/100)*(1+Skills!R9/100)*(1+(IF(Skills!A9="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1674)</f>
        <v/>
      </c>
      <c r="L1674">
        <f>K1674*(MIN(Inputs!$B$22+((C1689=TRUE)*(F1689-Calc!F24)),Inputs!$B$23)/100+Inputs!$B$23/100)/2</f>
        <v/>
      </c>
      <c r="M1674">
        <f>L1674*(1+(Inputs!$B$10+((C1691=TRUE)*(F1691-Calc!F26))+B1708)/100)</f>
        <v/>
      </c>
      <c r="N1674">
        <f>L1674*(1-MIN((Inputs!$B$9+((C1690=TRUE)*(F1690-Calc!F25))+B1705),100)/100)+M1674*(MIN((Inputs!$B$9+((C1690=TRUE)*(F1690-Calc!F25))+B1705),100)/100)</f>
        <v/>
      </c>
      <c r="O1674">
        <f>(1-Summary!$B$55)*T1674+Summary!$B$55*V1674</f>
        <v/>
      </c>
      <c r="P1674">
        <f>IF(B1709=0,0,O1674/B1709)</f>
        <v/>
      </c>
      <c r="Q1674">
        <f>IFERROR(1/IF(Inputs!$B$39="pvp",15,MAX(0.1,Skills!D9-IF(Skills!E9=TRUE,3.5,0))),0)</f>
        <v/>
      </c>
      <c r="R1674">
        <f>IF(AND(Inputs!$B$39&lt;&gt;"pvp",Inputs!$B$44&gt;0),IF(MAX(0,Inputs!$B$44-B1710)&lt;=0,0,(INT(MAX(0,Inputs!$B$44-B1710)/IF(Inputs!$B$39="pvp",15,MAX(0.1,Skills!D9-IF(Skills!E9=TRUE,3.5,0))))+1)),0)</f>
        <v/>
      </c>
      <c r="S1674">
        <f>IFERROR(O1674/N1674,0)</f>
        <v/>
      </c>
      <c r="T1674">
        <f>IF(C1674,(H1674*N1674*IF(AND(Inputs!$B$39&lt;&gt;"pvp",Inputs!$B$44&gt;0),((Skills!G9*((R1674-1)*IF(Skills!H9&gt;0,Skills!I9/Skills!H9,1)+IF(Skills!H9&gt;0,MIN(Skills!I9,MAX(0,MAX(0,Inputs!$B$44-B1710)-((R1674-1)*IF(Inputs!$B$39="pvp",15,MAX(0.1,Skills!D9-IF(Skills!E9=TRUE,3.5,0))))))/Skills!H9,1)))/Inputs!$B$44),G1674*Q1674))*IF(Inputs!$B$39="pvp",1,1+(Inputs!$B$20+((C1692=TRUE)*(F1692-Calc!F27))+Skills!P9+B1706)/100),0)</f>
        <v/>
      </c>
      <c r="V1674">
        <f>IF(C1674,(H1674*N1674*IF(AND(Inputs!$B$39&lt;&gt;"pvp",Inputs!$B$44&gt;0),((Skills!G9*((R1674-1)*IF(Skills!H9&gt;0,Skills!I9/Skills!H9,1)+IF(Skills!H9&gt;0,MIN(Skills!I9,MAX(0,MAX(0,Inputs!$B$44-B1710)-((R1674-1)*IF(Inputs!$B$39="pvp",15,MAX(0.1,Skills!D9-IF(Skills!E9=TRUE,3.5,0))))))/Skills!H9,1)))/Inputs!$B$44),G1674*Q1674))*IF(Inputs!$B$39="pvp",1,(1+(Inputs!$B$21+Skills!Q9+B1706)/100)*(MIN(Skills!W9,Inputs!$B$37))),0)</f>
        <v/>
      </c>
    </row>
    <row r="1675">
      <c r="A1675">
        <f>Skills!A10</f>
        <v/>
      </c>
      <c r="B1675">
        <f>Skills!B10</f>
        <v/>
      </c>
      <c r="C1675">
        <f>Inputs!$B$3&gt;=117</f>
        <v/>
      </c>
      <c r="D1675">
        <f>IF(Skills!C10=1,60+Inputs!$B$25+Inputs!$B$29,IF(Skills!C10=2,90+Inputs!$B$26+Inputs!$B$29,IF(Skills!C10=3,120+Inputs!$B$27+Inputs!$B$29,MAX(0,(Inputs!$B$3-100)*3)+Inputs!$B$28+Inputs!$B$29)))</f>
        <v/>
      </c>
      <c r="E1675">
        <f>INDEX(FactorTable!$B$2:$Y$301, MATCH(ROUND(MIN(300,MAX(1,D1675)),0), FactorTable!$A$2:$A$301,0), Skills!M10+1)</f>
        <v/>
      </c>
      <c r="F1675">
        <f>IF(Skills!N10=TRUE,(Skills!L10/10)*(E1675/1000),Skills!L10/10)+Skills!O10</f>
        <v/>
      </c>
      <c r="G1675">
        <f>Calc!G10</f>
        <v/>
      </c>
      <c r="H1675">
        <f>Calc!H10</f>
        <v/>
      </c>
      <c r="I1675">
        <f>IF(Skills!AA10&lt;&gt;"",1+(Skills!AA10/10)*(U1668/1000)/100,1)</f>
        <v/>
      </c>
      <c r="J1675">
        <f>((Inputs!$B$6*(1+Inputs!$B$7/100))+(((Inputs!$B$12*(1+Inputs!$B$13/100))-(Inputs!$B$12*(1+Inputs!$B$13/100)))+0.25*(Inputs!$B$14-Inputs!$B$14))*(1+Inputs!$B$7/100))*(F1675/100)</f>
        <v/>
      </c>
      <c r="K1675">
        <f>J1675*(1+((Inputs!$B$12*(1+Inputs!$B$13/100))*0.01+Inputs!$B$14*0.0025)/100)*(1+Inputs!$B$15/100)*(1+Inputs!$B$16/100)*(5000/(6000+Inputs!$B$43*(1-Inputs!$B$19/100)))*(1+(Inputs!$B$24+((C1695=TRUE)*(F1695-Calc!F30)))/100)*(1+Skills!R10/100)*(1+(IF(Skills!A10="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1675)</f>
        <v/>
      </c>
      <c r="L1675">
        <f>K1675*(MIN(Inputs!$B$22+((C1689=TRUE)*(F1689-Calc!F24)),Inputs!$B$23)/100+Inputs!$B$23/100)/2</f>
        <v/>
      </c>
      <c r="M1675">
        <f>L1675*(1+(Inputs!$B$10+((C1691=TRUE)*(F1691-Calc!F26))+B1708)/100)</f>
        <v/>
      </c>
      <c r="N1675">
        <f>L1675*(1-MIN((Inputs!$B$9+((C1690=TRUE)*(F1690-Calc!F25))+B1705),100)/100)+M1675*(MIN((Inputs!$B$9+((C1690=TRUE)*(F1690-Calc!F25))+B1705),100)/100)</f>
        <v/>
      </c>
      <c r="O1675">
        <f>(1-Summary!$B$55)*T1675+Summary!$B$55*V1675</f>
        <v/>
      </c>
      <c r="P1675">
        <f>IF(B1709=0,0,O1675/B1709)</f>
        <v/>
      </c>
      <c r="Q1675" t="n">
        <v>0</v>
      </c>
      <c r="R1675" t="n">
        <v>0</v>
      </c>
      <c r="S1675" t="n">
        <v>0</v>
      </c>
      <c r="T1675">
        <f>IF(C1675,(0.2*SUMPRODUCT((Skills!Z2:Z31=TRUE)*(C1667:C1696=TRUE)*S1667:S1696)*N1675)*IF(Inputs!$B$39="pvp",1,1+(Inputs!$B$20+((C1692=TRUE)*(F1692-Calc!F27))+Skills!P10+B1706)/100),0)</f>
        <v/>
      </c>
      <c r="V1675">
        <f>IF(C1675,(0.2*SUMPRODUCT((Skills!Z2:Z31=TRUE)*(C1667:C1696=TRUE)*S1667:S1696)*N1675)*IF(Inputs!$B$39="pvp",1,(1+(Inputs!$B$21+Skills!Q10+B1706)/100)*(MIN(Skills!W10,Inputs!$B$37))),0)</f>
        <v/>
      </c>
    </row>
    <row r="1676">
      <c r="A1676">
        <f>Skills!A11</f>
        <v/>
      </c>
      <c r="B1676">
        <f>Skills!B11</f>
        <v/>
      </c>
      <c r="C1676">
        <f>Inputs!$B$3&gt;=60</f>
        <v/>
      </c>
      <c r="D1676">
        <f>IF(Skills!C11=1,60+Inputs!$B$25+Inputs!$B$29,IF(Skills!C11=2,90+Inputs!$B$26+Inputs!$B$29,IF(Skills!C11=3,120+Inputs!$B$27+Inputs!$B$29,MAX(0,(Inputs!$B$3-100)*3)+Inputs!$B$28+Inputs!$B$29)))</f>
        <v/>
      </c>
      <c r="E1676">
        <f>INDEX(FactorTable!$B$2:$Y$301, MATCH(ROUND(MIN(300,MAX(1,D1676)),0), FactorTable!$A$2:$A$301,0), Skills!M11+1)</f>
        <v/>
      </c>
      <c r="F1676">
        <f>IF(Skills!N11=TRUE,(Skills!L11/10)*(E1676/1000),Skills!L11/10)+Skills!O11</f>
        <v/>
      </c>
      <c r="G1676">
        <f>Calc!G11</f>
        <v/>
      </c>
      <c r="H1676">
        <f>Calc!H11</f>
        <v/>
      </c>
      <c r="I1676">
        <f>IF(Skills!AA11&lt;&gt;"",1+(Skills!AA11/10)*(U1668/1000)/100,1)</f>
        <v/>
      </c>
      <c r="J1676" t="inlineStr"/>
      <c r="K1676" t="inlineStr"/>
      <c r="L1676" t="inlineStr"/>
      <c r="M1676" t="inlineStr"/>
      <c r="N1676" t="inlineStr"/>
      <c r="O1676">
        <f>(1-Summary!$B$55)*T1676+Summary!$B$55*V1676</f>
        <v/>
      </c>
      <c r="P1676">
        <f>IF(B1709=0,0,O1676/B1709)</f>
        <v/>
      </c>
      <c r="Q1676" t="n">
        <v>0</v>
      </c>
      <c r="R1676" t="n">
        <v>0</v>
      </c>
      <c r="S1676">
        <f>IFERROR(O1676/N1676,0)</f>
        <v/>
      </c>
      <c r="T1676" t="n">
        <v>0</v>
      </c>
      <c r="V1676" t="n">
        <v>0</v>
      </c>
    </row>
    <row r="1677">
      <c r="A1677">
        <f>Skills!A12</f>
        <v/>
      </c>
      <c r="B1677">
        <f>Skills!B12</f>
        <v/>
      </c>
      <c r="C1677">
        <f>Inputs!$B$3&gt;=103</f>
        <v/>
      </c>
      <c r="D1677">
        <f>IF(Skills!C12=1,60+Inputs!$B$25+Inputs!$B$29,IF(Skills!C12=2,90+Inputs!$B$26+Inputs!$B$29,IF(Skills!C12=3,120+Inputs!$B$27+Inputs!$B$29,MAX(0,(Inputs!$B$3-100)*3)+Inputs!$B$28+Inputs!$B$29)))</f>
        <v/>
      </c>
      <c r="E1677">
        <f>INDEX(FactorTable!$B$2:$Y$301, MATCH(ROUND(MIN(300,MAX(1,D1677)),0), FactorTable!$A$2:$A$301,0), Skills!M12+1)</f>
        <v/>
      </c>
      <c r="F1677">
        <f>IF(Skills!N12=TRUE,(Skills!L12/10)*(E1677/1000),Skills!L12/10)+Skills!O12</f>
        <v/>
      </c>
      <c r="G1677">
        <f>Calc!G12</f>
        <v/>
      </c>
      <c r="H1677">
        <f>Calc!H12</f>
        <v/>
      </c>
      <c r="I1677">
        <f>IF(Skills!AA12&lt;&gt;"",1+(Skills!AA12/10)*(U1668/1000)/100,1)</f>
        <v/>
      </c>
      <c r="J1677">
        <f>((Inputs!$B$6*(1+Inputs!$B$7/100))+(((Inputs!$B$12*(1+Inputs!$B$13/100))-(Inputs!$B$12*(1+Inputs!$B$13/100)))+0.25*(Inputs!$B$14-Inputs!$B$14))*(1+Inputs!$B$7/100))*(F1677/100)</f>
        <v/>
      </c>
      <c r="K1677">
        <f>J1677*(1+((Inputs!$B$12*(1+Inputs!$B$13/100))*0.01+Inputs!$B$14*0.0025)/100)*(1+Inputs!$B$15/100)*(1+Inputs!$B$16/100)*(5000/(6000+Inputs!$B$43*(1-Inputs!$B$19/100)))*(1+(Inputs!$B$24+((C1695=TRUE)*(F1695-Calc!F30)))/100)*(1+Skills!R12/100)*(1+(IF(Skills!A12="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1677)</f>
        <v/>
      </c>
      <c r="L1677">
        <f>K1677*(MIN(Inputs!$B$22+((C1689=TRUE)*(F1689-Calc!F24)),Inputs!$B$23)/100+Inputs!$B$23/100)/2</f>
        <v/>
      </c>
      <c r="M1677">
        <f>L1677*(1+(Inputs!$B$10+((C1691=TRUE)*(F1691-Calc!F26))+B1708)/100)</f>
        <v/>
      </c>
      <c r="N1677">
        <f>L1677*(1-MIN((Inputs!$B$9+((C1690=TRUE)*(F1690-Calc!F25))+B1705),100)/100)+M1677*(MIN((Inputs!$B$9+((C1690=TRUE)*(F1690-Calc!F25))+B1705),100)/100)</f>
        <v/>
      </c>
      <c r="O1677">
        <f>(1-Summary!$B$55)*T1677+Summary!$B$55*V1677</f>
        <v/>
      </c>
      <c r="P1677">
        <f>IF(B1709=0,0,O1677/B1709)</f>
        <v/>
      </c>
      <c r="Q1677">
        <f>IFERROR(1/IF(Inputs!$B$39="pvp",15,MAX(0.1,Skills!D12-IF(Skills!E12=TRUE,3.5,0))),0)</f>
        <v/>
      </c>
      <c r="R1677">
        <f>IF(AND(Inputs!$B$39&lt;&gt;"pvp",Inputs!$B$44&gt;0),IF(MAX(0,Inputs!$B$44-B1710)&lt;=0,0,(INT(MAX(0,Inputs!$B$44-B1710)/IF(Inputs!$B$39="pvp",15,MAX(0.1,Skills!D12-IF(Skills!E12=TRUE,3.5,0))))+1)),0)</f>
        <v/>
      </c>
      <c r="S1677">
        <f>IFERROR(O1677/N1677,0)</f>
        <v/>
      </c>
      <c r="T1677">
        <f>IF(C1677,(H1677*N1677*IF(AND(Inputs!$B$39&lt;&gt;"pvp",Inputs!$B$44&gt;0),((Skills!G12*((R1677-1)*IF(Skills!H12&gt;0,Skills!I12/Skills!H12,1)+IF(Skills!H12&gt;0,MIN(Skills!I12,MAX(0,MAX(0,Inputs!$B$44-B1710)-((R1677-1)*IF(Inputs!$B$39="pvp",15,MAX(0.1,Skills!D12-IF(Skills!E12=TRUE,3.5,0))))))/Skills!H12,1)))/Inputs!$B$44),G1677*Q1677))*IF(Inputs!$B$39="pvp",1,1+(Inputs!$B$20+((C1692=TRUE)*(F1692-Calc!F27))+Skills!P12+B1706)/100),0)</f>
        <v/>
      </c>
      <c r="V1677">
        <f>IF(C1677,(H1677*N1677*IF(AND(Inputs!$B$39&lt;&gt;"pvp",Inputs!$B$44&gt;0),((Skills!G12*((R1677-1)*IF(Skills!H12&gt;0,Skills!I12/Skills!H12,1)+IF(Skills!H12&gt;0,MIN(Skills!I12,MAX(0,MAX(0,Inputs!$B$44-B1710)-((R1677-1)*IF(Inputs!$B$39="pvp",15,MAX(0.1,Skills!D12-IF(Skills!E12=TRUE,3.5,0))))))/Skills!H12,1)))/Inputs!$B$44),G1677*Q1677))*IF(Inputs!$B$39="pvp",1,(1+(Inputs!$B$21+Skills!Q12+B1706)/100)*(MIN(Skills!W12,Inputs!$B$37))),0)</f>
        <v/>
      </c>
    </row>
    <row r="1678">
      <c r="A1678">
        <f>Skills!A13</f>
        <v/>
      </c>
      <c r="B1678">
        <f>Skills!B13</f>
        <v/>
      </c>
      <c r="C1678">
        <f>Inputs!$B$3&gt;=105</f>
        <v/>
      </c>
      <c r="D1678">
        <f>IF(Skills!C13=1,60+Inputs!$B$25+Inputs!$B$29,IF(Skills!C13=2,90+Inputs!$B$26+Inputs!$B$29,IF(Skills!C13=3,120+Inputs!$B$27+Inputs!$B$29,MAX(0,(Inputs!$B$3-100)*3)+Inputs!$B$28+Inputs!$B$29)))</f>
        <v/>
      </c>
      <c r="E1678">
        <f>INDEX(FactorTable!$B$2:$Y$301, MATCH(ROUND(MIN(300,MAX(1,D1678)),0), FactorTable!$A$2:$A$301,0), Skills!M13+1)</f>
        <v/>
      </c>
      <c r="F1678">
        <f>IF(Skills!N13=TRUE,(Skills!L13/10)*(E1678/1000),Skills!L13/10)+Skills!O13</f>
        <v/>
      </c>
      <c r="G1678">
        <f>Calc!G13</f>
        <v/>
      </c>
      <c r="H1678">
        <f>Calc!H13</f>
        <v/>
      </c>
      <c r="I1678">
        <f>IF(Skills!AA13&lt;&gt;"",1+(Skills!AA13/10)*(U1668/1000)/100,1)</f>
        <v/>
      </c>
      <c r="J1678">
        <f>((Inputs!$B$6*(1+Inputs!$B$7/100))+(((Inputs!$B$12*(1+Inputs!$B$13/100))-(Inputs!$B$12*(1+Inputs!$B$13/100)))+0.25*(Inputs!$B$14-Inputs!$B$14))*(1+Inputs!$B$7/100))*(F1678/100)</f>
        <v/>
      </c>
      <c r="K1678">
        <f>J1678*(1+((Inputs!$B$12*(1+Inputs!$B$13/100))*0.01+Inputs!$B$14*0.0025)/100)*(1+Inputs!$B$15/100)*(1+Inputs!$B$16/100)*(5000/(6000+Inputs!$B$43*(1-Inputs!$B$19/100)))*(1+(Inputs!$B$24+((C1695=TRUE)*(F1695-Calc!F30)))/100)*(1+Skills!R13/100)*(1+(IF(Skills!A13="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1678)</f>
        <v/>
      </c>
      <c r="L1678">
        <f>K1678*(MIN(Inputs!$B$22+((C1689=TRUE)*(F1689-Calc!F24)),Inputs!$B$23)/100+Inputs!$B$23/100)/2</f>
        <v/>
      </c>
      <c r="M1678">
        <f>L1678*(1+(Inputs!$B$10+((C1691=TRUE)*(F1691-Calc!F26))+B1708)/100)</f>
        <v/>
      </c>
      <c r="N1678">
        <f>L1678*(1-MIN((Inputs!$B$9+((C1690=TRUE)*(F1690-Calc!F25))+B1705),100)/100)+M1678*(MIN((Inputs!$B$9+((C1690=TRUE)*(F1690-Calc!F25))+B1705),100)/100)</f>
        <v/>
      </c>
      <c r="O1678">
        <f>(1-Summary!$B$55)*T1678+Summary!$B$55*V1678</f>
        <v/>
      </c>
      <c r="P1678">
        <f>IF(B1709=0,0,O1678/B1709)</f>
        <v/>
      </c>
      <c r="Q1678">
        <f>IFERROR(1/IF(Inputs!$B$39="pvp",15,MAX(0.1,Skills!D13-IF(Skills!E13=TRUE,3.5,0))),0)</f>
        <v/>
      </c>
      <c r="R1678">
        <f>IF(AND(Inputs!$B$39&lt;&gt;"pvp",Inputs!$B$44&gt;0),IF(MAX(0,Inputs!$B$44-B1710)&lt;=0,0,(INT(MAX(0,Inputs!$B$44-B1710)/IF(Inputs!$B$39="pvp",15,MAX(0.1,Skills!D13-IF(Skills!E13=TRUE,3.5,0))))+1)),0)</f>
        <v/>
      </c>
      <c r="S1678">
        <f>IFERROR(O1678/N1678,0)</f>
        <v/>
      </c>
      <c r="T1678">
        <f>IF(C1678,(H1678*N1678*IF(AND(Inputs!$B$39&lt;&gt;"pvp",Inputs!$B$44&gt;0),((Skills!G13*((R1678-1)*IF(Skills!H13&gt;0,Skills!I13/Skills!H13,1)+IF(Skills!H13&gt;0,MIN(Skills!I13,MAX(0,MAX(0,Inputs!$B$44-B1710)-((R1678-1)*IF(Inputs!$B$39="pvp",15,MAX(0.1,Skills!D13-IF(Skills!E13=TRUE,3.5,0))))))/Skills!H13,1)))/Inputs!$B$44),G1678*Q1678))*IF(Inputs!$B$39="pvp",1,1+(Inputs!$B$20+((C1692=TRUE)*(F1692-Calc!F27))+Skills!P13+B1706)/100),0)</f>
        <v/>
      </c>
      <c r="V1678">
        <f>IF(C1678,(H1678*N1678*IF(AND(Inputs!$B$39&lt;&gt;"pvp",Inputs!$B$44&gt;0),((Skills!G13*((R1678-1)*IF(Skills!H13&gt;0,Skills!I13/Skills!H13,1)+IF(Skills!H13&gt;0,MIN(Skills!I13,MAX(0,MAX(0,Inputs!$B$44-B1710)-((R1678-1)*IF(Inputs!$B$39="pvp",15,MAX(0.1,Skills!D13-IF(Skills!E13=TRUE,3.5,0))))))/Skills!H13,1)))/Inputs!$B$44),G1678*Q1678))*IF(Inputs!$B$39="pvp",1,(1+(Inputs!$B$21+Skills!Q13+B1706)/100)*(MIN(Skills!W13,Inputs!$B$37))),0)</f>
        <v/>
      </c>
    </row>
    <row r="1679">
      <c r="A1679">
        <f>Skills!A14</f>
        <v/>
      </c>
      <c r="B1679">
        <f>Skills!B14</f>
        <v/>
      </c>
      <c r="C1679">
        <f>Inputs!$B$3&gt;=105</f>
        <v/>
      </c>
      <c r="D1679">
        <f>IF(Skills!C14=1,60+Inputs!$B$25+Inputs!$B$29,IF(Skills!C14=2,90+Inputs!$B$26+Inputs!$B$29,IF(Skills!C14=3,120+Inputs!$B$27+Inputs!$B$29,MAX(0,(Inputs!$B$3-100)*3)+Inputs!$B$28+Inputs!$B$29)))</f>
        <v/>
      </c>
      <c r="E1679">
        <f>INDEX(FactorTable!$B$2:$Y$301, MATCH(ROUND(MIN(300,MAX(1,D1679)),0), FactorTable!$A$2:$A$301,0), Skills!M14+1)</f>
        <v/>
      </c>
      <c r="F1679">
        <f>IF(Skills!N14=TRUE,(Skills!L14/10)*(E1679/1000),Skills!L14/10)+Skills!O14</f>
        <v/>
      </c>
      <c r="G1679">
        <f>Calc!G14</f>
        <v/>
      </c>
      <c r="H1679">
        <f>Calc!H14</f>
        <v/>
      </c>
      <c r="I1679">
        <f>IF(Skills!AA14&lt;&gt;"",1+(Skills!AA14/10)*(U1668/1000)/100,1)</f>
        <v/>
      </c>
      <c r="J1679">
        <f>((Inputs!$B$6*(1+Inputs!$B$7/100))+(((Inputs!$B$12*(1+Inputs!$B$13/100))-(Inputs!$B$12*(1+Inputs!$B$13/100)))+0.25*(Inputs!$B$14-Inputs!$B$14))*(1+Inputs!$B$7/100))*(F1679/100)</f>
        <v/>
      </c>
      <c r="K1679">
        <f>J1679*(1+((Inputs!$B$12*(1+Inputs!$B$13/100))*0.01+Inputs!$B$14*0.0025)/100)*(1+Inputs!$B$15/100)*(1+Inputs!$B$16/100)*(5000/(6000+Inputs!$B$43*(1-Inputs!$B$19/100)))*(1+(Inputs!$B$24+((C1695=TRUE)*(F1695-Calc!F30)))/100)*(1+Skills!R14/100)*(1+(IF(Skills!A14="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1679)</f>
        <v/>
      </c>
      <c r="L1679">
        <f>K1679*(MIN(Inputs!$B$22+((C1689=TRUE)*(F1689-Calc!F24)),Inputs!$B$23)/100+Inputs!$B$23/100)/2</f>
        <v/>
      </c>
      <c r="M1679">
        <f>L1679*(1+(Inputs!$B$10+((C1691=TRUE)*(F1691-Calc!F26))+B1708)/100)</f>
        <v/>
      </c>
      <c r="N1679">
        <f>L1679*(1-MIN((Inputs!$B$9+((C1690=TRUE)*(F1690-Calc!F25))+B1705),100)/100)+M1679*(MIN((Inputs!$B$9+((C1690=TRUE)*(F1690-Calc!F25))+B1705),100)/100)</f>
        <v/>
      </c>
      <c r="O1679">
        <f>(1-Summary!$B$55)*T1679+Summary!$B$55*V1679</f>
        <v/>
      </c>
      <c r="P1679">
        <f>IF(B1709=0,0,O1679/B1709)</f>
        <v/>
      </c>
      <c r="Q1679">
        <f>IFERROR(1/IF(Inputs!$B$39="pvp",15,MAX(0.1,Skills!D14-IF(Skills!E14=TRUE,3.5,0))),0)</f>
        <v/>
      </c>
      <c r="R1679">
        <f>IF(AND(Inputs!$B$39&lt;&gt;"pvp",Inputs!$B$44&gt;0),IF(MAX(0,Inputs!$B$44-B1710)&lt;=0,0,(INT(MAX(0,Inputs!$B$44-B1710)/IF(Inputs!$B$39="pvp",15,MAX(0.1,Skills!D14-IF(Skills!E14=TRUE,3.5,0))))+1)),0)</f>
        <v/>
      </c>
      <c r="S1679">
        <f>IFERROR(O1679/N1679,0)</f>
        <v/>
      </c>
      <c r="T1679">
        <f>IF(C1679,(H1679*N1679*IF(AND(Inputs!$B$39&lt;&gt;"pvp",Inputs!$B$44&gt;0),((Skills!G14*((R1679-1)*IF(Skills!H14&gt;0,Skills!I14/Skills!H14,1)+IF(Skills!H14&gt;0,MIN(Skills!I14,MAX(0,MAX(0,Inputs!$B$44-B1710)-((R1679-1)*IF(Inputs!$B$39="pvp",15,MAX(0.1,Skills!D14-IF(Skills!E14=TRUE,3.5,0))))))/Skills!H14,1)))/Inputs!$B$44),G1679*Q1679))*IF(Inputs!$B$39="pvp",1,1+(Inputs!$B$20+((C1692=TRUE)*(F1692-Calc!F27))+Skills!P14+B1706)/100),0)</f>
        <v/>
      </c>
      <c r="V1679">
        <f>IF(C1679,(H1679*N1679*IF(AND(Inputs!$B$39&lt;&gt;"pvp",Inputs!$B$44&gt;0),((Skills!G14*((R1679-1)*IF(Skills!H14&gt;0,Skills!I14/Skills!H14,1)+IF(Skills!H14&gt;0,MIN(Skills!I14,MAX(0,MAX(0,Inputs!$B$44-B1710)-((R1679-1)*IF(Inputs!$B$39="pvp",15,MAX(0.1,Skills!D14-IF(Skills!E14=TRUE,3.5,0))))))/Skills!H14,1)))/Inputs!$B$44),G1679*Q1679))*IF(Inputs!$B$39="pvp",1,(1+(Inputs!$B$21+Skills!Q14+B1706)/100)*(MIN(Skills!W14,Inputs!$B$37))),0)</f>
        <v/>
      </c>
    </row>
    <row r="1680">
      <c r="A1680">
        <f>Skills!A15</f>
        <v/>
      </c>
      <c r="B1680">
        <f>Skills!B15</f>
        <v/>
      </c>
      <c r="C1680">
        <f>Inputs!$B$3&gt;=110</f>
        <v/>
      </c>
      <c r="D1680">
        <f>IF(Skills!C15=1,60+Inputs!$B$25+Inputs!$B$29,IF(Skills!C15=2,90+Inputs!$B$26+Inputs!$B$29,IF(Skills!C15=3,120+Inputs!$B$27+Inputs!$B$29,MAX(0,(Inputs!$B$3-100)*3)+Inputs!$B$28+Inputs!$B$29)))</f>
        <v/>
      </c>
      <c r="E1680">
        <f>INDEX(FactorTable!$B$2:$Y$301, MATCH(ROUND(MIN(300,MAX(1,D1680)),0), FactorTable!$A$2:$A$301,0), Skills!M15+1)</f>
        <v/>
      </c>
      <c r="F1680">
        <f>IF(Skills!N15=TRUE,(Skills!L15/10)*(E1680/1000),Skills!L15/10)+Skills!O15</f>
        <v/>
      </c>
      <c r="G1680">
        <f>Calc!G15</f>
        <v/>
      </c>
      <c r="H1680">
        <f>Calc!H15</f>
        <v/>
      </c>
      <c r="I1680">
        <f>IF(Skills!AA15&lt;&gt;"",1+(Skills!AA15/10)*(U1668/1000)/100,1)</f>
        <v/>
      </c>
      <c r="J1680" t="inlineStr"/>
      <c r="K1680" t="inlineStr"/>
      <c r="L1680" t="inlineStr"/>
      <c r="M1680" t="inlineStr"/>
      <c r="N1680" t="inlineStr"/>
      <c r="O1680">
        <f>(1-Summary!$B$55)*T1680+Summary!$B$55*V1680</f>
        <v/>
      </c>
      <c r="P1680">
        <f>IF(B1709=0,0,O1680/B1709)</f>
        <v/>
      </c>
      <c r="Q1680">
        <f>IFERROR(1/IF(Inputs!$B$39="pvp",15,MAX(0.1,Skills!D15-IF(Skills!E15=TRUE,3.5,0))),0)</f>
        <v/>
      </c>
      <c r="R1680">
        <f>IF(AND(Inputs!$B$39&lt;&gt;"pvp",Inputs!$B$44&gt;0),IF(Inputs!$B$44&lt;=0,0,(INT(Inputs!$B$44/IF(Inputs!$B$39="pvp",15,MAX(0.1,Skills!D15-IF(Skills!E15=TRUE,3.5,0))))+1)),0)</f>
        <v/>
      </c>
      <c r="S1680">
        <f>IFERROR(O1680/N1680,0)</f>
        <v/>
      </c>
      <c r="T1680" t="n">
        <v>0</v>
      </c>
      <c r="V1680" t="n">
        <v>0</v>
      </c>
    </row>
    <row r="1681">
      <c r="A1681">
        <f>Skills!A16</f>
        <v/>
      </c>
      <c r="B1681">
        <f>Skills!B16</f>
        <v/>
      </c>
      <c r="C1681">
        <f>Inputs!$B$3&gt;=110</f>
        <v/>
      </c>
      <c r="D1681">
        <f>IF(Skills!C16=1,60+Inputs!$B$25+Inputs!$B$29,IF(Skills!C16=2,90+Inputs!$B$26+Inputs!$B$29,IF(Skills!C16=3,120+Inputs!$B$27+Inputs!$B$29,MAX(0,(Inputs!$B$3-100)*3)+Inputs!$B$28+Inputs!$B$29)))</f>
        <v/>
      </c>
      <c r="E1681">
        <f>INDEX(FactorTable!$B$2:$Y$301, MATCH(ROUND(MIN(300,MAX(1,D1681)),0), FactorTable!$A$2:$A$301,0), Skills!M16+1)</f>
        <v/>
      </c>
      <c r="F1681">
        <f>IF(Skills!N16=TRUE,(Skills!L16/10)*(E1681/1000),Skills!L16/10)+Skills!O16</f>
        <v/>
      </c>
      <c r="G1681">
        <f>Calc!G16</f>
        <v/>
      </c>
      <c r="H1681">
        <f>Calc!H16</f>
        <v/>
      </c>
      <c r="I1681">
        <f>IF(Skills!AA16&lt;&gt;"",1+(Skills!AA16/10)*(U1668/1000)/100,1)</f>
        <v/>
      </c>
      <c r="J1681" t="inlineStr"/>
      <c r="K1681" t="inlineStr"/>
      <c r="L1681" t="inlineStr"/>
      <c r="M1681" t="inlineStr"/>
      <c r="N1681" t="inlineStr"/>
      <c r="O1681">
        <f>(1-Summary!$B$55)*T1681+Summary!$B$55*V1681</f>
        <v/>
      </c>
      <c r="P1681">
        <f>IF(B1709=0,0,O1681/B1709)</f>
        <v/>
      </c>
      <c r="Q1681">
        <f>IFERROR(1/IF(Inputs!$B$39="pvp",15,MAX(0.1,Skills!D16-IF(Skills!E16=TRUE,3.5,0))),0)</f>
        <v/>
      </c>
      <c r="R1681">
        <f>IF(AND(Inputs!$B$39&lt;&gt;"pvp",Inputs!$B$44&gt;0),IF(Inputs!$B$44&lt;=0,0,(INT(Inputs!$B$44/IF(Inputs!$B$39="pvp",15,MAX(0.1,Skills!D16-IF(Skills!E16=TRUE,3.5,0))))+1)),0)</f>
        <v/>
      </c>
      <c r="S1681">
        <f>IFERROR(O1681/N1681,0)</f>
        <v/>
      </c>
      <c r="T1681" t="n">
        <v>0</v>
      </c>
      <c r="V1681" t="n">
        <v>0</v>
      </c>
    </row>
    <row r="1682">
      <c r="A1682">
        <f>Skills!A17</f>
        <v/>
      </c>
      <c r="B1682">
        <f>Skills!B17</f>
        <v/>
      </c>
      <c r="C1682">
        <f>Inputs!$B$3&gt;=115</f>
        <v/>
      </c>
      <c r="D1682">
        <f>IF(Skills!C17=1,60+Inputs!$B$25+Inputs!$B$29,IF(Skills!C17=2,90+Inputs!$B$26+Inputs!$B$29,IF(Skills!C17=3,120+Inputs!$B$27+Inputs!$B$29,MAX(0,(Inputs!$B$3-100)*3)+Inputs!$B$28+Inputs!$B$29)))</f>
        <v/>
      </c>
      <c r="E1682">
        <f>INDEX(FactorTable!$B$2:$Y$301, MATCH(ROUND(MIN(300,MAX(1,D1682)),0), FactorTable!$A$2:$A$301,0), Skills!M17+1)</f>
        <v/>
      </c>
      <c r="F1682">
        <f>IF(Skills!N17=TRUE,(Skills!L17/10)*(E1682/1000),Skills!L17/10)+Skills!O17</f>
        <v/>
      </c>
      <c r="G1682">
        <f>Calc!G17</f>
        <v/>
      </c>
      <c r="H1682">
        <f>Calc!H17</f>
        <v/>
      </c>
      <c r="I1682">
        <f>IF(Skills!AA17&lt;&gt;"",1+(Skills!AA17/10)*(U1668/1000)/100,1)</f>
        <v/>
      </c>
      <c r="J1682">
        <f>((Inputs!$B$6*(1+Inputs!$B$7/100))+(((Inputs!$B$12*(1+Inputs!$B$13/100))-(Inputs!$B$12*(1+Inputs!$B$13/100)))+0.25*(Inputs!$B$14-Inputs!$B$14))*(1+Inputs!$B$7/100))*(F1682/100)</f>
        <v/>
      </c>
      <c r="K1682">
        <f>J1682*(1+((Inputs!$B$12*(1+Inputs!$B$13/100))*0.01+Inputs!$B$14*0.0025)/100)*(1+Inputs!$B$15/100)*(1+Inputs!$B$16/100)*(5000/(6000+Inputs!$B$43*(1-Inputs!$B$19/100)))*(1+(Inputs!$B$24+((C1695=TRUE)*(F1695-Calc!F30)))/100)*(1+Skills!R17/100)*(1+(IF(Skills!A17="SHOWDOWN",Inputs!$B$17+((C1688=TRUE)*(F1688-Calc!F23)),Inputs!$B$18+((C1694=TRUE)*(F1694-Calc!F29))))/100)*(((1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B1707*I1682)</f>
        <v/>
      </c>
      <c r="L1682">
        <f>K1682*(MIN(Inputs!$B$22+((C1689=TRUE)*(F1689-Calc!F24)),Inputs!$B$23)/100+Inputs!$B$23/100)/2</f>
        <v/>
      </c>
      <c r="M1682">
        <f>L1682*(1+(Inputs!$B$10+((C1691=TRUE)*(F1691-Calc!F26))+B1708)/100)</f>
        <v/>
      </c>
      <c r="N1682">
        <f>L1682*(1-MIN((Inputs!$B$9+((C1690=TRUE)*(F1690-Calc!F25))+B1705),100)/100)+M1682*(MIN((Inputs!$B$9+((C1690=TRUE)*(F1690-Calc!F25))+B1705),100)/100)</f>
        <v/>
      </c>
      <c r="O1682">
        <f>(1-Summary!$B$55)*T1682+Summary!$B$55*V1682</f>
        <v/>
      </c>
      <c r="P1682">
        <f>IF(B1709=0,0,O1682/B1709)</f>
        <v/>
      </c>
      <c r="Q1682" t="n">
        <v>0</v>
      </c>
      <c r="R1682" t="n">
        <v>0</v>
      </c>
      <c r="S1682">
        <f>IFERROR(O1682/N1682,0)</f>
        <v/>
      </c>
      <c r="T1682">
        <f>IF(C1682,(Inputs!$B$38*0.2*N1682)*IF(Inputs!$B$39="pvp",1,1+(Inputs!$B$20+((C1692=TRUE)*(F1692-Calc!F27))+Skills!P17+B1706)/100),0)</f>
        <v/>
      </c>
      <c r="V1682">
        <f>IF(C1682,(Inputs!$B$38*0.2*N1682)*IF(Inputs!$B$39="pvp",1,(1+(Inputs!$B$21+Skills!Q17+B1706)/100)*(MIN(Skills!W17,Inputs!$B$37))),0)</f>
        <v/>
      </c>
    </row>
    <row r="1683">
      <c r="A1683">
        <f>Skills!A18</f>
        <v/>
      </c>
      <c r="B1683">
        <f>Skills!B18</f>
        <v/>
      </c>
      <c r="C1683">
        <f>Inputs!$B$3&gt;=115</f>
        <v/>
      </c>
      <c r="D1683">
        <f>IF(Skills!C18=1,60+Inputs!$B$25+Inputs!$B$29,IF(Skills!C18=2,90+Inputs!$B$26+Inputs!$B$29,IF(Skills!C18=3,120+Inputs!$B$27+Inputs!$B$29,MAX(0,(Inputs!$B$3-100)*3)+Inputs!$B$28+Inputs!$B$29)))</f>
        <v/>
      </c>
      <c r="E1683">
        <f>INDEX(FactorTable!$B$2:$Y$301, MATCH(ROUND(MIN(300,MAX(1,D1683)),0), FactorTable!$A$2:$A$301,0), Skills!M18+1)</f>
        <v/>
      </c>
      <c r="F1683">
        <f>IF(Skills!N18=TRUE,(Skills!L18/10)*(E1683/1000),Skills!L18/10)+Skills!O18</f>
        <v/>
      </c>
      <c r="G1683">
        <f>Calc!G18</f>
        <v/>
      </c>
      <c r="H1683">
        <f>Calc!H18</f>
        <v/>
      </c>
      <c r="I1683">
        <f>IF(Skills!AA18&lt;&gt;"",1+(Skills!AA18/10)*(U1668/1000)/100,1)</f>
        <v/>
      </c>
      <c r="J1683" t="inlineStr"/>
      <c r="K1683" t="inlineStr"/>
      <c r="L1683" t="inlineStr"/>
      <c r="M1683" t="inlineStr"/>
      <c r="N1683" t="inlineStr"/>
      <c r="O1683">
        <f>(1-Summary!$B$55)*T1683+Summary!$B$55*V1683</f>
        <v/>
      </c>
      <c r="P1683">
        <f>IF(B1709=0,0,O1683/B1709)</f>
        <v/>
      </c>
      <c r="Q1683" t="n">
        <v>0</v>
      </c>
      <c r="R1683" t="n">
        <v>0</v>
      </c>
      <c r="S1683">
        <f>IFERROR(O1683/N1683,0)</f>
        <v/>
      </c>
      <c r="T1683" t="n">
        <v>0</v>
      </c>
      <c r="V1683" t="n">
        <v>0</v>
      </c>
    </row>
    <row r="1684">
      <c r="A1684">
        <f>Skills!A19</f>
        <v/>
      </c>
      <c r="B1684">
        <f>Skills!B19</f>
        <v/>
      </c>
      <c r="C1684">
        <f>TRUE</f>
        <v/>
      </c>
      <c r="D1684">
        <f>IF(Skills!C19=1,60+Inputs!$B$25+Inputs!$B$29,IF(Skills!C19=2,90+Inputs!$B$26+Inputs!$B$29,IF(Skills!C19=3,120+Inputs!$B$27+Inputs!$B$29,MAX(0,(Inputs!$B$3-100)*3)+Inputs!$B$28+Inputs!$B$29)))</f>
        <v/>
      </c>
      <c r="E1684">
        <f>INDEX(FactorTable!$B$2:$Y$301, MATCH(ROUND(MIN(300,MAX(1,D1684)),0), FactorTable!$A$2:$A$301,0), Skills!M19+1)</f>
        <v/>
      </c>
      <c r="F1684">
        <f>IF(Skills!N19=TRUE,(Skills!L19/10)*(E1684/1000),Skills!L19/10)+Skills!O19</f>
        <v/>
      </c>
      <c r="G1684">
        <f>Calc!G19</f>
        <v/>
      </c>
      <c r="H1684">
        <f>Calc!H19</f>
        <v/>
      </c>
      <c r="I1684">
        <f>IF(Skills!AA19&lt;&gt;"",1+(Skills!AA19/10)*(U1668/1000)/100,1)</f>
        <v/>
      </c>
      <c r="J1684" t="inlineStr"/>
      <c r="K1684" t="inlineStr"/>
      <c r="L1684" t="inlineStr"/>
      <c r="M1684" t="inlineStr"/>
      <c r="N1684" t="inlineStr"/>
      <c r="O1684">
        <f>(1-Summary!$B$55)*T1684+Summary!$B$55*V1684</f>
        <v/>
      </c>
      <c r="P1684">
        <f>IF(B1709=0,0,O1684/B1709)</f>
        <v/>
      </c>
      <c r="Q1684">
        <f>IFERROR(1/IF(Inputs!$B$39="pvp",15,MAX(0.1,Skills!D19-IF(Skills!E19=TRUE,3.5,0))),0)</f>
        <v/>
      </c>
      <c r="R1684">
        <f>IF(AND(Inputs!$B$39&lt;&gt;"pvp",Inputs!$B$44&gt;0),IF(Inputs!$B$44&lt;=0,0,(INT(Inputs!$B$44/IF(Inputs!$B$39="pvp",15,MAX(0.1,Skills!D19-IF(Skills!E19=TRUE,3.5,0))))+1)),0)</f>
        <v/>
      </c>
      <c r="S1684">
        <f>IFERROR(O1684/N1684,0)</f>
        <v/>
      </c>
      <c r="T1684" t="n">
        <v>0</v>
      </c>
      <c r="V1684" t="n">
        <v>0</v>
      </c>
    </row>
    <row r="1685">
      <c r="A1685">
        <f>Skills!A20</f>
        <v/>
      </c>
      <c r="B1685">
        <f>Skills!B20</f>
        <v/>
      </c>
      <c r="C1685">
        <f>Inputs!$B$3&gt;=15</f>
        <v/>
      </c>
      <c r="D1685">
        <f>IF(Skills!C20=1,60+Inputs!$B$25+Inputs!$B$29,IF(Skills!C20=2,90+Inputs!$B$26+Inputs!$B$29,IF(Skills!C20=3,120+Inputs!$B$27+Inputs!$B$29,MAX(0,(Inputs!$B$3-100)*3)+Inputs!$B$28+Inputs!$B$29)))</f>
        <v/>
      </c>
      <c r="E1685">
        <f>INDEX(FactorTable!$B$2:$Y$301, MATCH(ROUND(MIN(300,MAX(1,D1685)),0), FactorTable!$A$2:$A$301,0), Skills!M20+1)</f>
        <v/>
      </c>
      <c r="F1685">
        <f>IF(Skills!N20=TRUE,(Skills!L20/10)*(E1685/1000),Skills!L20/10)+Skills!O20</f>
        <v/>
      </c>
      <c r="G1685">
        <f>Calc!G20</f>
        <v/>
      </c>
      <c r="H1685">
        <f>Calc!H20</f>
        <v/>
      </c>
      <c r="I1685">
        <f>IF(Skills!AA20&lt;&gt;"",1+(Skills!AA20/10)*(U1668/1000)/100,1)</f>
        <v/>
      </c>
      <c r="J1685" t="inlineStr"/>
      <c r="K1685" t="inlineStr"/>
      <c r="L1685" t="inlineStr"/>
      <c r="M1685" t="inlineStr"/>
      <c r="N1685" t="inlineStr"/>
      <c r="O1685">
        <f>(1-Summary!$B$55)*T1685+Summary!$B$55*V1685</f>
        <v/>
      </c>
      <c r="P1685">
        <f>IF(B1709=0,0,O1685/B1709)</f>
        <v/>
      </c>
      <c r="Q1685">
        <f>IFERROR(1/IF(Inputs!$B$39="pvp",15,MAX(0.1,Skills!D20-IF(Skills!E20=TRUE,3.5,0))),0)</f>
        <v/>
      </c>
      <c r="R1685">
        <f>IF(AND(Inputs!$B$39&lt;&gt;"pvp",Inputs!$B$44&gt;0),IF(Inputs!$B$44&lt;=0,0,(INT(Inputs!$B$44/IF(Inputs!$B$39="pvp",15,MAX(0.1,Skills!D20-IF(Skills!E20=TRUE,3.5,0))))+1)),0)</f>
        <v/>
      </c>
      <c r="S1685">
        <f>IFERROR(O1685/N1685,0)</f>
        <v/>
      </c>
      <c r="T1685" t="n">
        <v>0</v>
      </c>
      <c r="V1685" t="n">
        <v>0</v>
      </c>
    </row>
    <row r="1686">
      <c r="A1686">
        <f>Skills!A21</f>
        <v/>
      </c>
      <c r="B1686">
        <f>Skills!B21</f>
        <v/>
      </c>
      <c r="C1686">
        <f>Inputs!$B$3&gt;=15</f>
        <v/>
      </c>
      <c r="D1686">
        <f>IF(Skills!C21=1,60+Inputs!$B$25+Inputs!$B$29,IF(Skills!C21=2,90+Inputs!$B$26+Inputs!$B$29,IF(Skills!C21=3,120+Inputs!$B$27+Inputs!$B$29,MAX(0,(Inputs!$B$3-100)*3)+Inputs!$B$28+Inputs!$B$29)))</f>
        <v/>
      </c>
      <c r="E1686">
        <f>INDEX(FactorTable!$B$2:$Y$301, MATCH(ROUND(MIN(300,MAX(1,D1686)),0), FactorTable!$A$2:$A$301,0), Skills!M21+1)</f>
        <v/>
      </c>
      <c r="F1686">
        <f>IF(Skills!N21=TRUE,(Skills!L21/10)*(E1686/1000),Skills!L21/10)+Skills!O21</f>
        <v/>
      </c>
      <c r="G1686">
        <f>Calc!G21</f>
        <v/>
      </c>
      <c r="H1686">
        <f>Calc!H21</f>
        <v/>
      </c>
      <c r="I1686">
        <f>IF(Skills!AA21&lt;&gt;"",1+(Skills!AA21/10)*(U1668/1000)/100,1)</f>
        <v/>
      </c>
      <c r="J1686" t="inlineStr"/>
      <c r="K1686" t="inlineStr"/>
      <c r="L1686" t="inlineStr"/>
      <c r="M1686" t="inlineStr"/>
      <c r="N1686" t="inlineStr"/>
      <c r="O1686">
        <f>(1-Summary!$B$55)*T1686+Summary!$B$55*V1686</f>
        <v/>
      </c>
      <c r="P1686">
        <f>IF(B1709=0,0,O1686/B1709)</f>
        <v/>
      </c>
      <c r="Q1686">
        <f>IFERROR(1/IF(Inputs!$B$39="pvp",15,MAX(0.1,Skills!D21-IF(Skills!E21=TRUE,3.5,0))),0)</f>
        <v/>
      </c>
      <c r="R1686">
        <f>IF(AND(Inputs!$B$39&lt;&gt;"pvp",Inputs!$B$44&gt;0),IF(Inputs!$B$44&lt;=0,0,(INT(Inputs!$B$44/IF(Inputs!$B$39="pvp",15,MAX(0.1,Skills!D21-IF(Skills!E21=TRUE,3.5,0))))+1)),0)</f>
        <v/>
      </c>
      <c r="S1686">
        <f>IFERROR(O1686/N1686,0)</f>
        <v/>
      </c>
      <c r="T1686" t="n">
        <v>0</v>
      </c>
      <c r="V1686" t="n">
        <v>0</v>
      </c>
    </row>
    <row r="1687">
      <c r="A1687">
        <f>Skills!A22</f>
        <v/>
      </c>
      <c r="B1687">
        <f>Skills!B22</f>
        <v/>
      </c>
      <c r="C1687">
        <f>Inputs!$B$3&gt;=33</f>
        <v/>
      </c>
      <c r="D1687">
        <f>IF(Skills!C22=1,60+Inputs!$B$25+Inputs!$B$29,IF(Skills!C22=2,90+Inputs!$B$26+Inputs!$B$29,IF(Skills!C22=3,120+Inputs!$B$27+Inputs!$B$29,MAX(0,(Inputs!$B$3-100)*3)+Inputs!$B$28+Inputs!$B$29)))</f>
        <v/>
      </c>
      <c r="E1687">
        <f>INDEX(FactorTable!$B$2:$Y$301, MATCH(ROUND(MIN(300,MAX(1,D1687)),0), FactorTable!$A$2:$A$301,0), Skills!M22+1)</f>
        <v/>
      </c>
      <c r="F1687">
        <f>IF(Skills!N22=TRUE,(Skills!L22/10)*(E1687/1000),Skills!L22/10)+Skills!O22</f>
        <v/>
      </c>
      <c r="G1687">
        <f>Calc!G22</f>
        <v/>
      </c>
      <c r="H1687">
        <f>Calc!H22</f>
        <v/>
      </c>
      <c r="I1687">
        <f>IF(Skills!AA22&lt;&gt;"",1+(Skills!AA22/10)*(U1668/1000)/100,1)</f>
        <v/>
      </c>
      <c r="J1687" t="inlineStr"/>
      <c r="K1687" t="inlineStr"/>
      <c r="L1687" t="inlineStr"/>
      <c r="M1687" t="inlineStr"/>
      <c r="N1687" t="inlineStr"/>
      <c r="O1687">
        <f>(1-Summary!$B$55)*T1687+Summary!$B$55*V1687</f>
        <v/>
      </c>
      <c r="P1687">
        <f>IF(B1709=0,0,O1687/B1709)</f>
        <v/>
      </c>
      <c r="Q1687" t="n">
        <v>0</v>
      </c>
      <c r="R1687" t="n">
        <v>0</v>
      </c>
      <c r="S1687">
        <f>IFERROR(O1687/N1687,0)</f>
        <v/>
      </c>
      <c r="T1687" t="n">
        <v>0</v>
      </c>
      <c r="V1687" t="n">
        <v>0</v>
      </c>
    </row>
    <row r="1688">
      <c r="A1688">
        <f>Skills!A23</f>
        <v/>
      </c>
      <c r="B1688">
        <f>Skills!B23</f>
        <v/>
      </c>
      <c r="C1688">
        <f>Inputs!$B$3&gt;=38</f>
        <v/>
      </c>
      <c r="D1688">
        <f>IF(Skills!C23=1,60+Inputs!$B$25+Inputs!$B$29,IF(Skills!C23=2,90+Inputs!$B$26+Inputs!$B$29,IF(Skills!C23=3,120+Inputs!$B$27+Inputs!$B$29,MAX(0,(Inputs!$B$3-100)*3)+Inputs!$B$28+Inputs!$B$29)))</f>
        <v/>
      </c>
      <c r="E1688">
        <f>INDEX(FactorTable!$B$2:$Y$301, MATCH(ROUND(MIN(300,MAX(1,D1688)),0), FactorTable!$A$2:$A$301,0), Skills!M23+1)</f>
        <v/>
      </c>
      <c r="F1688">
        <f>IF(Skills!N23=TRUE,(Skills!L23/10)*(E1688/1000),Skills!L23/10)+Skills!O23</f>
        <v/>
      </c>
      <c r="G1688">
        <f>Calc!G23</f>
        <v/>
      </c>
      <c r="H1688">
        <f>Calc!H23</f>
        <v/>
      </c>
      <c r="I1688">
        <f>IF(Skills!AA23&lt;&gt;"",1+(Skills!AA23/10)*(U1668/1000)/100,1)</f>
        <v/>
      </c>
      <c r="J1688" t="inlineStr"/>
      <c r="K1688" t="inlineStr"/>
      <c r="L1688" t="inlineStr"/>
      <c r="M1688" t="inlineStr"/>
      <c r="N1688" t="inlineStr"/>
      <c r="O1688">
        <f>(1-Summary!$B$55)*T1688+Summary!$B$55*V1688</f>
        <v/>
      </c>
      <c r="P1688">
        <f>IF(B1709=0,0,O1688/B1709)</f>
        <v/>
      </c>
      <c r="Q1688" t="n">
        <v>0</v>
      </c>
      <c r="R1688" t="n">
        <v>0</v>
      </c>
      <c r="S1688">
        <f>IFERROR(O1688/N1688,0)</f>
        <v/>
      </c>
      <c r="T1688" t="n">
        <v>0</v>
      </c>
      <c r="V1688" t="n">
        <v>0</v>
      </c>
    </row>
    <row r="1689">
      <c r="A1689">
        <f>Skills!A24</f>
        <v/>
      </c>
      <c r="B1689">
        <f>Skills!B24</f>
        <v/>
      </c>
      <c r="C1689">
        <f>Inputs!$B$3&gt;=40</f>
        <v/>
      </c>
      <c r="D1689">
        <f>IF(Skills!C24=1,60+Inputs!$B$25+Inputs!$B$29,IF(Skills!C24=2,90+Inputs!$B$26+Inputs!$B$29,IF(Skills!C24=3,120+Inputs!$B$27+Inputs!$B$29,MAX(0,(Inputs!$B$3-100)*3)+Inputs!$B$28+Inputs!$B$29)))</f>
        <v/>
      </c>
      <c r="E1689">
        <f>INDEX(FactorTable!$B$2:$Y$301, MATCH(ROUND(MIN(300,MAX(1,D1689)),0), FactorTable!$A$2:$A$301,0), Skills!M24+1)</f>
        <v/>
      </c>
      <c r="F1689">
        <f>IF(Skills!N24=TRUE,(Skills!L24/10)*(E1689/1000),Skills!L24/10)+Skills!O24</f>
        <v/>
      </c>
      <c r="G1689">
        <f>Calc!G24</f>
        <v/>
      </c>
      <c r="H1689">
        <f>Calc!H24</f>
        <v/>
      </c>
      <c r="I1689">
        <f>IF(Skills!AA24&lt;&gt;"",1+(Skills!AA24/10)*(U1668/1000)/100,1)</f>
        <v/>
      </c>
      <c r="J1689" t="inlineStr"/>
      <c r="K1689" t="inlineStr"/>
      <c r="L1689" t="inlineStr"/>
      <c r="M1689" t="inlineStr"/>
      <c r="N1689" t="inlineStr"/>
      <c r="O1689">
        <f>(1-Summary!$B$55)*T1689+Summary!$B$55*V1689</f>
        <v/>
      </c>
      <c r="P1689">
        <f>IF(B1709=0,0,O1689/B1709)</f>
        <v/>
      </c>
      <c r="Q1689" t="n">
        <v>0</v>
      </c>
      <c r="R1689" t="n">
        <v>0</v>
      </c>
      <c r="S1689">
        <f>IFERROR(O1689/N1689,0)</f>
        <v/>
      </c>
      <c r="T1689" t="n">
        <v>0</v>
      </c>
      <c r="V1689" t="n">
        <v>0</v>
      </c>
    </row>
    <row r="1690">
      <c r="A1690">
        <f>Skills!A25</f>
        <v/>
      </c>
      <c r="B1690">
        <f>Skills!B25</f>
        <v/>
      </c>
      <c r="C1690">
        <f>Inputs!$B$3&gt;=45</f>
        <v/>
      </c>
      <c r="D1690">
        <f>IF(Skills!C25=1,60+Inputs!$B$25+Inputs!$B$29,IF(Skills!C25=2,90+Inputs!$B$26+Inputs!$B$29,IF(Skills!C25=3,120+Inputs!$B$27+Inputs!$B$29,MAX(0,(Inputs!$B$3-100)*3)+Inputs!$B$28+Inputs!$B$29)))</f>
        <v/>
      </c>
      <c r="E1690">
        <f>INDEX(FactorTable!$B$2:$Y$301, MATCH(ROUND(MIN(300,MAX(1,D1690)),0), FactorTable!$A$2:$A$301,0), Skills!M25+1)</f>
        <v/>
      </c>
      <c r="F1690">
        <f>IF(Skills!N25=TRUE,(Skills!L25/10)*(E1690/1000),Skills!L25/10)+Skills!O25</f>
        <v/>
      </c>
      <c r="G1690">
        <f>Calc!G25</f>
        <v/>
      </c>
      <c r="H1690">
        <f>Calc!H25</f>
        <v/>
      </c>
      <c r="I1690">
        <f>IF(Skills!AA25&lt;&gt;"",1+(Skills!AA25/10)*(U1668/1000)/100,1)</f>
        <v/>
      </c>
      <c r="J1690" t="inlineStr"/>
      <c r="K1690" t="inlineStr"/>
      <c r="L1690" t="inlineStr"/>
      <c r="M1690" t="inlineStr"/>
      <c r="N1690" t="inlineStr"/>
      <c r="O1690">
        <f>(1-Summary!$B$55)*T1690+Summary!$B$55*V1690</f>
        <v/>
      </c>
      <c r="P1690">
        <f>IF(B1709=0,0,O1690/B1709)</f>
        <v/>
      </c>
      <c r="Q1690" t="n">
        <v>0</v>
      </c>
      <c r="R1690" t="n">
        <v>0</v>
      </c>
      <c r="S1690">
        <f>IFERROR(O1690/N1690,0)</f>
        <v/>
      </c>
      <c r="T1690" t="n">
        <v>0</v>
      </c>
      <c r="V1690" t="n">
        <v>0</v>
      </c>
    </row>
    <row r="1691">
      <c r="A1691">
        <f>Skills!A26</f>
        <v/>
      </c>
      <c r="B1691">
        <f>Skills!B26</f>
        <v/>
      </c>
      <c r="C1691">
        <f>Inputs!$B$3&gt;=45</f>
        <v/>
      </c>
      <c r="D1691">
        <f>IF(Skills!C26=1,60+Inputs!$B$25+Inputs!$B$29,IF(Skills!C26=2,90+Inputs!$B$26+Inputs!$B$29,IF(Skills!C26=3,120+Inputs!$B$27+Inputs!$B$29,MAX(0,(Inputs!$B$3-100)*3)+Inputs!$B$28+Inputs!$B$29)))</f>
        <v/>
      </c>
      <c r="E1691">
        <f>INDEX(FactorTable!$B$2:$Y$301, MATCH(ROUND(MIN(300,MAX(1,D1691)),0), FactorTable!$A$2:$A$301,0), Skills!M26+1)</f>
        <v/>
      </c>
      <c r="F1691">
        <f>IF(Skills!N26=TRUE,(Skills!L26/10)*(E1691/1000),Skills!L26/10)+Skills!O26</f>
        <v/>
      </c>
      <c r="G1691">
        <f>Calc!G26</f>
        <v/>
      </c>
      <c r="H1691">
        <f>Calc!H26</f>
        <v/>
      </c>
      <c r="I1691">
        <f>IF(Skills!AA26&lt;&gt;"",1+(Skills!AA26/10)*(U1668/1000)/100,1)</f>
        <v/>
      </c>
      <c r="J1691" t="inlineStr"/>
      <c r="K1691" t="inlineStr"/>
      <c r="L1691" t="inlineStr"/>
      <c r="M1691" t="inlineStr"/>
      <c r="N1691" t="inlineStr"/>
      <c r="O1691">
        <f>(1-Summary!$B$55)*T1691+Summary!$B$55*V1691</f>
        <v/>
      </c>
      <c r="P1691">
        <f>IF(B1709=0,0,O1691/B1709)</f>
        <v/>
      </c>
      <c r="Q1691" t="n">
        <v>0</v>
      </c>
      <c r="R1691" t="n">
        <v>0</v>
      </c>
      <c r="S1691">
        <f>IFERROR(O1691/N1691,0)</f>
        <v/>
      </c>
      <c r="T1691" t="n">
        <v>0</v>
      </c>
      <c r="V1691" t="n">
        <v>0</v>
      </c>
    </row>
    <row r="1692">
      <c r="A1692">
        <f>Skills!A27</f>
        <v/>
      </c>
      <c r="B1692">
        <f>Skills!B27</f>
        <v/>
      </c>
      <c r="C1692">
        <f>Inputs!$B$3&gt;=72</f>
        <v/>
      </c>
      <c r="D1692">
        <f>IF(Skills!C27=1,60+Inputs!$B$25+Inputs!$B$29,IF(Skills!C27=2,90+Inputs!$B$26+Inputs!$B$29,IF(Skills!C27=3,120+Inputs!$B$27+Inputs!$B$29,MAX(0,(Inputs!$B$3-100)*3)+Inputs!$B$28+Inputs!$B$29)))</f>
        <v/>
      </c>
      <c r="E1692">
        <f>INDEX(FactorTable!$B$2:$Y$301, MATCH(ROUND(MIN(300,MAX(1,D1692)),0), FactorTable!$A$2:$A$301,0), Skills!M27+1)</f>
        <v/>
      </c>
      <c r="F1692">
        <f>IF(Skills!N27=TRUE,(Skills!L27/10)*(E1692/1000),Skills!L27/10)+Skills!O27</f>
        <v/>
      </c>
      <c r="G1692">
        <f>Calc!G27</f>
        <v/>
      </c>
      <c r="H1692">
        <f>Calc!H27</f>
        <v/>
      </c>
      <c r="I1692">
        <f>IF(Skills!AA27&lt;&gt;"",1+(Skills!AA27/10)*(U1668/1000)/100,1)</f>
        <v/>
      </c>
      <c r="J1692" t="inlineStr"/>
      <c r="K1692" t="inlineStr"/>
      <c r="L1692" t="inlineStr"/>
      <c r="M1692" t="inlineStr"/>
      <c r="N1692" t="inlineStr"/>
      <c r="O1692">
        <f>(1-Summary!$B$55)*T1692+Summary!$B$55*V1692</f>
        <v/>
      </c>
      <c r="P1692">
        <f>IF(B1709=0,0,O1692/B1709)</f>
        <v/>
      </c>
      <c r="Q1692" t="n">
        <v>0</v>
      </c>
      <c r="R1692" t="n">
        <v>0</v>
      </c>
      <c r="S1692">
        <f>IFERROR(O1692/N1692,0)</f>
        <v/>
      </c>
      <c r="T1692" t="n">
        <v>0</v>
      </c>
      <c r="V1692" t="n">
        <v>0</v>
      </c>
    </row>
    <row r="1693">
      <c r="A1693">
        <f>Skills!A28</f>
        <v/>
      </c>
      <c r="B1693">
        <f>Skills!B28</f>
        <v/>
      </c>
      <c r="C1693">
        <f>Inputs!$B$3&gt;=75</f>
        <v/>
      </c>
      <c r="D1693">
        <f>IF(Skills!C28=1,60+Inputs!$B$25+Inputs!$B$29,IF(Skills!C28=2,90+Inputs!$B$26+Inputs!$B$29,IF(Skills!C28=3,120+Inputs!$B$27+Inputs!$B$29,MAX(0,(Inputs!$B$3-100)*3)+Inputs!$B$28+Inputs!$B$29)))</f>
        <v/>
      </c>
      <c r="E1693">
        <f>INDEX(FactorTable!$B$2:$Y$301, MATCH(ROUND(MIN(300,MAX(1,D1693)),0), FactorTable!$A$2:$A$301,0), Skills!M28+1)</f>
        <v/>
      </c>
      <c r="F1693">
        <f>IF(Skills!N28=TRUE,(Skills!L28/10)*(E1693/1000),Skills!L28/10)+Skills!O28</f>
        <v/>
      </c>
      <c r="G1693">
        <f>Calc!G28</f>
        <v/>
      </c>
      <c r="H1693">
        <f>Calc!H28</f>
        <v/>
      </c>
      <c r="I1693">
        <f>IF(Skills!AA28&lt;&gt;"",1+(Skills!AA28/10)*(U1668/1000)/100,1)</f>
        <v/>
      </c>
      <c r="J1693" t="inlineStr"/>
      <c r="K1693" t="inlineStr"/>
      <c r="L1693" t="inlineStr"/>
      <c r="M1693" t="inlineStr"/>
      <c r="N1693" t="inlineStr"/>
      <c r="O1693">
        <f>(1-Summary!$B$55)*T1693+Summary!$B$55*V1693</f>
        <v/>
      </c>
      <c r="P1693">
        <f>IF(B1709=0,0,O1693/B1709)</f>
        <v/>
      </c>
      <c r="Q1693" t="n">
        <v>0</v>
      </c>
      <c r="R1693" t="n">
        <v>0</v>
      </c>
      <c r="S1693">
        <f>IFERROR(O1693/N1693,0)</f>
        <v/>
      </c>
      <c r="T1693" t="n">
        <v>0</v>
      </c>
      <c r="V1693" t="n">
        <v>0</v>
      </c>
    </row>
    <row r="1694">
      <c r="A1694">
        <f>Skills!A29</f>
        <v/>
      </c>
      <c r="B1694">
        <f>Skills!B29</f>
        <v/>
      </c>
      <c r="C1694">
        <f>Inputs!$B$3&gt;=120</f>
        <v/>
      </c>
      <c r="D1694">
        <f>IF(Skills!C29=1,60+Inputs!$B$25+Inputs!$B$29,IF(Skills!C29=2,90+Inputs!$B$26+Inputs!$B$29,IF(Skills!C29=3,120+Inputs!$B$27+Inputs!$B$29,MAX(0,(Inputs!$B$3-100)*3)+Inputs!$B$28+Inputs!$B$29)))</f>
        <v/>
      </c>
      <c r="E1694">
        <f>INDEX(FactorTable!$B$2:$Y$301, MATCH(ROUND(MIN(300,MAX(1,D1694)),0), FactorTable!$A$2:$A$301,0), Skills!M29+1)</f>
        <v/>
      </c>
      <c r="F1694">
        <f>IF(Skills!N29=TRUE,(Skills!L29/10)*(E1694/1000),Skills!L29/10)+Skills!O29</f>
        <v/>
      </c>
      <c r="G1694">
        <f>Calc!G29</f>
        <v/>
      </c>
      <c r="H1694">
        <f>Calc!H29</f>
        <v/>
      </c>
      <c r="I1694">
        <f>IF(Skills!AA29&lt;&gt;"",1+(Skills!AA29/10)*(U1668/1000)/100,1)</f>
        <v/>
      </c>
      <c r="J1694" t="inlineStr"/>
      <c r="K1694" t="inlineStr"/>
      <c r="L1694" t="inlineStr"/>
      <c r="M1694" t="inlineStr"/>
      <c r="N1694" t="inlineStr"/>
      <c r="O1694">
        <f>(1-Summary!$B$55)*T1694+Summary!$B$55*V1694</f>
        <v/>
      </c>
      <c r="P1694">
        <f>IF(B1709=0,0,O1694/B1709)</f>
        <v/>
      </c>
      <c r="Q1694" t="n">
        <v>0</v>
      </c>
      <c r="R1694" t="n">
        <v>0</v>
      </c>
      <c r="S1694">
        <f>IFERROR(O1694/N1694,0)</f>
        <v/>
      </c>
      <c r="T1694" t="n">
        <v>0</v>
      </c>
      <c r="V1694" t="n">
        <v>0</v>
      </c>
    </row>
    <row r="1695">
      <c r="A1695">
        <f>Skills!A30</f>
        <v/>
      </c>
      <c r="B1695">
        <f>Skills!B30</f>
        <v/>
      </c>
      <c r="C1695">
        <f>Inputs!$B$3&gt;=125</f>
        <v/>
      </c>
      <c r="D1695">
        <f>IF(Skills!C30=1,60+Inputs!$B$25+Inputs!$B$29,IF(Skills!C30=2,90+Inputs!$B$26+Inputs!$B$29,IF(Skills!C30=3,120+Inputs!$B$27+Inputs!$B$29,MAX(0,(Inputs!$B$3-100)*3)+Inputs!$B$28+Inputs!$B$29)))</f>
        <v/>
      </c>
      <c r="E1695">
        <f>INDEX(FactorTable!$B$2:$Y$301, MATCH(ROUND(MIN(300,MAX(1,D1695)),0), FactorTable!$A$2:$A$301,0), Skills!M30+1)</f>
        <v/>
      </c>
      <c r="F1695">
        <f>IF(Skills!N30=TRUE,(Skills!L30/10)*(E1695/1000),Skills!L30/10)+Skills!O30</f>
        <v/>
      </c>
      <c r="G1695">
        <f>Calc!G30</f>
        <v/>
      </c>
      <c r="H1695">
        <f>Calc!H30</f>
        <v/>
      </c>
      <c r="I1695">
        <f>IF(Skills!AA30&lt;&gt;"",1+(Skills!AA30/10)*(U1668/1000)/100,1)</f>
        <v/>
      </c>
      <c r="J1695" t="inlineStr"/>
      <c r="K1695" t="inlineStr"/>
      <c r="L1695" t="inlineStr"/>
      <c r="M1695" t="inlineStr"/>
      <c r="N1695" t="inlineStr"/>
      <c r="O1695">
        <f>(1-Summary!$B$55)*T1695+Summary!$B$55*V1695</f>
        <v/>
      </c>
      <c r="P1695">
        <f>IF(B1709=0,0,O1695/B1709)</f>
        <v/>
      </c>
      <c r="Q1695" t="n">
        <v>0</v>
      </c>
      <c r="R1695" t="n">
        <v>0</v>
      </c>
      <c r="S1695">
        <f>IFERROR(O1695/N1695,0)</f>
        <v/>
      </c>
      <c r="T1695" t="n">
        <v>0</v>
      </c>
      <c r="V1695" t="n">
        <v>0</v>
      </c>
    </row>
    <row r="1696">
      <c r="A1696">
        <f>Skills!A31</f>
        <v/>
      </c>
      <c r="B1696">
        <f>Skills!B31</f>
        <v/>
      </c>
      <c r="C1696">
        <f>Inputs!$B$3&gt;=107</f>
        <v/>
      </c>
      <c r="D1696">
        <f>IF(Skills!C31=1,60+Inputs!$B$25+Inputs!$B$29,IF(Skills!C31=2,90+Inputs!$B$26+Inputs!$B$29,IF(Skills!C31=3,120+Inputs!$B$27+Inputs!$B$29,MAX(0,(Inputs!$B$3-100)*3)+Inputs!$B$28+Inputs!$B$29)))</f>
        <v/>
      </c>
      <c r="E1696">
        <f>INDEX(FactorTable!$B$2:$Y$301, MATCH(ROUND(MIN(300,MAX(1,D1696)),0), FactorTable!$A$2:$A$301,0), Skills!M31+1)</f>
        <v/>
      </c>
      <c r="F1696">
        <f>IF(Skills!N31=TRUE,(Skills!L31/10)*(E1696/1000),Skills!L31/10)+Skills!O31</f>
        <v/>
      </c>
      <c r="G1696">
        <f>Calc!G31</f>
        <v/>
      </c>
      <c r="H1696">
        <f>Calc!H31</f>
        <v/>
      </c>
      <c r="I1696">
        <f>IF(Skills!AA31&lt;&gt;"",1+(Skills!AA31/10)*(U1668/1000)/100,1)</f>
        <v/>
      </c>
      <c r="J1696" t="inlineStr"/>
      <c r="K1696" t="inlineStr"/>
      <c r="L1696" t="inlineStr"/>
      <c r="M1696" t="inlineStr"/>
      <c r="N1696" t="inlineStr"/>
      <c r="O1696">
        <f>(1-Summary!$B$55)*T1696+Summary!$B$55*V1696</f>
        <v/>
      </c>
      <c r="P1696">
        <f>IF(B1709=0,0,O1696/B1709)</f>
        <v/>
      </c>
      <c r="Q1696" t="n">
        <v>0</v>
      </c>
      <c r="R1696" t="n">
        <v>0</v>
      </c>
      <c r="S1696">
        <f>IFERROR(O1696/N1696,0)</f>
        <v/>
      </c>
      <c r="T1696" t="n">
        <v>0</v>
      </c>
      <c r="V1696" t="n">
        <v>0</v>
      </c>
    </row>
    <row r="1698">
      <c r="A1698" t="inlineStr">
        <is>
          <t>Actions Per Second (pre-Adrenalin)</t>
        </is>
      </c>
      <c r="B1698">
        <f>1+MIN(150,150*(1-(1-(Inputs!$B$11+((C1687=TRUE)*(F1687-Calc!F22)))/150)*(1-((C1684=TRUE)*F1684*IF(AND(Inputs!$B$39&lt;&gt;"pvp",Inputs!$B$44&gt;0),(((R1684-1)*(Skills!Y19*(1+Inputs!$B$34/100))+MIN((Skills!Y19*(1+Inputs!$B$34/100)),MAX(0,Inputs!$B$44-((R1684-1)*Skills!D19))))/Inputs!$B$44),IF(Inputs!$B$39="pvp",MIN((Skills!Y19*(1+Inputs!$B$34/100)),15)/15,(Skills!Y19*(1+Inputs!$B$34/100))/Skills!D19)))/150)))/100</f>
        <v/>
      </c>
    </row>
    <row r="1699">
      <c r="A1699" t="inlineStr">
        <is>
          <t>Alchemic Adrenaline Uptime</t>
        </is>
      </c>
      <c r="B1699">
        <f>(Skills!Y6*(1+Inputs!$B$34/100))/((Skills!Y6*(1+Inputs!$B$34/100))+(5/B1698))</f>
        <v/>
      </c>
    </row>
    <row r="1700">
      <c r="A1700" t="inlineStr">
        <is>
          <t>Attack Speed Buff Bonus %</t>
        </is>
      </c>
      <c r="B1700">
        <f>((C1684=TRUE)*F1684*IF(AND(Inputs!$B$39&lt;&gt;"pvp",Inputs!$B$44&gt;0),(((R1684-1)*(Skills!Y19*(1+Inputs!$B$34/100))+MIN((Skills!Y19*(1+Inputs!$B$34/100)),MAX(0,Inputs!$B$44-((R1684-1)*Skills!D19))))/Inputs!$B$44),IF(Inputs!$B$39="pvp",MIN((Skills!Y19*(1+Inputs!$B$34/100)),15)/15,(Skills!Y19*(1+Inputs!$B$34/100))/Skills!D19)))+((C1672=TRUE)*F1672*B1699)</f>
        <v/>
      </c>
    </row>
    <row r="1701">
      <c r="A1701" t="inlineStr">
        <is>
          <t>Actions Per Second (final)</t>
        </is>
      </c>
      <c r="B1701">
        <f>1+MIN(150,150*(1-(1-(Inputs!$B$11+((C1687=TRUE)*(F1687-Calc!F22)))/150)*(1-B1700/150)))/100</f>
        <v/>
      </c>
    </row>
    <row r="1702">
      <c r="A1702" t="inlineStr">
        <is>
          <t>Skill + Buff Cast Rate</t>
        </is>
      </c>
      <c r="B1702">
        <f>IF(AND(Inputs!$B$39&lt;&gt;"pvp",Inputs!$B$44&gt;0),SUMPRODUCT((Skills!E2:E31=TRUE)*(C1667:C1696=TRUE)*R1667:R1696*Skills!F2:F31)/Inputs!$B$44,SUMPRODUCT((Skills!E2:E31=TRUE)*(C1667:C1696=TRUE)*Q1667:Q1696*Skills!F2:F31))</f>
        <v/>
      </c>
    </row>
    <row r="1703">
      <c r="A1703" t="inlineStr">
        <is>
          <t>Showdown Casts Per Second</t>
        </is>
      </c>
      <c r="B1703">
        <f>MAX(0,B1701-B1702)</f>
        <v/>
      </c>
    </row>
    <row r="1704">
      <c r="A1704" t="inlineStr">
        <is>
          <t>Average Buff Multiplier</t>
        </is>
      </c>
      <c r="B1704">
        <f>(1+(((C1686=TRUE)*F1686*IF(AND(Inputs!$B$39&lt;&gt;"pvp",Inputs!$B$44&gt;0),(((R1686-1)*(Skills!Y21*(1+Inputs!$B$34/100))+MIN((Skills!Y21*(1+Inputs!$B$34/100)),MAX(0,Inputs!$B$44-((R1686-1)*Skills!D21))))/Inputs!$B$44),IF(Inputs!$B$39="pvp",MIN((Skills!Y21*(1+Inputs!$B$34/100)),15)/15,(Skills!Y21*(1+Inputs!$B$34/100))/Skills!D21)))+((C1693=TRUE)*(F1693-Calc!F28))+((C1683=TRUE)*(F1683-Calc!F18)))/100)*(1+((C1680=TRUE)*F1680*IF(AND(Inputs!$B$39&lt;&gt;"pvp",Inputs!$B$44&gt;0),(((R1680-1)*(Skills!Y15*(1+Inputs!$B$34/100))+MIN((Skills!Y15*(1+Inputs!$B$34/100)),MAX(0,Inputs!$B$44-((R1680-1)*Skills!D15))))/Inputs!$B$44),IF(Inputs!$B$39="pvp",MIN((Skills!Y15*(1+Inputs!$B$34/100)),15)/15,(Skills!Y15*(1+Inputs!$B$34/100))/Skills!D15)))/100)*(1+((C1671=TRUE)*F1671*B1699)/100)</f>
        <v/>
      </c>
    </row>
    <row r="1705">
      <c r="A1705" t="inlineStr">
        <is>
          <t>Global Crit Rate Bonus %</t>
        </is>
      </c>
      <c r="B1705">
        <f>IF(Inputs!$B$3&gt;=47,8,0)+((C1685=TRUE)*F1685*IF(AND(Inputs!$B$39&lt;&gt;"pvp",Inputs!$B$44&gt;0),(((R1685-1)*(Skills!Y20*(1+Inputs!$B$34/100))+MIN((Skills!Y20*(1+Inputs!$B$34/100)),MAX(0,Inputs!$B$44-((R1685-1)*Skills!D20))))/Inputs!$B$44),IF(Inputs!$B$39="pvp",MIN((Skills!Y20*(1+Inputs!$B$34/100)),15)/15,(Skills!Y20*(1+Inputs!$B$34/100))/Skills!D20)))</f>
        <v/>
      </c>
    </row>
    <row r="1706">
      <c r="A1706" t="inlineStr">
        <is>
          <t>Global Monster Damage-Taken Bonus %</t>
        </is>
      </c>
      <c r="B1706">
        <f>IF(Inputs!$B$3&gt;=82,15,0)+((C1681=TRUE)*F1681*IF(AND(Inputs!$B$39&lt;&gt;"pvp",Inputs!$B$44&gt;0),(((R1681-1)*(Skills!Y16*(1+Inputs!$B$34/100))+MIN((Skills!Y16*(1+Inputs!$B$34/100)),MAX(0,Inputs!$B$44-((R1681-1)*Skills!D16))))/Inputs!$B$44),IF(Inputs!$B$39="pvp",MIN((Skills!Y16*(1+Inputs!$B$34/100)),15)/15,(Skills!Y16*(1+Inputs!$B$34/100))/Skills!D16)))</f>
        <v/>
      </c>
    </row>
    <row r="1707">
      <c r="A1707" t="inlineStr">
        <is>
          <t>Shadow Partner Average Multiplier</t>
        </is>
      </c>
      <c r="B1707">
        <f>1+((C1676=TRUE)*F1676*I1676*Skills!J11/100)/100</f>
        <v/>
      </c>
    </row>
    <row r="1708">
      <c r="A1708" t="inlineStr">
        <is>
          <t>Global Critical Damage Bonus % (Frailty Curse Mastery Lv.111)</t>
        </is>
      </c>
      <c r="B1708">
        <f>IF(Inputs!$B$3&gt;=111,30,0)*IF(AND(Inputs!$B$39&lt;&gt;"pvp",Inputs!$B$44&gt;0),(((R1681-1)*(Skills!Y16*(1+Inputs!$B$34/100))+MIN((Skills!Y16*(1+Inputs!$B$34/100)),MAX(0,Inputs!$B$44-((R1681-1)*Skills!D16))))/Inputs!$B$44),IF(Inputs!$B$39="pvp",MIN((Skills!Y16*(1+Inputs!$B$34/100)),15)/15,(Skills!Y16*(1+Inputs!$B$34/100))/Skills!D16))</f>
        <v/>
      </c>
    </row>
    <row r="1709">
      <c r="A1709" s="5" t="inlineStr">
        <is>
          <t>TOTAL DPS</t>
        </is>
      </c>
      <c r="B1709" s="5">
        <f>SUM(O1667:O1696)</f>
        <v/>
      </c>
    </row>
    <row r="1710">
      <c r="A1710" t="inlineStr">
        <is>
          <t>Buff-Casting Startup Delay (s, fixed-duration only)</t>
        </is>
      </c>
      <c r="B1710">
        <f>IF(AND(Inputs!$B$39&lt;&gt;"pvp",Inputs!$B$44&gt;0),SUMPRODUCT((Skills!Y2:Y31&gt;0)*(Skills!E2:E31=TRUE)*(C1667:C1696=TRUE))/B1701,0)</f>
        <v/>
      </c>
    </row>
    <row r="1711">
      <c r="A1711" t="inlineStr">
        <is>
          <t>Boss-Only Total DPS (this block's swept value)</t>
        </is>
      </c>
      <c r="B1711">
        <f>SUM(T1667:T1696)</f>
        <v/>
      </c>
    </row>
    <row r="1712">
      <c r="A1712" t="inlineStr">
        <is>
          <t>Normal-Only Total DPS (this block's swept value)</t>
        </is>
      </c>
      <c r="B1712">
        <f>SUM(V1667:V1696)</f>
        <v/>
      </c>
    </row>
    <row r="1714">
      <c r="A1714" s="5" t="inlineStr">
        <is>
          <t>Stat: CDR = 4.0s</t>
        </is>
      </c>
    </row>
    <row r="1715">
      <c r="A1715" s="9" t="inlineStr">
        <is>
          <t>Key</t>
        </is>
      </c>
      <c r="B1715" s="9" t="inlineStr">
        <is>
          <t>Name</t>
        </is>
      </c>
      <c r="C1715" s="9" t="inlineStr">
        <is>
          <t>Unlocked</t>
        </is>
      </c>
      <c r="D1715" s="9" t="inlineStr">
        <is>
          <t>InputLevel</t>
        </is>
      </c>
      <c r="E1715" s="9" t="inlineStr">
        <is>
          <t>Factor</t>
        </is>
      </c>
      <c r="F1715" s="9" t="inlineStr">
        <is>
          <t>CoefficientPercent</t>
        </is>
      </c>
      <c r="G1715" s="9" t="inlineStr">
        <is>
          <t>EffectiveHits</t>
        </is>
      </c>
      <c r="H1715" s="9" t="inlineStr">
        <is>
          <t>ProcProbability</t>
        </is>
      </c>
      <c r="I1715" s="9" t="inlineStr">
        <is>
          <t>MapleHeroMultiplier</t>
        </is>
      </c>
      <c r="J1715" s="9" t="inlineStr">
        <is>
          <t>BaseDamage</t>
        </is>
      </c>
      <c r="K1715" s="9" t="inlineStr">
        <is>
          <t>BaseHitDamage</t>
        </is>
      </c>
      <c r="L1715" s="9" t="inlineStr">
        <is>
          <t>NonCritAvg</t>
        </is>
      </c>
      <c r="M1715" s="9" t="inlineStr">
        <is>
          <t>CritAvg</t>
        </is>
      </c>
      <c r="N1715" s="9" t="inlineStr">
        <is>
          <t>ExpectedDamage(perHit)</t>
        </is>
      </c>
      <c r="O1715" s="9" t="inlineStr">
        <is>
          <t>DPS</t>
        </is>
      </c>
      <c r="P1715" s="9" t="inlineStr">
        <is>
          <t>% of Total</t>
        </is>
      </c>
      <c r="Q1715" s="9" t="inlineStr">
        <is>
          <t>InvCooldown</t>
        </is>
      </c>
      <c r="R1715" s="9" t="inlineStr">
        <is>
          <t>CastsInFight</t>
        </is>
      </c>
      <c r="S1715" s="9" t="inlineStr">
        <is>
          <t>HitRate(perSec)</t>
        </is>
      </c>
      <c r="U1715" t="inlineStr">
        <is>
          <t>helpers</t>
        </is>
      </c>
    </row>
    <row r="1716">
      <c r="A1716">
        <f>Skills!A2</f>
        <v/>
      </c>
      <c r="B1716">
        <f>Skills!B2</f>
        <v/>
      </c>
      <c r="C1716">
        <f>Inputs!$B$3&gt;=100</f>
        <v/>
      </c>
      <c r="D1716" t="inlineStr"/>
      <c r="E1716" t="inlineStr"/>
      <c r="F1716">
        <f>U1720+Skills!O2</f>
        <v/>
      </c>
      <c r="G1716">
        <f>Calc!G2</f>
        <v/>
      </c>
      <c r="H1716">
        <f>Calc!H2</f>
        <v/>
      </c>
      <c r="I1716">
        <f>IF(Skills!AA2&lt;&gt;"",1+(Skills!AA2/10)*(U1717/1000)/100,1)</f>
        <v/>
      </c>
      <c r="J1716">
        <f>((Inputs!$B$6*(1+Inputs!$B$7/100))+(((Inputs!$B$12*(1+Inputs!$B$13/100))-(Inputs!$B$12*(1+Inputs!$B$13/100)))+0.25*(Inputs!$B$14-Inputs!$B$14))*(1+Inputs!$B$7/100))*(F1716/100)</f>
        <v/>
      </c>
      <c r="K1716">
        <f>J1716*(1+((Inputs!$B$12*(1+Inputs!$B$13/100))*0.01+Inputs!$B$14*0.0025)/100)*(1+Inputs!$B$15/100)*(1+Inputs!$B$16/100)*(5000/(6000+Inputs!$B$43*(1-Inputs!$B$19/100)))*(1+(Inputs!$B$24+((C1744=TRUE)*(F1744-Calc!F30)))/100)*(1+Skills!R2/100)*(1+(IF(Skills!A2="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1716)</f>
        <v/>
      </c>
      <c r="L1716">
        <f>K1716*(MIN(Inputs!$B$22+((C1738=TRUE)*(F1738-Calc!F24)),Inputs!$B$23)/100+Inputs!$B$23/100)/2</f>
        <v/>
      </c>
      <c r="M1716">
        <f>L1716*(1+(Inputs!$B$10+((C1740=TRUE)*(F1740-Calc!F26))+B1757)/100)</f>
        <v/>
      </c>
      <c r="N1716">
        <f>L1716*(1-MIN((Inputs!$B$9+((C1739=TRUE)*(F1739-Calc!F25))+B1754),100)/100)+M1716*(MIN((Inputs!$B$9+((C1739=TRUE)*(F1739-Calc!F25))+B1754),100)/100)</f>
        <v/>
      </c>
      <c r="O1716">
        <f>(1-Summary!$B$55)*T1716+Summary!$B$55*V1716</f>
        <v/>
      </c>
      <c r="P1716">
        <f>IF(B1758=0,0,O1716/B1758)</f>
        <v/>
      </c>
      <c r="Q1716" t="n">
        <v>0</v>
      </c>
      <c r="R1716" t="n">
        <v>0</v>
      </c>
      <c r="S1716">
        <f>IFERROR(O1716/N1716,0)</f>
        <v/>
      </c>
      <c r="T1716">
        <f>IF(C1716,(Skills!G2*N1716*B1752)*IF(Inputs!$B$39="pvp",1,1+(Inputs!$B$20+((C1741=TRUE)*(F1741-Calc!F27))+Skills!P2+B1755)/100),0)</f>
        <v/>
      </c>
      <c r="U1716">
        <f>MAX(0,(Inputs!$B$3-100)*3)+Inputs!$B$28+Inputs!$B$29</f>
        <v/>
      </c>
      <c r="V1716">
        <f>IF(C1716,(Skills!G2*N1716*B1752)*IF(Inputs!$B$39="pvp",1,(1+(Inputs!$B$21+Skills!Q2+B1755)/100)*(MIN((6+Inputs!$B$33),Inputs!$B$37))),0)</f>
        <v/>
      </c>
    </row>
    <row r="1717">
      <c r="A1717">
        <f>Skills!A3</f>
        <v/>
      </c>
      <c r="B1717">
        <f>Skills!B3</f>
        <v/>
      </c>
      <c r="C1717">
        <f>Inputs!$B$3&gt;=35</f>
        <v/>
      </c>
      <c r="D1717">
        <f>IF(Skills!C3=1,60+Inputs!$B$25+Inputs!$B$29,IF(Skills!C3=2,90+Inputs!$B$26+Inputs!$B$29,IF(Skills!C3=3,120+Inputs!$B$27+Inputs!$B$29,MAX(0,(Inputs!$B$3-100)*3)+Inputs!$B$28+Inputs!$B$29)))</f>
        <v/>
      </c>
      <c r="E1717">
        <f>INDEX(FactorTable!$B$2:$Y$301, MATCH(ROUND(MIN(300,MAX(1,D1717)),0), FactorTable!$A$2:$A$301,0), Skills!M3+1)</f>
        <v/>
      </c>
      <c r="F1717">
        <f>IF(Skills!N3=TRUE,(Skills!L3/10)*(E1717/1000),Skills!L3/10)+Skills!O3</f>
        <v/>
      </c>
      <c r="G1717">
        <f>Calc!G3</f>
        <v/>
      </c>
      <c r="H1717">
        <f>Calc!H3</f>
        <v/>
      </c>
      <c r="I1717">
        <f>IF(Skills!AA3&lt;&gt;"",1+(Skills!AA3/10)*(U1717/1000)/100,1)</f>
        <v/>
      </c>
      <c r="J1717">
        <f>((Inputs!$B$6*(1+Inputs!$B$7/100))+(((Inputs!$B$12*(1+Inputs!$B$13/100))-(Inputs!$B$12*(1+Inputs!$B$13/100)))+0.25*(Inputs!$B$14-Inputs!$B$14))*(1+Inputs!$B$7/100))*(F1717/100)</f>
        <v/>
      </c>
      <c r="K1717">
        <f>J1717*(1+((Inputs!$B$12*(1+Inputs!$B$13/100))*0.01+Inputs!$B$14*0.0025)/100)*(1+Inputs!$B$15/100)*(1+Inputs!$B$16/100)*(5000/(6000+Inputs!$B$43*(1-Inputs!$B$19/100)))*(1+(Inputs!$B$24+((C1744=TRUE)*(F1744-Calc!F30)))/100)*(1+Skills!R3/100)*(1+(IF(Skills!A3="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1717)</f>
        <v/>
      </c>
      <c r="L1717">
        <f>K1717*(MIN(Inputs!$B$22+((C1738=TRUE)*(F1738-Calc!F24)),Inputs!$B$23)/100+Inputs!$B$23/100)/2</f>
        <v/>
      </c>
      <c r="M1717">
        <f>L1717*(1+(Inputs!$B$10+((C1740=TRUE)*(F1740-Calc!F26))+B1757)/100)</f>
        <v/>
      </c>
      <c r="N1717">
        <f>L1717*(1-MIN((Inputs!$B$9+((C1739=TRUE)*(F1739-Calc!F25))+B1754),100)/100)+M1717*(MIN((Inputs!$B$9+((C1739=TRUE)*(F1739-Calc!F25))+B1754),100)/100)</f>
        <v/>
      </c>
      <c r="O1717">
        <f>(1-Summary!$B$55)*T1717+Summary!$B$55*V1717</f>
        <v/>
      </c>
      <c r="P1717">
        <f>IF(B1758=0,0,O1717/B1758)</f>
        <v/>
      </c>
      <c r="Q1717">
        <f>IFERROR(1/IF(Inputs!$B$39="pvp",15,MAX(0.1,Skills!D3-IF(Skills!E3=TRUE,4.0,0))),0)</f>
        <v/>
      </c>
      <c r="R1717">
        <f>IF(AND(Inputs!$B$39&lt;&gt;"pvp",Inputs!$B$44&gt;0),IF(MAX(0,Inputs!$B$44-B1759)&lt;=0,0,(INT(MAX(0,Inputs!$B$44-B1759)/IF(Inputs!$B$39="pvp",15,MAX(0.1,Skills!D3-IF(Skills!E3=TRUE,4.0,0))))+1)),0)</f>
        <v/>
      </c>
      <c r="S1717">
        <f>IFERROR(O1717/N1717,0)</f>
        <v/>
      </c>
      <c r="T1717">
        <f>IF(C1717,(H1717*N1717*IF(AND(Inputs!$B$39&lt;&gt;"pvp",Inputs!$B$44&gt;0),((Skills!G3*((R1717-1)*IF(Skills!H3&gt;0,Skills!I3/Skills!H3,1)+IF(Skills!H3&gt;0,MIN(Skills!I3,MAX(0,MAX(0,Inputs!$B$44-B1759)-((R1717-1)*IF(Inputs!$B$39="pvp",15,MAX(0.1,Skills!D3-IF(Skills!E3=TRUE,4.0,0))))))/Skills!H3,1)))/Inputs!$B$44),G1717*Q1717))*IF(Inputs!$B$39="pvp",1,1+(Inputs!$B$20+((C1741=TRUE)*(F1741-Calc!F27))+Skills!P3+B1755)/100),0)</f>
        <v/>
      </c>
      <c r="U1717">
        <f>INDEX(FactorTable!$B$2:$Y$301, MATCH(ROUND(MIN(300,MAX(1,U1716)),0), FactorTable!$A$2:$A$301,0), 24)</f>
        <v/>
      </c>
      <c r="V1717">
        <f>IF(C1717,(H1717*N1717*IF(AND(Inputs!$B$39&lt;&gt;"pvp",Inputs!$B$44&gt;0),((Skills!G3*((R1717-1)*IF(Skills!H3&gt;0,Skills!I3/Skills!H3,1)+IF(Skills!H3&gt;0,MIN(Skills!I3,MAX(0,MAX(0,Inputs!$B$44-B1759)-((R1717-1)*IF(Inputs!$B$39="pvp",15,MAX(0.1,Skills!D3-IF(Skills!E3=TRUE,4.0,0))))))/Skills!H3,1)))/Inputs!$B$44),G1717*Q1717))*IF(Inputs!$B$39="pvp",1,(1+(Inputs!$B$21+Skills!Q3+B1755)/100)*(MIN(Skills!W3,Inputs!$B$37))),0)</f>
        <v/>
      </c>
    </row>
    <row r="1718">
      <c r="A1718">
        <f>Skills!A4</f>
        <v/>
      </c>
      <c r="B1718">
        <f>Skills!B4</f>
        <v/>
      </c>
      <c r="C1718">
        <f>Inputs!$B$3&gt;=40</f>
        <v/>
      </c>
      <c r="D1718">
        <f>IF(Skills!C4=1,60+Inputs!$B$25+Inputs!$B$29,IF(Skills!C4=2,90+Inputs!$B$26+Inputs!$B$29,IF(Skills!C4=3,120+Inputs!$B$27+Inputs!$B$29,MAX(0,(Inputs!$B$3-100)*3)+Inputs!$B$28+Inputs!$B$29)))</f>
        <v/>
      </c>
      <c r="E1718">
        <f>INDEX(FactorTable!$B$2:$Y$301, MATCH(ROUND(MIN(300,MAX(1,D1718)),0), FactorTable!$A$2:$A$301,0), Skills!M4+1)</f>
        <v/>
      </c>
      <c r="F1718">
        <f>IF(Skills!N4=TRUE,(Skills!L4/10)*(E1718/1000),Skills!L4/10)+Skills!O4</f>
        <v/>
      </c>
      <c r="G1718">
        <f>Calc!G4</f>
        <v/>
      </c>
      <c r="H1718">
        <f>Calc!H4</f>
        <v/>
      </c>
      <c r="I1718">
        <f>IF(Skills!AA4&lt;&gt;"",1+(Skills!AA4/10)*(U1717/1000)/100,1)</f>
        <v/>
      </c>
      <c r="J1718">
        <f>((Inputs!$B$6*(1+Inputs!$B$7/100))+(((Inputs!$B$12*(1+Inputs!$B$13/100))-(Inputs!$B$12*(1+Inputs!$B$13/100)))+0.25*(Inputs!$B$14-Inputs!$B$14))*(1+Inputs!$B$7/100))*(F1718/100)</f>
        <v/>
      </c>
      <c r="K1718">
        <f>J1718*(1+((Inputs!$B$12*(1+Inputs!$B$13/100))*0.01+Inputs!$B$14*0.0025)/100)*(1+Inputs!$B$15/100)*(1+Inputs!$B$16/100)*(5000/(6000+Inputs!$B$43*(1-Inputs!$B$19/100)))*(1+(Inputs!$B$24+((C1744=TRUE)*(F1744-Calc!F30)))/100)*(1+Skills!R4/100)*(1+(IF(Skills!A4="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1718)</f>
        <v/>
      </c>
      <c r="L1718">
        <f>K1718*(MIN(Inputs!$B$22+((C1738=TRUE)*(F1738-Calc!F24)),Inputs!$B$23)/100+Inputs!$B$23/100)/2</f>
        <v/>
      </c>
      <c r="M1718">
        <f>L1718*(1+(Inputs!$B$10+((C1740=TRUE)*(F1740-Calc!F26))+B1757)/100)</f>
        <v/>
      </c>
      <c r="N1718">
        <f>L1718*(1-MIN((Inputs!$B$9+((C1739=TRUE)*(F1739-Calc!F25))+B1754),100)/100)+M1718*(MIN((Inputs!$B$9+((C1739=TRUE)*(F1739-Calc!F25))+B1754),100)/100)</f>
        <v/>
      </c>
      <c r="O1718">
        <f>(1-Summary!$B$55)*T1718+Summary!$B$55*V1718</f>
        <v/>
      </c>
      <c r="P1718">
        <f>IF(B1758=0,0,O1718/B1758)</f>
        <v/>
      </c>
      <c r="Q1718">
        <f>IFERROR(1/IF(Inputs!$B$39="pvp",15,MAX(0.1,Skills!D4-IF(Skills!E4=TRUE,4.0,0))),0)</f>
        <v/>
      </c>
      <c r="R1718">
        <f>IF(AND(Inputs!$B$39&lt;&gt;"pvp",Inputs!$B$44&gt;0),IF(MAX(0,Inputs!$B$44-B1759)&lt;=0,0,(INT(MAX(0,Inputs!$B$44-B1759)/IF(Inputs!$B$39="pvp",15,MAX(0.1,Skills!D4-IF(Skills!E4=TRUE,4.0,0))))+1)),0)</f>
        <v/>
      </c>
      <c r="S1718">
        <f>IFERROR(O1718/N1718,0)</f>
        <v/>
      </c>
      <c r="T1718">
        <f>IF(C1718,(H1718*N1718*IF(AND(Inputs!$B$39&lt;&gt;"pvp",Inputs!$B$44&gt;0),((Skills!G4*((R1718-1)*IF(Skills!H4&gt;0,Skills!I4/Skills!H4,1)+IF(Skills!H4&gt;0,MIN(Skills!I4,MAX(0,MAX(0,Inputs!$B$44-B1759)-((R1718-1)*IF(Inputs!$B$39="pvp",15,MAX(0.1,Skills!D4-IF(Skills!E4=TRUE,4.0,0))))))/Skills!H4,1)))/Inputs!$B$44),G1718*Q1718))*IF(Inputs!$B$39="pvp",1,1+(Inputs!$B$20+((C1741=TRUE)*(F1741-Calc!F27))+Skills!P4+B1755)/100),0)</f>
        <v/>
      </c>
      <c r="U1718">
        <f>MAX(0,(Inputs!$B$3-100)*3)+Inputs!$B$28+Inputs!$B$29</f>
        <v/>
      </c>
      <c r="V1718">
        <f>IF(C1718,(H1718*N1718*IF(AND(Inputs!$B$39&lt;&gt;"pvp",Inputs!$B$44&gt;0),((Skills!G4*((R1718-1)*IF(Skills!H4&gt;0,Skills!I4/Skills!H4,1)+IF(Skills!H4&gt;0,MIN(Skills!I4,MAX(0,MAX(0,Inputs!$B$44-B1759)-((R1718-1)*IF(Inputs!$B$39="pvp",15,MAX(0.1,Skills!D4-IF(Skills!E4=TRUE,4.0,0))))))/Skills!H4,1)))/Inputs!$B$44),G1718*Q1718))*IF(Inputs!$B$39="pvp",1,(1+(Inputs!$B$21+Skills!Q4+B1755)/100)*(MIN(Skills!W4,Inputs!$B$37))),0)</f>
        <v/>
      </c>
    </row>
    <row r="1719">
      <c r="A1719">
        <f>Skills!A5</f>
        <v/>
      </c>
      <c r="B1719">
        <f>Skills!B5</f>
        <v/>
      </c>
      <c r="C1719">
        <f>Inputs!$B$3&gt;=63</f>
        <v/>
      </c>
      <c r="D1719">
        <f>IF(Skills!C5=1,60+Inputs!$B$25+Inputs!$B$29,IF(Skills!C5=2,90+Inputs!$B$26+Inputs!$B$29,IF(Skills!C5=3,120+Inputs!$B$27+Inputs!$B$29,MAX(0,(Inputs!$B$3-100)*3)+Inputs!$B$28+Inputs!$B$29)))</f>
        <v/>
      </c>
      <c r="E1719">
        <f>INDEX(FactorTable!$B$2:$Y$301, MATCH(ROUND(MIN(300,MAX(1,D1719)),0), FactorTable!$A$2:$A$301,0), Skills!M5+1)</f>
        <v/>
      </c>
      <c r="F1719">
        <f>IF(Skills!N5=TRUE,(Skills!L5/10)*(E1719/1000),Skills!L5/10)+Skills!O5</f>
        <v/>
      </c>
      <c r="G1719">
        <f>Calc!G5</f>
        <v/>
      </c>
      <c r="H1719">
        <f>Calc!H5</f>
        <v/>
      </c>
      <c r="I1719">
        <f>IF(Skills!AA5&lt;&gt;"",1+(Skills!AA5/10)*(U1717/1000)/100,1)</f>
        <v/>
      </c>
      <c r="J1719">
        <f>((Inputs!$B$6*(1+Inputs!$B$7/100))+(((Inputs!$B$12*(1+Inputs!$B$13/100))-(Inputs!$B$12*(1+Inputs!$B$13/100)))+0.25*(Inputs!$B$14-Inputs!$B$14))*(1+Inputs!$B$7/100))*(F1719/100)</f>
        <v/>
      </c>
      <c r="K1719">
        <f>J1719*(1+((Inputs!$B$12*(1+Inputs!$B$13/100))*0.01+Inputs!$B$14*0.0025)/100)*(1+Inputs!$B$15/100)*(1+Inputs!$B$16/100)*(5000/(6000+Inputs!$B$43*(1-Inputs!$B$19/100)))*(1+(Inputs!$B$24+((C1744=TRUE)*(F1744-Calc!F30)))/100)*(1+Skills!R5/100)*(1+(IF(Skills!A5="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1719)</f>
        <v/>
      </c>
      <c r="L1719">
        <f>K1719*(MIN(Inputs!$B$22+((C1738=TRUE)*(F1738-Calc!F24)),Inputs!$B$23)/100+Inputs!$B$23/100)/2</f>
        <v/>
      </c>
      <c r="M1719">
        <f>L1719*(1+(Inputs!$B$10+((C1740=TRUE)*(F1740-Calc!F26))+B1757)/100)</f>
        <v/>
      </c>
      <c r="N1719">
        <f>L1719*(1-MIN((Inputs!$B$9+((C1739=TRUE)*(F1739-Calc!F25))+B1754),100)/100)+M1719*(MIN((Inputs!$B$9+((C1739=TRUE)*(F1739-Calc!F25))+B1754),100)/100)</f>
        <v/>
      </c>
      <c r="O1719">
        <f>(1-Summary!$B$55)*T1719+Summary!$B$55*V1719</f>
        <v/>
      </c>
      <c r="P1719">
        <f>IF(B1758=0,0,O1719/B1758)</f>
        <v/>
      </c>
      <c r="Q1719">
        <f>IFERROR(1/IF(Inputs!$B$39="pvp",15,MAX(0.1,Skills!D5-IF(Skills!E5=TRUE,4.0,0))),0)</f>
        <v/>
      </c>
      <c r="R1719">
        <f>IF(AND(Inputs!$B$39&lt;&gt;"pvp",Inputs!$B$44&gt;0),IF(MAX(0,Inputs!$B$44-B1759)&lt;=0,0,(INT(MAX(0,Inputs!$B$44-B1759)/IF(Inputs!$B$39="pvp",15,MAX(0.1,Skills!D5-IF(Skills!E5=TRUE,4.0,0))))+1)),0)</f>
        <v/>
      </c>
      <c r="S1719">
        <f>IFERROR(O1719/N1719,0)</f>
        <v/>
      </c>
      <c r="T1719">
        <f>IF(C1719,(H1719*N1719*IF(AND(Inputs!$B$39&lt;&gt;"pvp",Inputs!$B$44&gt;0),((Skills!G5*((R1719-1)*IF(Skills!H5&gt;0,Skills!I5/Skills!H5,1)+IF(Skills!H5&gt;0,MIN(Skills!I5,MAX(0,MAX(0,Inputs!$B$44-B1759)-((R1719-1)*IF(Inputs!$B$39="pvp",15,MAX(0.1,Skills!D5-IF(Skills!E5=TRUE,4.0,0))))))/Skills!H5,1)))/Inputs!$B$44),G1719*Q1719))*IF(Inputs!$B$39="pvp",1,1+(Inputs!$B$20+((C1741=TRUE)*(F1741-Calc!F27))+Skills!P5+B1755)/100),0)</f>
        <v/>
      </c>
      <c r="U1719">
        <f>INDEX(FactorTable!$B$2:$Y$301, MATCH(ROUND(MIN(300,MAX(1,U1718)),0), FactorTable!$A$2:$A$301,0), 22)</f>
        <v/>
      </c>
      <c r="V1719">
        <f>IF(C1719,(H1719*N1719*IF(AND(Inputs!$B$39&lt;&gt;"pvp",Inputs!$B$44&gt;0),((Skills!G5*((R1719-1)*IF(Skills!H5&gt;0,Skills!I5/Skills!H5,1)+IF(Skills!H5&gt;0,MIN(Skills!I5,MAX(0,MAX(0,Inputs!$B$44-B1759)-((R1719-1)*IF(Inputs!$B$39="pvp",15,MAX(0.1,Skills!D5-IF(Skills!E5=TRUE,4.0,0))))))/Skills!H5,1)))/Inputs!$B$44),G1719*Q1719))*IF(Inputs!$B$39="pvp",1,(1+(Inputs!$B$21+Skills!Q5+B1755)/100)*(MIN(Skills!W5,Inputs!$B$37))),0)</f>
        <v/>
      </c>
    </row>
    <row r="1720">
      <c r="A1720">
        <f>Skills!A6</f>
        <v/>
      </c>
      <c r="B1720">
        <f>Skills!B6</f>
        <v/>
      </c>
      <c r="C1720">
        <f>Inputs!$B$3&gt;=66</f>
        <v/>
      </c>
      <c r="D1720">
        <f>IF(Skills!C6=1,60+Inputs!$B$25+Inputs!$B$29,IF(Skills!C6=2,90+Inputs!$B$26+Inputs!$B$29,IF(Skills!C6=3,120+Inputs!$B$27+Inputs!$B$29,MAX(0,(Inputs!$B$3-100)*3)+Inputs!$B$28+Inputs!$B$29)))</f>
        <v/>
      </c>
      <c r="E1720">
        <f>INDEX(FactorTable!$B$2:$Y$301, MATCH(ROUND(MIN(300,MAX(1,D1720)),0), FactorTable!$A$2:$A$301,0), Skills!M6+1)</f>
        <v/>
      </c>
      <c r="F1720">
        <f>IF(Skills!N6=TRUE,(Skills!L6/10)*(E1720/1000),Skills!L6/10)+Skills!O6</f>
        <v/>
      </c>
      <c r="G1720">
        <f>Calc!G6</f>
        <v/>
      </c>
      <c r="H1720">
        <f>Calc!H6</f>
        <v/>
      </c>
      <c r="I1720">
        <f>IF(Skills!AA6&lt;&gt;"",1+(Skills!AA6/10)*(U1717/1000)/100,1)</f>
        <v/>
      </c>
      <c r="J1720" t="inlineStr"/>
      <c r="K1720" t="inlineStr"/>
      <c r="L1720" t="inlineStr"/>
      <c r="M1720" t="inlineStr"/>
      <c r="N1720" t="inlineStr"/>
      <c r="O1720">
        <f>(1-Summary!$B$55)*T1720+Summary!$B$55*V1720</f>
        <v/>
      </c>
      <c r="P1720">
        <f>IF(B1758=0,0,O1720/B1758)</f>
        <v/>
      </c>
      <c r="Q1720" t="n">
        <v>0</v>
      </c>
      <c r="R1720" t="n">
        <v>0</v>
      </c>
      <c r="S1720">
        <f>IFERROR(O1720/N1720,0)</f>
        <v/>
      </c>
      <c r="T1720" t="n">
        <v>0</v>
      </c>
      <c r="U1720">
        <f>290*U1719/1000</f>
        <v/>
      </c>
      <c r="V1720" t="n">
        <v>0</v>
      </c>
    </row>
    <row r="1721">
      <c r="A1721">
        <f>Skills!A7</f>
        <v/>
      </c>
      <c r="B1721">
        <f>Skills!B7</f>
        <v/>
      </c>
      <c r="C1721">
        <f>Inputs!$B$3&gt;=66</f>
        <v/>
      </c>
      <c r="D1721">
        <f>IF(Skills!C7=1,60+Inputs!$B$25+Inputs!$B$29,IF(Skills!C7=2,90+Inputs!$B$26+Inputs!$B$29,IF(Skills!C7=3,120+Inputs!$B$27+Inputs!$B$29,MAX(0,(Inputs!$B$3-100)*3)+Inputs!$B$28+Inputs!$B$29)))</f>
        <v/>
      </c>
      <c r="E1721">
        <f>INDEX(FactorTable!$B$2:$Y$301, MATCH(ROUND(MIN(300,MAX(1,D1721)),0), FactorTable!$A$2:$A$301,0), Skills!M7+1)</f>
        <v/>
      </c>
      <c r="F1721">
        <f>IF(Skills!N7=TRUE,(Skills!L7/10)*(E1721/1000),Skills!L7/10)+Skills!O7</f>
        <v/>
      </c>
      <c r="G1721">
        <f>Calc!G7</f>
        <v/>
      </c>
      <c r="H1721">
        <f>Calc!H7</f>
        <v/>
      </c>
      <c r="I1721">
        <f>IF(Skills!AA7&lt;&gt;"",1+(Skills!AA7/10)*(U1717/1000)/100,1)</f>
        <v/>
      </c>
      <c r="J1721" t="inlineStr"/>
      <c r="K1721" t="inlineStr"/>
      <c r="L1721" t="inlineStr"/>
      <c r="M1721" t="inlineStr"/>
      <c r="N1721" t="inlineStr"/>
      <c r="O1721">
        <f>(1-Summary!$B$55)*T1721+Summary!$B$55*V1721</f>
        <v/>
      </c>
      <c r="P1721">
        <f>IF(B1758=0,0,O1721/B1758)</f>
        <v/>
      </c>
      <c r="Q1721" t="n">
        <v>0</v>
      </c>
      <c r="R1721" t="n">
        <v>0</v>
      </c>
      <c r="S1721">
        <f>IFERROR(O1721/N1721,0)</f>
        <v/>
      </c>
      <c r="T1721" t="n">
        <v>0</v>
      </c>
      <c r="V1721" t="n">
        <v>0</v>
      </c>
    </row>
    <row r="1722">
      <c r="A1722">
        <f>Skills!A8</f>
        <v/>
      </c>
      <c r="B1722">
        <f>Skills!B8</f>
        <v/>
      </c>
      <c r="C1722">
        <f>Inputs!$B$3&gt;=69</f>
        <v/>
      </c>
      <c r="D1722">
        <f>IF(Skills!C8=1,60+Inputs!$B$25+Inputs!$B$29,IF(Skills!C8=2,90+Inputs!$B$26+Inputs!$B$29,IF(Skills!C8=3,120+Inputs!$B$27+Inputs!$B$29,MAX(0,(Inputs!$B$3-100)*3)+Inputs!$B$28+Inputs!$B$29)))</f>
        <v/>
      </c>
      <c r="E1722">
        <f>INDEX(FactorTable!$B$2:$Y$301, MATCH(ROUND(MIN(300,MAX(1,D1722)),0), FactorTable!$A$2:$A$301,0), Skills!M8+1)</f>
        <v/>
      </c>
      <c r="F1722">
        <f>IF(Skills!N8=TRUE,(Skills!L8/10)*(E1722/1000),Skills!L8/10)+Skills!O8</f>
        <v/>
      </c>
      <c r="G1722">
        <f>Calc!G8</f>
        <v/>
      </c>
      <c r="H1722">
        <f>Calc!H8</f>
        <v/>
      </c>
      <c r="I1722">
        <f>IF(Skills!AA8&lt;&gt;"",1+(Skills!AA8/10)*(U1717/1000)/100,1)</f>
        <v/>
      </c>
      <c r="J1722">
        <f>((Inputs!$B$6*(1+Inputs!$B$7/100))+(((Inputs!$B$12*(1+Inputs!$B$13/100))-(Inputs!$B$12*(1+Inputs!$B$13/100)))+0.25*(Inputs!$B$14-Inputs!$B$14))*(1+Inputs!$B$7/100))*(F1722/100)</f>
        <v/>
      </c>
      <c r="K1722">
        <f>J1722*(1+((Inputs!$B$12*(1+Inputs!$B$13/100))*0.01+Inputs!$B$14*0.0025)/100)*(1+Inputs!$B$15/100)*(1+Inputs!$B$16/100)*(5000/(6000+Inputs!$B$43*(1-Inputs!$B$19/100)))*(1+(Inputs!$B$24+((C1744=TRUE)*(F1744-Calc!F30)))/100)*(1+Skills!R8/100)*(1+(IF(Skills!A8="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1722)</f>
        <v/>
      </c>
      <c r="L1722">
        <f>K1722*(MIN(Inputs!$B$22+((C1738=TRUE)*(F1738-Calc!F24)),Inputs!$B$23)/100+Inputs!$B$23/100)/2</f>
        <v/>
      </c>
      <c r="M1722">
        <f>L1722*(1+(Inputs!$B$10+((C1740=TRUE)*(F1740-Calc!F26))+B1757)/100)</f>
        <v/>
      </c>
      <c r="N1722">
        <f>L1722*(1-MIN((Inputs!$B$9+((C1739=TRUE)*(F1739-Calc!F25))+B1754),100)/100)+M1722*(MIN((Inputs!$B$9+((C1739=TRUE)*(F1739-Calc!F25))+B1754),100)/100)</f>
        <v/>
      </c>
      <c r="O1722">
        <f>(1-Summary!$B$55)*T1722+Summary!$B$55*V1722</f>
        <v/>
      </c>
      <c r="P1722">
        <f>IF(B1758=0,0,O1722/B1758)</f>
        <v/>
      </c>
      <c r="Q1722">
        <f>IFERROR(1/IF(Inputs!$B$39="pvp",15,MAX(0.1,Skills!D8-IF(Skills!E8=TRUE,4.0,0))),0)</f>
        <v/>
      </c>
      <c r="R1722">
        <f>IF(AND(Inputs!$B$39&lt;&gt;"pvp",Inputs!$B$44&gt;0),IF(MAX(0,Inputs!$B$44-B1759)&lt;=0,0,(INT(MAX(0,Inputs!$B$44-B1759)/IF(Inputs!$B$39="pvp",15,MAX(0.1,Skills!D8-IF(Skills!E8=TRUE,4.0,0))))+1)),0)</f>
        <v/>
      </c>
      <c r="S1722">
        <f>IFERROR(O1722/N1722,0)</f>
        <v/>
      </c>
      <c r="T1722">
        <f>IF(C1722,(H1722*N1722*IF(AND(Inputs!$B$39&lt;&gt;"pvp",Inputs!$B$44&gt;0),((Skills!G8*((R1722-1)*IF(Skills!H8&gt;0,Skills!I8/Skills!H8,1)+IF(Skills!H8&gt;0,MIN(Skills!I8,MAX(0,MAX(0,Inputs!$B$44-B1759)-((R1722-1)*IF(Inputs!$B$39="pvp",15,MAX(0.1,Skills!D8-IF(Skills!E8=TRUE,4.0,0))))))/Skills!H8,1)))/Inputs!$B$44),G1722*Q1722))*IF(Inputs!$B$39="pvp",1,1+(Inputs!$B$20+((C1741=TRUE)*(F1741-Calc!F27))+Skills!P8+B1755)/100),0)</f>
        <v/>
      </c>
      <c r="V1722">
        <f>IF(C1722,(H1722*N1722*IF(AND(Inputs!$B$39&lt;&gt;"pvp",Inputs!$B$44&gt;0),((Skills!G8*((R1722-1)*IF(Skills!H8&gt;0,Skills!I8/Skills!H8,1)+IF(Skills!H8&gt;0,MIN(Skills!I8,MAX(0,MAX(0,Inputs!$B$44-B1759)-((R1722-1)*IF(Inputs!$B$39="pvp",15,MAX(0.1,Skills!D8-IF(Skills!E8=TRUE,4.0,0))))))/Skills!H8,1)))/Inputs!$B$44),G1722*Q1722))*IF(Inputs!$B$39="pvp",1,(1+(Inputs!$B$21+Skills!Q8+B1755)/100)*(MIN(Skills!W8,Inputs!$B$37))),0)</f>
        <v/>
      </c>
    </row>
    <row r="1723">
      <c r="A1723">
        <f>Skills!A9</f>
        <v/>
      </c>
      <c r="B1723">
        <f>Skills!B9</f>
        <v/>
      </c>
      <c r="C1723">
        <f>Inputs!$B$3&gt;=72</f>
        <v/>
      </c>
      <c r="D1723">
        <f>IF(Skills!C9=1,60+Inputs!$B$25+Inputs!$B$29,IF(Skills!C9=2,90+Inputs!$B$26+Inputs!$B$29,IF(Skills!C9=3,120+Inputs!$B$27+Inputs!$B$29,MAX(0,(Inputs!$B$3-100)*3)+Inputs!$B$28+Inputs!$B$29)))</f>
        <v/>
      </c>
      <c r="E1723">
        <f>INDEX(FactorTable!$B$2:$Y$301, MATCH(ROUND(MIN(300,MAX(1,D1723)),0), FactorTable!$A$2:$A$301,0), Skills!M9+1)</f>
        <v/>
      </c>
      <c r="F1723">
        <f>IF(Skills!N9=TRUE,(Skills!L9/10)*(E1723/1000),Skills!L9/10)+Skills!O9</f>
        <v/>
      </c>
      <c r="G1723">
        <f>Calc!G9</f>
        <v/>
      </c>
      <c r="H1723">
        <f>Calc!H9</f>
        <v/>
      </c>
      <c r="I1723">
        <f>IF(Skills!AA9&lt;&gt;"",1+(Skills!AA9/10)*(U1717/1000)/100,1)</f>
        <v/>
      </c>
      <c r="J1723">
        <f>((Inputs!$B$6*(1+Inputs!$B$7/100))+(((Inputs!$B$12*(1+Inputs!$B$13/100))-(Inputs!$B$12*(1+Inputs!$B$13/100)))+0.25*(Inputs!$B$14-Inputs!$B$14))*(1+Inputs!$B$7/100))*(F1723/100)</f>
        <v/>
      </c>
      <c r="K1723">
        <f>J1723*(1+((Inputs!$B$12*(1+Inputs!$B$13/100))*0.01+Inputs!$B$14*0.0025)/100)*(1+Inputs!$B$15/100)*(1+Inputs!$B$16/100)*(5000/(6000+Inputs!$B$43*(1-Inputs!$B$19/100)))*(1+(Inputs!$B$24+((C1744=TRUE)*(F1744-Calc!F30)))/100)*(1+Skills!R9/100)*(1+(IF(Skills!A9="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1723)</f>
        <v/>
      </c>
      <c r="L1723">
        <f>K1723*(MIN(Inputs!$B$22+((C1738=TRUE)*(F1738-Calc!F24)),Inputs!$B$23)/100+Inputs!$B$23/100)/2</f>
        <v/>
      </c>
      <c r="M1723">
        <f>L1723*(1+(Inputs!$B$10+((C1740=TRUE)*(F1740-Calc!F26))+B1757)/100)</f>
        <v/>
      </c>
      <c r="N1723">
        <f>L1723*(1-MIN((Inputs!$B$9+((C1739=TRUE)*(F1739-Calc!F25))+B1754),100)/100)+M1723*(MIN((Inputs!$B$9+((C1739=TRUE)*(F1739-Calc!F25))+B1754),100)/100)</f>
        <v/>
      </c>
      <c r="O1723">
        <f>(1-Summary!$B$55)*T1723+Summary!$B$55*V1723</f>
        <v/>
      </c>
      <c r="P1723">
        <f>IF(B1758=0,0,O1723/B1758)</f>
        <v/>
      </c>
      <c r="Q1723">
        <f>IFERROR(1/IF(Inputs!$B$39="pvp",15,MAX(0.1,Skills!D9-IF(Skills!E9=TRUE,4.0,0))),0)</f>
        <v/>
      </c>
      <c r="R1723">
        <f>IF(AND(Inputs!$B$39&lt;&gt;"pvp",Inputs!$B$44&gt;0),IF(MAX(0,Inputs!$B$44-B1759)&lt;=0,0,(INT(MAX(0,Inputs!$B$44-B1759)/IF(Inputs!$B$39="pvp",15,MAX(0.1,Skills!D9-IF(Skills!E9=TRUE,4.0,0))))+1)),0)</f>
        <v/>
      </c>
      <c r="S1723">
        <f>IFERROR(O1723/N1723,0)</f>
        <v/>
      </c>
      <c r="T1723">
        <f>IF(C1723,(H1723*N1723*IF(AND(Inputs!$B$39&lt;&gt;"pvp",Inputs!$B$44&gt;0),((Skills!G9*((R1723-1)*IF(Skills!H9&gt;0,Skills!I9/Skills!H9,1)+IF(Skills!H9&gt;0,MIN(Skills!I9,MAX(0,MAX(0,Inputs!$B$44-B1759)-((R1723-1)*IF(Inputs!$B$39="pvp",15,MAX(0.1,Skills!D9-IF(Skills!E9=TRUE,4.0,0))))))/Skills!H9,1)))/Inputs!$B$44),G1723*Q1723))*IF(Inputs!$B$39="pvp",1,1+(Inputs!$B$20+((C1741=TRUE)*(F1741-Calc!F27))+Skills!P9+B1755)/100),0)</f>
        <v/>
      </c>
      <c r="V1723">
        <f>IF(C1723,(H1723*N1723*IF(AND(Inputs!$B$39&lt;&gt;"pvp",Inputs!$B$44&gt;0),((Skills!G9*((R1723-1)*IF(Skills!H9&gt;0,Skills!I9/Skills!H9,1)+IF(Skills!H9&gt;0,MIN(Skills!I9,MAX(0,MAX(0,Inputs!$B$44-B1759)-((R1723-1)*IF(Inputs!$B$39="pvp",15,MAX(0.1,Skills!D9-IF(Skills!E9=TRUE,4.0,0))))))/Skills!H9,1)))/Inputs!$B$44),G1723*Q1723))*IF(Inputs!$B$39="pvp",1,(1+(Inputs!$B$21+Skills!Q9+B1755)/100)*(MIN(Skills!W9,Inputs!$B$37))),0)</f>
        <v/>
      </c>
    </row>
    <row r="1724">
      <c r="A1724">
        <f>Skills!A10</f>
        <v/>
      </c>
      <c r="B1724">
        <f>Skills!B10</f>
        <v/>
      </c>
      <c r="C1724">
        <f>Inputs!$B$3&gt;=117</f>
        <v/>
      </c>
      <c r="D1724">
        <f>IF(Skills!C10=1,60+Inputs!$B$25+Inputs!$B$29,IF(Skills!C10=2,90+Inputs!$B$26+Inputs!$B$29,IF(Skills!C10=3,120+Inputs!$B$27+Inputs!$B$29,MAX(0,(Inputs!$B$3-100)*3)+Inputs!$B$28+Inputs!$B$29)))</f>
        <v/>
      </c>
      <c r="E1724">
        <f>INDEX(FactorTable!$B$2:$Y$301, MATCH(ROUND(MIN(300,MAX(1,D1724)),0), FactorTable!$A$2:$A$301,0), Skills!M10+1)</f>
        <v/>
      </c>
      <c r="F1724">
        <f>IF(Skills!N10=TRUE,(Skills!L10/10)*(E1724/1000),Skills!L10/10)+Skills!O10</f>
        <v/>
      </c>
      <c r="G1724">
        <f>Calc!G10</f>
        <v/>
      </c>
      <c r="H1724">
        <f>Calc!H10</f>
        <v/>
      </c>
      <c r="I1724">
        <f>IF(Skills!AA10&lt;&gt;"",1+(Skills!AA10/10)*(U1717/1000)/100,1)</f>
        <v/>
      </c>
      <c r="J1724">
        <f>((Inputs!$B$6*(1+Inputs!$B$7/100))+(((Inputs!$B$12*(1+Inputs!$B$13/100))-(Inputs!$B$12*(1+Inputs!$B$13/100)))+0.25*(Inputs!$B$14-Inputs!$B$14))*(1+Inputs!$B$7/100))*(F1724/100)</f>
        <v/>
      </c>
      <c r="K1724">
        <f>J1724*(1+((Inputs!$B$12*(1+Inputs!$B$13/100))*0.01+Inputs!$B$14*0.0025)/100)*(1+Inputs!$B$15/100)*(1+Inputs!$B$16/100)*(5000/(6000+Inputs!$B$43*(1-Inputs!$B$19/100)))*(1+(Inputs!$B$24+((C1744=TRUE)*(F1744-Calc!F30)))/100)*(1+Skills!R10/100)*(1+(IF(Skills!A10="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1724)</f>
        <v/>
      </c>
      <c r="L1724">
        <f>K1724*(MIN(Inputs!$B$22+((C1738=TRUE)*(F1738-Calc!F24)),Inputs!$B$23)/100+Inputs!$B$23/100)/2</f>
        <v/>
      </c>
      <c r="M1724">
        <f>L1724*(1+(Inputs!$B$10+((C1740=TRUE)*(F1740-Calc!F26))+B1757)/100)</f>
        <v/>
      </c>
      <c r="N1724">
        <f>L1724*(1-MIN((Inputs!$B$9+((C1739=TRUE)*(F1739-Calc!F25))+B1754),100)/100)+M1724*(MIN((Inputs!$B$9+((C1739=TRUE)*(F1739-Calc!F25))+B1754),100)/100)</f>
        <v/>
      </c>
      <c r="O1724">
        <f>(1-Summary!$B$55)*T1724+Summary!$B$55*V1724</f>
        <v/>
      </c>
      <c r="P1724">
        <f>IF(B1758=0,0,O1724/B1758)</f>
        <v/>
      </c>
      <c r="Q1724" t="n">
        <v>0</v>
      </c>
      <c r="R1724" t="n">
        <v>0</v>
      </c>
      <c r="S1724" t="n">
        <v>0</v>
      </c>
      <c r="T1724">
        <f>IF(C1724,(0.2*SUMPRODUCT((Skills!Z2:Z31=TRUE)*(C1716:C1745=TRUE)*S1716:S1745)*N1724)*IF(Inputs!$B$39="pvp",1,1+(Inputs!$B$20+((C1741=TRUE)*(F1741-Calc!F27))+Skills!P10+B1755)/100),0)</f>
        <v/>
      </c>
      <c r="V1724">
        <f>IF(C1724,(0.2*SUMPRODUCT((Skills!Z2:Z31=TRUE)*(C1716:C1745=TRUE)*S1716:S1745)*N1724)*IF(Inputs!$B$39="pvp",1,(1+(Inputs!$B$21+Skills!Q10+B1755)/100)*(MIN(Skills!W10,Inputs!$B$37))),0)</f>
        <v/>
      </c>
    </row>
    <row r="1725">
      <c r="A1725">
        <f>Skills!A11</f>
        <v/>
      </c>
      <c r="B1725">
        <f>Skills!B11</f>
        <v/>
      </c>
      <c r="C1725">
        <f>Inputs!$B$3&gt;=60</f>
        <v/>
      </c>
      <c r="D1725">
        <f>IF(Skills!C11=1,60+Inputs!$B$25+Inputs!$B$29,IF(Skills!C11=2,90+Inputs!$B$26+Inputs!$B$29,IF(Skills!C11=3,120+Inputs!$B$27+Inputs!$B$29,MAX(0,(Inputs!$B$3-100)*3)+Inputs!$B$28+Inputs!$B$29)))</f>
        <v/>
      </c>
      <c r="E1725">
        <f>INDEX(FactorTable!$B$2:$Y$301, MATCH(ROUND(MIN(300,MAX(1,D1725)),0), FactorTable!$A$2:$A$301,0), Skills!M11+1)</f>
        <v/>
      </c>
      <c r="F1725">
        <f>IF(Skills!N11=TRUE,(Skills!L11/10)*(E1725/1000),Skills!L11/10)+Skills!O11</f>
        <v/>
      </c>
      <c r="G1725">
        <f>Calc!G11</f>
        <v/>
      </c>
      <c r="H1725">
        <f>Calc!H11</f>
        <v/>
      </c>
      <c r="I1725">
        <f>IF(Skills!AA11&lt;&gt;"",1+(Skills!AA11/10)*(U1717/1000)/100,1)</f>
        <v/>
      </c>
      <c r="J1725" t="inlineStr"/>
      <c r="K1725" t="inlineStr"/>
      <c r="L1725" t="inlineStr"/>
      <c r="M1725" t="inlineStr"/>
      <c r="N1725" t="inlineStr"/>
      <c r="O1725">
        <f>(1-Summary!$B$55)*T1725+Summary!$B$55*V1725</f>
        <v/>
      </c>
      <c r="P1725">
        <f>IF(B1758=0,0,O1725/B1758)</f>
        <v/>
      </c>
      <c r="Q1725" t="n">
        <v>0</v>
      </c>
      <c r="R1725" t="n">
        <v>0</v>
      </c>
      <c r="S1725">
        <f>IFERROR(O1725/N1725,0)</f>
        <v/>
      </c>
      <c r="T1725" t="n">
        <v>0</v>
      </c>
      <c r="V1725" t="n">
        <v>0</v>
      </c>
    </row>
    <row r="1726">
      <c r="A1726">
        <f>Skills!A12</f>
        <v/>
      </c>
      <c r="B1726">
        <f>Skills!B12</f>
        <v/>
      </c>
      <c r="C1726">
        <f>Inputs!$B$3&gt;=103</f>
        <v/>
      </c>
      <c r="D1726">
        <f>IF(Skills!C12=1,60+Inputs!$B$25+Inputs!$B$29,IF(Skills!C12=2,90+Inputs!$B$26+Inputs!$B$29,IF(Skills!C12=3,120+Inputs!$B$27+Inputs!$B$29,MAX(0,(Inputs!$B$3-100)*3)+Inputs!$B$28+Inputs!$B$29)))</f>
        <v/>
      </c>
      <c r="E1726">
        <f>INDEX(FactorTable!$B$2:$Y$301, MATCH(ROUND(MIN(300,MAX(1,D1726)),0), FactorTable!$A$2:$A$301,0), Skills!M12+1)</f>
        <v/>
      </c>
      <c r="F1726">
        <f>IF(Skills!N12=TRUE,(Skills!L12/10)*(E1726/1000),Skills!L12/10)+Skills!O12</f>
        <v/>
      </c>
      <c r="G1726">
        <f>Calc!G12</f>
        <v/>
      </c>
      <c r="H1726">
        <f>Calc!H12</f>
        <v/>
      </c>
      <c r="I1726">
        <f>IF(Skills!AA12&lt;&gt;"",1+(Skills!AA12/10)*(U1717/1000)/100,1)</f>
        <v/>
      </c>
      <c r="J1726">
        <f>((Inputs!$B$6*(1+Inputs!$B$7/100))+(((Inputs!$B$12*(1+Inputs!$B$13/100))-(Inputs!$B$12*(1+Inputs!$B$13/100)))+0.25*(Inputs!$B$14-Inputs!$B$14))*(1+Inputs!$B$7/100))*(F1726/100)</f>
        <v/>
      </c>
      <c r="K1726">
        <f>J1726*(1+((Inputs!$B$12*(1+Inputs!$B$13/100))*0.01+Inputs!$B$14*0.0025)/100)*(1+Inputs!$B$15/100)*(1+Inputs!$B$16/100)*(5000/(6000+Inputs!$B$43*(1-Inputs!$B$19/100)))*(1+(Inputs!$B$24+((C1744=TRUE)*(F1744-Calc!F30)))/100)*(1+Skills!R12/100)*(1+(IF(Skills!A12="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1726)</f>
        <v/>
      </c>
      <c r="L1726">
        <f>K1726*(MIN(Inputs!$B$22+((C1738=TRUE)*(F1738-Calc!F24)),Inputs!$B$23)/100+Inputs!$B$23/100)/2</f>
        <v/>
      </c>
      <c r="M1726">
        <f>L1726*(1+(Inputs!$B$10+((C1740=TRUE)*(F1740-Calc!F26))+B1757)/100)</f>
        <v/>
      </c>
      <c r="N1726">
        <f>L1726*(1-MIN((Inputs!$B$9+((C1739=TRUE)*(F1739-Calc!F25))+B1754),100)/100)+M1726*(MIN((Inputs!$B$9+((C1739=TRUE)*(F1739-Calc!F25))+B1754),100)/100)</f>
        <v/>
      </c>
      <c r="O1726">
        <f>(1-Summary!$B$55)*T1726+Summary!$B$55*V1726</f>
        <v/>
      </c>
      <c r="P1726">
        <f>IF(B1758=0,0,O1726/B1758)</f>
        <v/>
      </c>
      <c r="Q1726">
        <f>IFERROR(1/IF(Inputs!$B$39="pvp",15,MAX(0.1,Skills!D12-IF(Skills!E12=TRUE,4.0,0))),0)</f>
        <v/>
      </c>
      <c r="R1726">
        <f>IF(AND(Inputs!$B$39&lt;&gt;"pvp",Inputs!$B$44&gt;0),IF(MAX(0,Inputs!$B$44-B1759)&lt;=0,0,(INT(MAX(0,Inputs!$B$44-B1759)/IF(Inputs!$B$39="pvp",15,MAX(0.1,Skills!D12-IF(Skills!E12=TRUE,4.0,0))))+1)),0)</f>
        <v/>
      </c>
      <c r="S1726">
        <f>IFERROR(O1726/N1726,0)</f>
        <v/>
      </c>
      <c r="T1726">
        <f>IF(C1726,(H1726*N1726*IF(AND(Inputs!$B$39&lt;&gt;"pvp",Inputs!$B$44&gt;0),((Skills!G12*((R1726-1)*IF(Skills!H12&gt;0,Skills!I12/Skills!H12,1)+IF(Skills!H12&gt;0,MIN(Skills!I12,MAX(0,MAX(0,Inputs!$B$44-B1759)-((R1726-1)*IF(Inputs!$B$39="pvp",15,MAX(0.1,Skills!D12-IF(Skills!E12=TRUE,4.0,0))))))/Skills!H12,1)))/Inputs!$B$44),G1726*Q1726))*IF(Inputs!$B$39="pvp",1,1+(Inputs!$B$20+((C1741=TRUE)*(F1741-Calc!F27))+Skills!P12+B1755)/100),0)</f>
        <v/>
      </c>
      <c r="V1726">
        <f>IF(C1726,(H1726*N1726*IF(AND(Inputs!$B$39&lt;&gt;"pvp",Inputs!$B$44&gt;0),((Skills!G12*((R1726-1)*IF(Skills!H12&gt;0,Skills!I12/Skills!H12,1)+IF(Skills!H12&gt;0,MIN(Skills!I12,MAX(0,MAX(0,Inputs!$B$44-B1759)-((R1726-1)*IF(Inputs!$B$39="pvp",15,MAX(0.1,Skills!D12-IF(Skills!E12=TRUE,4.0,0))))))/Skills!H12,1)))/Inputs!$B$44),G1726*Q1726))*IF(Inputs!$B$39="pvp",1,(1+(Inputs!$B$21+Skills!Q12+B1755)/100)*(MIN(Skills!W12,Inputs!$B$37))),0)</f>
        <v/>
      </c>
    </row>
    <row r="1727">
      <c r="A1727">
        <f>Skills!A13</f>
        <v/>
      </c>
      <c r="B1727">
        <f>Skills!B13</f>
        <v/>
      </c>
      <c r="C1727">
        <f>Inputs!$B$3&gt;=105</f>
        <v/>
      </c>
      <c r="D1727">
        <f>IF(Skills!C13=1,60+Inputs!$B$25+Inputs!$B$29,IF(Skills!C13=2,90+Inputs!$B$26+Inputs!$B$29,IF(Skills!C13=3,120+Inputs!$B$27+Inputs!$B$29,MAX(0,(Inputs!$B$3-100)*3)+Inputs!$B$28+Inputs!$B$29)))</f>
        <v/>
      </c>
      <c r="E1727">
        <f>INDEX(FactorTable!$B$2:$Y$301, MATCH(ROUND(MIN(300,MAX(1,D1727)),0), FactorTable!$A$2:$A$301,0), Skills!M13+1)</f>
        <v/>
      </c>
      <c r="F1727">
        <f>IF(Skills!N13=TRUE,(Skills!L13/10)*(E1727/1000),Skills!L13/10)+Skills!O13</f>
        <v/>
      </c>
      <c r="G1727">
        <f>Calc!G13</f>
        <v/>
      </c>
      <c r="H1727">
        <f>Calc!H13</f>
        <v/>
      </c>
      <c r="I1727">
        <f>IF(Skills!AA13&lt;&gt;"",1+(Skills!AA13/10)*(U1717/1000)/100,1)</f>
        <v/>
      </c>
      <c r="J1727">
        <f>((Inputs!$B$6*(1+Inputs!$B$7/100))+(((Inputs!$B$12*(1+Inputs!$B$13/100))-(Inputs!$B$12*(1+Inputs!$B$13/100)))+0.25*(Inputs!$B$14-Inputs!$B$14))*(1+Inputs!$B$7/100))*(F1727/100)</f>
        <v/>
      </c>
      <c r="K1727">
        <f>J1727*(1+((Inputs!$B$12*(1+Inputs!$B$13/100))*0.01+Inputs!$B$14*0.0025)/100)*(1+Inputs!$B$15/100)*(1+Inputs!$B$16/100)*(5000/(6000+Inputs!$B$43*(1-Inputs!$B$19/100)))*(1+(Inputs!$B$24+((C1744=TRUE)*(F1744-Calc!F30)))/100)*(1+Skills!R13/100)*(1+(IF(Skills!A13="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1727)</f>
        <v/>
      </c>
      <c r="L1727">
        <f>K1727*(MIN(Inputs!$B$22+((C1738=TRUE)*(F1738-Calc!F24)),Inputs!$B$23)/100+Inputs!$B$23/100)/2</f>
        <v/>
      </c>
      <c r="M1727">
        <f>L1727*(1+(Inputs!$B$10+((C1740=TRUE)*(F1740-Calc!F26))+B1757)/100)</f>
        <v/>
      </c>
      <c r="N1727">
        <f>L1727*(1-MIN((Inputs!$B$9+((C1739=TRUE)*(F1739-Calc!F25))+B1754),100)/100)+M1727*(MIN((Inputs!$B$9+((C1739=TRUE)*(F1739-Calc!F25))+B1754),100)/100)</f>
        <v/>
      </c>
      <c r="O1727">
        <f>(1-Summary!$B$55)*T1727+Summary!$B$55*V1727</f>
        <v/>
      </c>
      <c r="P1727">
        <f>IF(B1758=0,0,O1727/B1758)</f>
        <v/>
      </c>
      <c r="Q1727">
        <f>IFERROR(1/IF(Inputs!$B$39="pvp",15,MAX(0.1,Skills!D13-IF(Skills!E13=TRUE,4.0,0))),0)</f>
        <v/>
      </c>
      <c r="R1727">
        <f>IF(AND(Inputs!$B$39&lt;&gt;"pvp",Inputs!$B$44&gt;0),IF(MAX(0,Inputs!$B$44-B1759)&lt;=0,0,(INT(MAX(0,Inputs!$B$44-B1759)/IF(Inputs!$B$39="pvp",15,MAX(0.1,Skills!D13-IF(Skills!E13=TRUE,4.0,0))))+1)),0)</f>
        <v/>
      </c>
      <c r="S1727">
        <f>IFERROR(O1727/N1727,0)</f>
        <v/>
      </c>
      <c r="T1727">
        <f>IF(C1727,(H1727*N1727*IF(AND(Inputs!$B$39&lt;&gt;"pvp",Inputs!$B$44&gt;0),((Skills!G13*((R1727-1)*IF(Skills!H13&gt;0,Skills!I13/Skills!H13,1)+IF(Skills!H13&gt;0,MIN(Skills!I13,MAX(0,MAX(0,Inputs!$B$44-B1759)-((R1727-1)*IF(Inputs!$B$39="pvp",15,MAX(0.1,Skills!D13-IF(Skills!E13=TRUE,4.0,0))))))/Skills!H13,1)))/Inputs!$B$44),G1727*Q1727))*IF(Inputs!$B$39="pvp",1,1+(Inputs!$B$20+((C1741=TRUE)*(F1741-Calc!F27))+Skills!P13+B1755)/100),0)</f>
        <v/>
      </c>
      <c r="V1727">
        <f>IF(C1727,(H1727*N1727*IF(AND(Inputs!$B$39&lt;&gt;"pvp",Inputs!$B$44&gt;0),((Skills!G13*((R1727-1)*IF(Skills!H13&gt;0,Skills!I13/Skills!H13,1)+IF(Skills!H13&gt;0,MIN(Skills!I13,MAX(0,MAX(0,Inputs!$B$44-B1759)-((R1727-1)*IF(Inputs!$B$39="pvp",15,MAX(0.1,Skills!D13-IF(Skills!E13=TRUE,4.0,0))))))/Skills!H13,1)))/Inputs!$B$44),G1727*Q1727))*IF(Inputs!$B$39="pvp",1,(1+(Inputs!$B$21+Skills!Q13+B1755)/100)*(MIN(Skills!W13,Inputs!$B$37))),0)</f>
        <v/>
      </c>
    </row>
    <row r="1728">
      <c r="A1728">
        <f>Skills!A14</f>
        <v/>
      </c>
      <c r="B1728">
        <f>Skills!B14</f>
        <v/>
      </c>
      <c r="C1728">
        <f>Inputs!$B$3&gt;=105</f>
        <v/>
      </c>
      <c r="D1728">
        <f>IF(Skills!C14=1,60+Inputs!$B$25+Inputs!$B$29,IF(Skills!C14=2,90+Inputs!$B$26+Inputs!$B$29,IF(Skills!C14=3,120+Inputs!$B$27+Inputs!$B$29,MAX(0,(Inputs!$B$3-100)*3)+Inputs!$B$28+Inputs!$B$29)))</f>
        <v/>
      </c>
      <c r="E1728">
        <f>INDEX(FactorTable!$B$2:$Y$301, MATCH(ROUND(MIN(300,MAX(1,D1728)),0), FactorTable!$A$2:$A$301,0), Skills!M14+1)</f>
        <v/>
      </c>
      <c r="F1728">
        <f>IF(Skills!N14=TRUE,(Skills!L14/10)*(E1728/1000),Skills!L14/10)+Skills!O14</f>
        <v/>
      </c>
      <c r="G1728">
        <f>Calc!G14</f>
        <v/>
      </c>
      <c r="H1728">
        <f>Calc!H14</f>
        <v/>
      </c>
      <c r="I1728">
        <f>IF(Skills!AA14&lt;&gt;"",1+(Skills!AA14/10)*(U1717/1000)/100,1)</f>
        <v/>
      </c>
      <c r="J1728">
        <f>((Inputs!$B$6*(1+Inputs!$B$7/100))+(((Inputs!$B$12*(1+Inputs!$B$13/100))-(Inputs!$B$12*(1+Inputs!$B$13/100)))+0.25*(Inputs!$B$14-Inputs!$B$14))*(1+Inputs!$B$7/100))*(F1728/100)</f>
        <v/>
      </c>
      <c r="K1728">
        <f>J1728*(1+((Inputs!$B$12*(1+Inputs!$B$13/100))*0.01+Inputs!$B$14*0.0025)/100)*(1+Inputs!$B$15/100)*(1+Inputs!$B$16/100)*(5000/(6000+Inputs!$B$43*(1-Inputs!$B$19/100)))*(1+(Inputs!$B$24+((C1744=TRUE)*(F1744-Calc!F30)))/100)*(1+Skills!R14/100)*(1+(IF(Skills!A14="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1728)</f>
        <v/>
      </c>
      <c r="L1728">
        <f>K1728*(MIN(Inputs!$B$22+((C1738=TRUE)*(F1738-Calc!F24)),Inputs!$B$23)/100+Inputs!$B$23/100)/2</f>
        <v/>
      </c>
      <c r="M1728">
        <f>L1728*(1+(Inputs!$B$10+((C1740=TRUE)*(F1740-Calc!F26))+B1757)/100)</f>
        <v/>
      </c>
      <c r="N1728">
        <f>L1728*(1-MIN((Inputs!$B$9+((C1739=TRUE)*(F1739-Calc!F25))+B1754),100)/100)+M1728*(MIN((Inputs!$B$9+((C1739=TRUE)*(F1739-Calc!F25))+B1754),100)/100)</f>
        <v/>
      </c>
      <c r="O1728">
        <f>(1-Summary!$B$55)*T1728+Summary!$B$55*V1728</f>
        <v/>
      </c>
      <c r="P1728">
        <f>IF(B1758=0,0,O1728/B1758)</f>
        <v/>
      </c>
      <c r="Q1728">
        <f>IFERROR(1/IF(Inputs!$B$39="pvp",15,MAX(0.1,Skills!D14-IF(Skills!E14=TRUE,4.0,0))),0)</f>
        <v/>
      </c>
      <c r="R1728">
        <f>IF(AND(Inputs!$B$39&lt;&gt;"pvp",Inputs!$B$44&gt;0),IF(MAX(0,Inputs!$B$44-B1759)&lt;=0,0,(INT(MAX(0,Inputs!$B$44-B1759)/IF(Inputs!$B$39="pvp",15,MAX(0.1,Skills!D14-IF(Skills!E14=TRUE,4.0,0))))+1)),0)</f>
        <v/>
      </c>
      <c r="S1728">
        <f>IFERROR(O1728/N1728,0)</f>
        <v/>
      </c>
      <c r="T1728">
        <f>IF(C1728,(H1728*N1728*IF(AND(Inputs!$B$39&lt;&gt;"pvp",Inputs!$B$44&gt;0),((Skills!G14*((R1728-1)*IF(Skills!H14&gt;0,Skills!I14/Skills!H14,1)+IF(Skills!H14&gt;0,MIN(Skills!I14,MAX(0,MAX(0,Inputs!$B$44-B1759)-((R1728-1)*IF(Inputs!$B$39="pvp",15,MAX(0.1,Skills!D14-IF(Skills!E14=TRUE,4.0,0))))))/Skills!H14,1)))/Inputs!$B$44),G1728*Q1728))*IF(Inputs!$B$39="pvp",1,1+(Inputs!$B$20+((C1741=TRUE)*(F1741-Calc!F27))+Skills!P14+B1755)/100),0)</f>
        <v/>
      </c>
      <c r="V1728">
        <f>IF(C1728,(H1728*N1728*IF(AND(Inputs!$B$39&lt;&gt;"pvp",Inputs!$B$44&gt;0),((Skills!G14*((R1728-1)*IF(Skills!H14&gt;0,Skills!I14/Skills!H14,1)+IF(Skills!H14&gt;0,MIN(Skills!I14,MAX(0,MAX(0,Inputs!$B$44-B1759)-((R1728-1)*IF(Inputs!$B$39="pvp",15,MAX(0.1,Skills!D14-IF(Skills!E14=TRUE,4.0,0))))))/Skills!H14,1)))/Inputs!$B$44),G1728*Q1728))*IF(Inputs!$B$39="pvp",1,(1+(Inputs!$B$21+Skills!Q14+B1755)/100)*(MIN(Skills!W14,Inputs!$B$37))),0)</f>
        <v/>
      </c>
    </row>
    <row r="1729">
      <c r="A1729">
        <f>Skills!A15</f>
        <v/>
      </c>
      <c r="B1729">
        <f>Skills!B15</f>
        <v/>
      </c>
      <c r="C1729">
        <f>Inputs!$B$3&gt;=110</f>
        <v/>
      </c>
      <c r="D1729">
        <f>IF(Skills!C15=1,60+Inputs!$B$25+Inputs!$B$29,IF(Skills!C15=2,90+Inputs!$B$26+Inputs!$B$29,IF(Skills!C15=3,120+Inputs!$B$27+Inputs!$B$29,MAX(0,(Inputs!$B$3-100)*3)+Inputs!$B$28+Inputs!$B$29)))</f>
        <v/>
      </c>
      <c r="E1729">
        <f>INDEX(FactorTable!$B$2:$Y$301, MATCH(ROUND(MIN(300,MAX(1,D1729)),0), FactorTable!$A$2:$A$301,0), Skills!M15+1)</f>
        <v/>
      </c>
      <c r="F1729">
        <f>IF(Skills!N15=TRUE,(Skills!L15/10)*(E1729/1000),Skills!L15/10)+Skills!O15</f>
        <v/>
      </c>
      <c r="G1729">
        <f>Calc!G15</f>
        <v/>
      </c>
      <c r="H1729">
        <f>Calc!H15</f>
        <v/>
      </c>
      <c r="I1729">
        <f>IF(Skills!AA15&lt;&gt;"",1+(Skills!AA15/10)*(U1717/1000)/100,1)</f>
        <v/>
      </c>
      <c r="J1729" t="inlineStr"/>
      <c r="K1729" t="inlineStr"/>
      <c r="L1729" t="inlineStr"/>
      <c r="M1729" t="inlineStr"/>
      <c r="N1729" t="inlineStr"/>
      <c r="O1729">
        <f>(1-Summary!$B$55)*T1729+Summary!$B$55*V1729</f>
        <v/>
      </c>
      <c r="P1729">
        <f>IF(B1758=0,0,O1729/B1758)</f>
        <v/>
      </c>
      <c r="Q1729">
        <f>IFERROR(1/IF(Inputs!$B$39="pvp",15,MAX(0.1,Skills!D15-IF(Skills!E15=TRUE,4.0,0))),0)</f>
        <v/>
      </c>
      <c r="R1729">
        <f>IF(AND(Inputs!$B$39&lt;&gt;"pvp",Inputs!$B$44&gt;0),IF(Inputs!$B$44&lt;=0,0,(INT(Inputs!$B$44/IF(Inputs!$B$39="pvp",15,MAX(0.1,Skills!D15-IF(Skills!E15=TRUE,4.0,0))))+1)),0)</f>
        <v/>
      </c>
      <c r="S1729">
        <f>IFERROR(O1729/N1729,0)</f>
        <v/>
      </c>
      <c r="T1729" t="n">
        <v>0</v>
      </c>
      <c r="V1729" t="n">
        <v>0</v>
      </c>
    </row>
    <row r="1730">
      <c r="A1730">
        <f>Skills!A16</f>
        <v/>
      </c>
      <c r="B1730">
        <f>Skills!B16</f>
        <v/>
      </c>
      <c r="C1730">
        <f>Inputs!$B$3&gt;=110</f>
        <v/>
      </c>
      <c r="D1730">
        <f>IF(Skills!C16=1,60+Inputs!$B$25+Inputs!$B$29,IF(Skills!C16=2,90+Inputs!$B$26+Inputs!$B$29,IF(Skills!C16=3,120+Inputs!$B$27+Inputs!$B$29,MAX(0,(Inputs!$B$3-100)*3)+Inputs!$B$28+Inputs!$B$29)))</f>
        <v/>
      </c>
      <c r="E1730">
        <f>INDEX(FactorTable!$B$2:$Y$301, MATCH(ROUND(MIN(300,MAX(1,D1730)),0), FactorTable!$A$2:$A$301,0), Skills!M16+1)</f>
        <v/>
      </c>
      <c r="F1730">
        <f>IF(Skills!N16=TRUE,(Skills!L16/10)*(E1730/1000),Skills!L16/10)+Skills!O16</f>
        <v/>
      </c>
      <c r="G1730">
        <f>Calc!G16</f>
        <v/>
      </c>
      <c r="H1730">
        <f>Calc!H16</f>
        <v/>
      </c>
      <c r="I1730">
        <f>IF(Skills!AA16&lt;&gt;"",1+(Skills!AA16/10)*(U1717/1000)/100,1)</f>
        <v/>
      </c>
      <c r="J1730" t="inlineStr"/>
      <c r="K1730" t="inlineStr"/>
      <c r="L1730" t="inlineStr"/>
      <c r="M1730" t="inlineStr"/>
      <c r="N1730" t="inlineStr"/>
      <c r="O1730">
        <f>(1-Summary!$B$55)*T1730+Summary!$B$55*V1730</f>
        <v/>
      </c>
      <c r="P1730">
        <f>IF(B1758=0,0,O1730/B1758)</f>
        <v/>
      </c>
      <c r="Q1730">
        <f>IFERROR(1/IF(Inputs!$B$39="pvp",15,MAX(0.1,Skills!D16-IF(Skills!E16=TRUE,4.0,0))),0)</f>
        <v/>
      </c>
      <c r="R1730">
        <f>IF(AND(Inputs!$B$39&lt;&gt;"pvp",Inputs!$B$44&gt;0),IF(Inputs!$B$44&lt;=0,0,(INT(Inputs!$B$44/IF(Inputs!$B$39="pvp",15,MAX(0.1,Skills!D16-IF(Skills!E16=TRUE,4.0,0))))+1)),0)</f>
        <v/>
      </c>
      <c r="S1730">
        <f>IFERROR(O1730/N1730,0)</f>
        <v/>
      </c>
      <c r="T1730" t="n">
        <v>0</v>
      </c>
      <c r="V1730" t="n">
        <v>0</v>
      </c>
    </row>
    <row r="1731">
      <c r="A1731">
        <f>Skills!A17</f>
        <v/>
      </c>
      <c r="B1731">
        <f>Skills!B17</f>
        <v/>
      </c>
      <c r="C1731">
        <f>Inputs!$B$3&gt;=115</f>
        <v/>
      </c>
      <c r="D1731">
        <f>IF(Skills!C17=1,60+Inputs!$B$25+Inputs!$B$29,IF(Skills!C17=2,90+Inputs!$B$26+Inputs!$B$29,IF(Skills!C17=3,120+Inputs!$B$27+Inputs!$B$29,MAX(0,(Inputs!$B$3-100)*3)+Inputs!$B$28+Inputs!$B$29)))</f>
        <v/>
      </c>
      <c r="E1731">
        <f>INDEX(FactorTable!$B$2:$Y$301, MATCH(ROUND(MIN(300,MAX(1,D1731)),0), FactorTable!$A$2:$A$301,0), Skills!M17+1)</f>
        <v/>
      </c>
      <c r="F1731">
        <f>IF(Skills!N17=TRUE,(Skills!L17/10)*(E1731/1000),Skills!L17/10)+Skills!O17</f>
        <v/>
      </c>
      <c r="G1731">
        <f>Calc!G17</f>
        <v/>
      </c>
      <c r="H1731">
        <f>Calc!H17</f>
        <v/>
      </c>
      <c r="I1731">
        <f>IF(Skills!AA17&lt;&gt;"",1+(Skills!AA17/10)*(U1717/1000)/100,1)</f>
        <v/>
      </c>
      <c r="J1731">
        <f>((Inputs!$B$6*(1+Inputs!$B$7/100))+(((Inputs!$B$12*(1+Inputs!$B$13/100))-(Inputs!$B$12*(1+Inputs!$B$13/100)))+0.25*(Inputs!$B$14-Inputs!$B$14))*(1+Inputs!$B$7/100))*(F1731/100)</f>
        <v/>
      </c>
      <c r="K1731">
        <f>J1731*(1+((Inputs!$B$12*(1+Inputs!$B$13/100))*0.01+Inputs!$B$14*0.0025)/100)*(1+Inputs!$B$15/100)*(1+Inputs!$B$16/100)*(5000/(6000+Inputs!$B$43*(1-Inputs!$B$19/100)))*(1+(Inputs!$B$24+((C1744=TRUE)*(F1744-Calc!F30)))/100)*(1+Skills!R17/100)*(1+(IF(Skills!A17="SHOWDOWN",Inputs!$B$17+((C1737=TRUE)*(F1737-Calc!F23)),Inputs!$B$18+((C1743=TRUE)*(F1743-Calc!F29))))/100)*(((1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B1756*I1731)</f>
        <v/>
      </c>
      <c r="L1731">
        <f>K1731*(MIN(Inputs!$B$22+((C1738=TRUE)*(F1738-Calc!F24)),Inputs!$B$23)/100+Inputs!$B$23/100)/2</f>
        <v/>
      </c>
      <c r="M1731">
        <f>L1731*(1+(Inputs!$B$10+((C1740=TRUE)*(F1740-Calc!F26))+B1757)/100)</f>
        <v/>
      </c>
      <c r="N1731">
        <f>L1731*(1-MIN((Inputs!$B$9+((C1739=TRUE)*(F1739-Calc!F25))+B1754),100)/100)+M1731*(MIN((Inputs!$B$9+((C1739=TRUE)*(F1739-Calc!F25))+B1754),100)/100)</f>
        <v/>
      </c>
      <c r="O1731">
        <f>(1-Summary!$B$55)*T1731+Summary!$B$55*V1731</f>
        <v/>
      </c>
      <c r="P1731">
        <f>IF(B1758=0,0,O1731/B1758)</f>
        <v/>
      </c>
      <c r="Q1731" t="n">
        <v>0</v>
      </c>
      <c r="R1731" t="n">
        <v>0</v>
      </c>
      <c r="S1731">
        <f>IFERROR(O1731/N1731,0)</f>
        <v/>
      </c>
      <c r="T1731">
        <f>IF(C1731,(Inputs!$B$38*0.2*N1731)*IF(Inputs!$B$39="pvp",1,1+(Inputs!$B$20+((C1741=TRUE)*(F1741-Calc!F27))+Skills!P17+B1755)/100),0)</f>
        <v/>
      </c>
      <c r="V1731">
        <f>IF(C1731,(Inputs!$B$38*0.2*N1731)*IF(Inputs!$B$39="pvp",1,(1+(Inputs!$B$21+Skills!Q17+B1755)/100)*(MIN(Skills!W17,Inputs!$B$37))),0)</f>
        <v/>
      </c>
    </row>
    <row r="1732">
      <c r="A1732">
        <f>Skills!A18</f>
        <v/>
      </c>
      <c r="B1732">
        <f>Skills!B18</f>
        <v/>
      </c>
      <c r="C1732">
        <f>Inputs!$B$3&gt;=115</f>
        <v/>
      </c>
      <c r="D1732">
        <f>IF(Skills!C18=1,60+Inputs!$B$25+Inputs!$B$29,IF(Skills!C18=2,90+Inputs!$B$26+Inputs!$B$29,IF(Skills!C18=3,120+Inputs!$B$27+Inputs!$B$29,MAX(0,(Inputs!$B$3-100)*3)+Inputs!$B$28+Inputs!$B$29)))</f>
        <v/>
      </c>
      <c r="E1732">
        <f>INDEX(FactorTable!$B$2:$Y$301, MATCH(ROUND(MIN(300,MAX(1,D1732)),0), FactorTable!$A$2:$A$301,0), Skills!M18+1)</f>
        <v/>
      </c>
      <c r="F1732">
        <f>IF(Skills!N18=TRUE,(Skills!L18/10)*(E1732/1000),Skills!L18/10)+Skills!O18</f>
        <v/>
      </c>
      <c r="G1732">
        <f>Calc!G18</f>
        <v/>
      </c>
      <c r="H1732">
        <f>Calc!H18</f>
        <v/>
      </c>
      <c r="I1732">
        <f>IF(Skills!AA18&lt;&gt;"",1+(Skills!AA18/10)*(U1717/1000)/100,1)</f>
        <v/>
      </c>
      <c r="J1732" t="inlineStr"/>
      <c r="K1732" t="inlineStr"/>
      <c r="L1732" t="inlineStr"/>
      <c r="M1732" t="inlineStr"/>
      <c r="N1732" t="inlineStr"/>
      <c r="O1732">
        <f>(1-Summary!$B$55)*T1732+Summary!$B$55*V1732</f>
        <v/>
      </c>
      <c r="P1732">
        <f>IF(B1758=0,0,O1732/B1758)</f>
        <v/>
      </c>
      <c r="Q1732" t="n">
        <v>0</v>
      </c>
      <c r="R1732" t="n">
        <v>0</v>
      </c>
      <c r="S1732">
        <f>IFERROR(O1732/N1732,0)</f>
        <v/>
      </c>
      <c r="T1732" t="n">
        <v>0</v>
      </c>
      <c r="V1732" t="n">
        <v>0</v>
      </c>
    </row>
    <row r="1733">
      <c r="A1733">
        <f>Skills!A19</f>
        <v/>
      </c>
      <c r="B1733">
        <f>Skills!B19</f>
        <v/>
      </c>
      <c r="C1733">
        <f>TRUE</f>
        <v/>
      </c>
      <c r="D1733">
        <f>IF(Skills!C19=1,60+Inputs!$B$25+Inputs!$B$29,IF(Skills!C19=2,90+Inputs!$B$26+Inputs!$B$29,IF(Skills!C19=3,120+Inputs!$B$27+Inputs!$B$29,MAX(0,(Inputs!$B$3-100)*3)+Inputs!$B$28+Inputs!$B$29)))</f>
        <v/>
      </c>
      <c r="E1733">
        <f>INDEX(FactorTable!$B$2:$Y$301, MATCH(ROUND(MIN(300,MAX(1,D1733)),0), FactorTable!$A$2:$A$301,0), Skills!M19+1)</f>
        <v/>
      </c>
      <c r="F1733">
        <f>IF(Skills!N19=TRUE,(Skills!L19/10)*(E1733/1000),Skills!L19/10)+Skills!O19</f>
        <v/>
      </c>
      <c r="G1733">
        <f>Calc!G19</f>
        <v/>
      </c>
      <c r="H1733">
        <f>Calc!H19</f>
        <v/>
      </c>
      <c r="I1733">
        <f>IF(Skills!AA19&lt;&gt;"",1+(Skills!AA19/10)*(U1717/1000)/100,1)</f>
        <v/>
      </c>
      <c r="J1733" t="inlineStr"/>
      <c r="K1733" t="inlineStr"/>
      <c r="L1733" t="inlineStr"/>
      <c r="M1733" t="inlineStr"/>
      <c r="N1733" t="inlineStr"/>
      <c r="O1733">
        <f>(1-Summary!$B$55)*T1733+Summary!$B$55*V1733</f>
        <v/>
      </c>
      <c r="P1733">
        <f>IF(B1758=0,0,O1733/B1758)</f>
        <v/>
      </c>
      <c r="Q1733">
        <f>IFERROR(1/IF(Inputs!$B$39="pvp",15,MAX(0.1,Skills!D19-IF(Skills!E19=TRUE,4.0,0))),0)</f>
        <v/>
      </c>
      <c r="R1733">
        <f>IF(AND(Inputs!$B$39&lt;&gt;"pvp",Inputs!$B$44&gt;0),IF(Inputs!$B$44&lt;=0,0,(INT(Inputs!$B$44/IF(Inputs!$B$39="pvp",15,MAX(0.1,Skills!D19-IF(Skills!E19=TRUE,4.0,0))))+1)),0)</f>
        <v/>
      </c>
      <c r="S1733">
        <f>IFERROR(O1733/N1733,0)</f>
        <v/>
      </c>
      <c r="T1733" t="n">
        <v>0</v>
      </c>
      <c r="V1733" t="n">
        <v>0</v>
      </c>
    </row>
    <row r="1734">
      <c r="A1734">
        <f>Skills!A20</f>
        <v/>
      </c>
      <c r="B1734">
        <f>Skills!B20</f>
        <v/>
      </c>
      <c r="C1734">
        <f>Inputs!$B$3&gt;=15</f>
        <v/>
      </c>
      <c r="D1734">
        <f>IF(Skills!C20=1,60+Inputs!$B$25+Inputs!$B$29,IF(Skills!C20=2,90+Inputs!$B$26+Inputs!$B$29,IF(Skills!C20=3,120+Inputs!$B$27+Inputs!$B$29,MAX(0,(Inputs!$B$3-100)*3)+Inputs!$B$28+Inputs!$B$29)))</f>
        <v/>
      </c>
      <c r="E1734">
        <f>INDEX(FactorTable!$B$2:$Y$301, MATCH(ROUND(MIN(300,MAX(1,D1734)),0), FactorTable!$A$2:$A$301,0), Skills!M20+1)</f>
        <v/>
      </c>
      <c r="F1734">
        <f>IF(Skills!N20=TRUE,(Skills!L20/10)*(E1734/1000),Skills!L20/10)+Skills!O20</f>
        <v/>
      </c>
      <c r="G1734">
        <f>Calc!G20</f>
        <v/>
      </c>
      <c r="H1734">
        <f>Calc!H20</f>
        <v/>
      </c>
      <c r="I1734">
        <f>IF(Skills!AA20&lt;&gt;"",1+(Skills!AA20/10)*(U1717/1000)/100,1)</f>
        <v/>
      </c>
      <c r="J1734" t="inlineStr"/>
      <c r="K1734" t="inlineStr"/>
      <c r="L1734" t="inlineStr"/>
      <c r="M1734" t="inlineStr"/>
      <c r="N1734" t="inlineStr"/>
      <c r="O1734">
        <f>(1-Summary!$B$55)*T1734+Summary!$B$55*V1734</f>
        <v/>
      </c>
      <c r="P1734">
        <f>IF(B1758=0,0,O1734/B1758)</f>
        <v/>
      </c>
      <c r="Q1734">
        <f>IFERROR(1/IF(Inputs!$B$39="pvp",15,MAX(0.1,Skills!D20-IF(Skills!E20=TRUE,4.0,0))),0)</f>
        <v/>
      </c>
      <c r="R1734">
        <f>IF(AND(Inputs!$B$39&lt;&gt;"pvp",Inputs!$B$44&gt;0),IF(Inputs!$B$44&lt;=0,0,(INT(Inputs!$B$44/IF(Inputs!$B$39="pvp",15,MAX(0.1,Skills!D20-IF(Skills!E20=TRUE,4.0,0))))+1)),0)</f>
        <v/>
      </c>
      <c r="S1734">
        <f>IFERROR(O1734/N1734,0)</f>
        <v/>
      </c>
      <c r="T1734" t="n">
        <v>0</v>
      </c>
      <c r="V1734" t="n">
        <v>0</v>
      </c>
    </row>
    <row r="1735">
      <c r="A1735">
        <f>Skills!A21</f>
        <v/>
      </c>
      <c r="B1735">
        <f>Skills!B21</f>
        <v/>
      </c>
      <c r="C1735">
        <f>Inputs!$B$3&gt;=15</f>
        <v/>
      </c>
      <c r="D1735">
        <f>IF(Skills!C21=1,60+Inputs!$B$25+Inputs!$B$29,IF(Skills!C21=2,90+Inputs!$B$26+Inputs!$B$29,IF(Skills!C21=3,120+Inputs!$B$27+Inputs!$B$29,MAX(0,(Inputs!$B$3-100)*3)+Inputs!$B$28+Inputs!$B$29)))</f>
        <v/>
      </c>
      <c r="E1735">
        <f>INDEX(FactorTable!$B$2:$Y$301, MATCH(ROUND(MIN(300,MAX(1,D1735)),0), FactorTable!$A$2:$A$301,0), Skills!M21+1)</f>
        <v/>
      </c>
      <c r="F1735">
        <f>IF(Skills!N21=TRUE,(Skills!L21/10)*(E1735/1000),Skills!L21/10)+Skills!O21</f>
        <v/>
      </c>
      <c r="G1735">
        <f>Calc!G21</f>
        <v/>
      </c>
      <c r="H1735">
        <f>Calc!H21</f>
        <v/>
      </c>
      <c r="I1735">
        <f>IF(Skills!AA21&lt;&gt;"",1+(Skills!AA21/10)*(U1717/1000)/100,1)</f>
        <v/>
      </c>
      <c r="J1735" t="inlineStr"/>
      <c r="K1735" t="inlineStr"/>
      <c r="L1735" t="inlineStr"/>
      <c r="M1735" t="inlineStr"/>
      <c r="N1735" t="inlineStr"/>
      <c r="O1735">
        <f>(1-Summary!$B$55)*T1735+Summary!$B$55*V1735</f>
        <v/>
      </c>
      <c r="P1735">
        <f>IF(B1758=0,0,O1735/B1758)</f>
        <v/>
      </c>
      <c r="Q1735">
        <f>IFERROR(1/IF(Inputs!$B$39="pvp",15,MAX(0.1,Skills!D21-IF(Skills!E21=TRUE,4.0,0))),0)</f>
        <v/>
      </c>
      <c r="R1735">
        <f>IF(AND(Inputs!$B$39&lt;&gt;"pvp",Inputs!$B$44&gt;0),IF(Inputs!$B$44&lt;=0,0,(INT(Inputs!$B$44/IF(Inputs!$B$39="pvp",15,MAX(0.1,Skills!D21-IF(Skills!E21=TRUE,4.0,0))))+1)),0)</f>
        <v/>
      </c>
      <c r="S1735">
        <f>IFERROR(O1735/N1735,0)</f>
        <v/>
      </c>
      <c r="T1735" t="n">
        <v>0</v>
      </c>
      <c r="V1735" t="n">
        <v>0</v>
      </c>
    </row>
    <row r="1736">
      <c r="A1736">
        <f>Skills!A22</f>
        <v/>
      </c>
      <c r="B1736">
        <f>Skills!B22</f>
        <v/>
      </c>
      <c r="C1736">
        <f>Inputs!$B$3&gt;=33</f>
        <v/>
      </c>
      <c r="D1736">
        <f>IF(Skills!C22=1,60+Inputs!$B$25+Inputs!$B$29,IF(Skills!C22=2,90+Inputs!$B$26+Inputs!$B$29,IF(Skills!C22=3,120+Inputs!$B$27+Inputs!$B$29,MAX(0,(Inputs!$B$3-100)*3)+Inputs!$B$28+Inputs!$B$29)))</f>
        <v/>
      </c>
      <c r="E1736">
        <f>INDEX(FactorTable!$B$2:$Y$301, MATCH(ROUND(MIN(300,MAX(1,D1736)),0), FactorTable!$A$2:$A$301,0), Skills!M22+1)</f>
        <v/>
      </c>
      <c r="F1736">
        <f>IF(Skills!N22=TRUE,(Skills!L22/10)*(E1736/1000),Skills!L22/10)+Skills!O22</f>
        <v/>
      </c>
      <c r="G1736">
        <f>Calc!G22</f>
        <v/>
      </c>
      <c r="H1736">
        <f>Calc!H22</f>
        <v/>
      </c>
      <c r="I1736">
        <f>IF(Skills!AA22&lt;&gt;"",1+(Skills!AA22/10)*(U1717/1000)/100,1)</f>
        <v/>
      </c>
      <c r="J1736" t="inlineStr"/>
      <c r="K1736" t="inlineStr"/>
      <c r="L1736" t="inlineStr"/>
      <c r="M1736" t="inlineStr"/>
      <c r="N1736" t="inlineStr"/>
      <c r="O1736">
        <f>(1-Summary!$B$55)*T1736+Summary!$B$55*V1736</f>
        <v/>
      </c>
      <c r="P1736">
        <f>IF(B1758=0,0,O1736/B1758)</f>
        <v/>
      </c>
      <c r="Q1736" t="n">
        <v>0</v>
      </c>
      <c r="R1736" t="n">
        <v>0</v>
      </c>
      <c r="S1736">
        <f>IFERROR(O1736/N1736,0)</f>
        <v/>
      </c>
      <c r="T1736" t="n">
        <v>0</v>
      </c>
      <c r="V1736" t="n">
        <v>0</v>
      </c>
    </row>
    <row r="1737">
      <c r="A1737">
        <f>Skills!A23</f>
        <v/>
      </c>
      <c r="B1737">
        <f>Skills!B23</f>
        <v/>
      </c>
      <c r="C1737">
        <f>Inputs!$B$3&gt;=38</f>
        <v/>
      </c>
      <c r="D1737">
        <f>IF(Skills!C23=1,60+Inputs!$B$25+Inputs!$B$29,IF(Skills!C23=2,90+Inputs!$B$26+Inputs!$B$29,IF(Skills!C23=3,120+Inputs!$B$27+Inputs!$B$29,MAX(0,(Inputs!$B$3-100)*3)+Inputs!$B$28+Inputs!$B$29)))</f>
        <v/>
      </c>
      <c r="E1737">
        <f>INDEX(FactorTable!$B$2:$Y$301, MATCH(ROUND(MIN(300,MAX(1,D1737)),0), FactorTable!$A$2:$A$301,0), Skills!M23+1)</f>
        <v/>
      </c>
      <c r="F1737">
        <f>IF(Skills!N23=TRUE,(Skills!L23/10)*(E1737/1000),Skills!L23/10)+Skills!O23</f>
        <v/>
      </c>
      <c r="G1737">
        <f>Calc!G23</f>
        <v/>
      </c>
      <c r="H1737">
        <f>Calc!H23</f>
        <v/>
      </c>
      <c r="I1737">
        <f>IF(Skills!AA23&lt;&gt;"",1+(Skills!AA23/10)*(U1717/1000)/100,1)</f>
        <v/>
      </c>
      <c r="J1737" t="inlineStr"/>
      <c r="K1737" t="inlineStr"/>
      <c r="L1737" t="inlineStr"/>
      <c r="M1737" t="inlineStr"/>
      <c r="N1737" t="inlineStr"/>
      <c r="O1737">
        <f>(1-Summary!$B$55)*T1737+Summary!$B$55*V1737</f>
        <v/>
      </c>
      <c r="P1737">
        <f>IF(B1758=0,0,O1737/B1758)</f>
        <v/>
      </c>
      <c r="Q1737" t="n">
        <v>0</v>
      </c>
      <c r="R1737" t="n">
        <v>0</v>
      </c>
      <c r="S1737">
        <f>IFERROR(O1737/N1737,0)</f>
        <v/>
      </c>
      <c r="T1737" t="n">
        <v>0</v>
      </c>
      <c r="V1737" t="n">
        <v>0</v>
      </c>
    </row>
    <row r="1738">
      <c r="A1738">
        <f>Skills!A24</f>
        <v/>
      </c>
      <c r="B1738">
        <f>Skills!B24</f>
        <v/>
      </c>
      <c r="C1738">
        <f>Inputs!$B$3&gt;=40</f>
        <v/>
      </c>
      <c r="D1738">
        <f>IF(Skills!C24=1,60+Inputs!$B$25+Inputs!$B$29,IF(Skills!C24=2,90+Inputs!$B$26+Inputs!$B$29,IF(Skills!C24=3,120+Inputs!$B$27+Inputs!$B$29,MAX(0,(Inputs!$B$3-100)*3)+Inputs!$B$28+Inputs!$B$29)))</f>
        <v/>
      </c>
      <c r="E1738">
        <f>INDEX(FactorTable!$B$2:$Y$301, MATCH(ROUND(MIN(300,MAX(1,D1738)),0), FactorTable!$A$2:$A$301,0), Skills!M24+1)</f>
        <v/>
      </c>
      <c r="F1738">
        <f>IF(Skills!N24=TRUE,(Skills!L24/10)*(E1738/1000),Skills!L24/10)+Skills!O24</f>
        <v/>
      </c>
      <c r="G1738">
        <f>Calc!G24</f>
        <v/>
      </c>
      <c r="H1738">
        <f>Calc!H24</f>
        <v/>
      </c>
      <c r="I1738">
        <f>IF(Skills!AA24&lt;&gt;"",1+(Skills!AA24/10)*(U1717/1000)/100,1)</f>
        <v/>
      </c>
      <c r="J1738" t="inlineStr"/>
      <c r="K1738" t="inlineStr"/>
      <c r="L1738" t="inlineStr"/>
      <c r="M1738" t="inlineStr"/>
      <c r="N1738" t="inlineStr"/>
      <c r="O1738">
        <f>(1-Summary!$B$55)*T1738+Summary!$B$55*V1738</f>
        <v/>
      </c>
      <c r="P1738">
        <f>IF(B1758=0,0,O1738/B1758)</f>
        <v/>
      </c>
      <c r="Q1738" t="n">
        <v>0</v>
      </c>
      <c r="R1738" t="n">
        <v>0</v>
      </c>
      <c r="S1738">
        <f>IFERROR(O1738/N1738,0)</f>
        <v/>
      </c>
      <c r="T1738" t="n">
        <v>0</v>
      </c>
      <c r="V1738" t="n">
        <v>0</v>
      </c>
    </row>
    <row r="1739">
      <c r="A1739">
        <f>Skills!A25</f>
        <v/>
      </c>
      <c r="B1739">
        <f>Skills!B25</f>
        <v/>
      </c>
      <c r="C1739">
        <f>Inputs!$B$3&gt;=45</f>
        <v/>
      </c>
      <c r="D1739">
        <f>IF(Skills!C25=1,60+Inputs!$B$25+Inputs!$B$29,IF(Skills!C25=2,90+Inputs!$B$26+Inputs!$B$29,IF(Skills!C25=3,120+Inputs!$B$27+Inputs!$B$29,MAX(0,(Inputs!$B$3-100)*3)+Inputs!$B$28+Inputs!$B$29)))</f>
        <v/>
      </c>
      <c r="E1739">
        <f>INDEX(FactorTable!$B$2:$Y$301, MATCH(ROUND(MIN(300,MAX(1,D1739)),0), FactorTable!$A$2:$A$301,0), Skills!M25+1)</f>
        <v/>
      </c>
      <c r="F1739">
        <f>IF(Skills!N25=TRUE,(Skills!L25/10)*(E1739/1000),Skills!L25/10)+Skills!O25</f>
        <v/>
      </c>
      <c r="G1739">
        <f>Calc!G25</f>
        <v/>
      </c>
      <c r="H1739">
        <f>Calc!H25</f>
        <v/>
      </c>
      <c r="I1739">
        <f>IF(Skills!AA25&lt;&gt;"",1+(Skills!AA25/10)*(U1717/1000)/100,1)</f>
        <v/>
      </c>
      <c r="J1739" t="inlineStr"/>
      <c r="K1739" t="inlineStr"/>
      <c r="L1739" t="inlineStr"/>
      <c r="M1739" t="inlineStr"/>
      <c r="N1739" t="inlineStr"/>
      <c r="O1739">
        <f>(1-Summary!$B$55)*T1739+Summary!$B$55*V1739</f>
        <v/>
      </c>
      <c r="P1739">
        <f>IF(B1758=0,0,O1739/B1758)</f>
        <v/>
      </c>
      <c r="Q1739" t="n">
        <v>0</v>
      </c>
      <c r="R1739" t="n">
        <v>0</v>
      </c>
      <c r="S1739">
        <f>IFERROR(O1739/N1739,0)</f>
        <v/>
      </c>
      <c r="T1739" t="n">
        <v>0</v>
      </c>
      <c r="V1739" t="n">
        <v>0</v>
      </c>
    </row>
    <row r="1740">
      <c r="A1740">
        <f>Skills!A26</f>
        <v/>
      </c>
      <c r="B1740">
        <f>Skills!B26</f>
        <v/>
      </c>
      <c r="C1740">
        <f>Inputs!$B$3&gt;=45</f>
        <v/>
      </c>
      <c r="D1740">
        <f>IF(Skills!C26=1,60+Inputs!$B$25+Inputs!$B$29,IF(Skills!C26=2,90+Inputs!$B$26+Inputs!$B$29,IF(Skills!C26=3,120+Inputs!$B$27+Inputs!$B$29,MAX(0,(Inputs!$B$3-100)*3)+Inputs!$B$28+Inputs!$B$29)))</f>
        <v/>
      </c>
      <c r="E1740">
        <f>INDEX(FactorTable!$B$2:$Y$301, MATCH(ROUND(MIN(300,MAX(1,D1740)),0), FactorTable!$A$2:$A$301,0), Skills!M26+1)</f>
        <v/>
      </c>
      <c r="F1740">
        <f>IF(Skills!N26=TRUE,(Skills!L26/10)*(E1740/1000),Skills!L26/10)+Skills!O26</f>
        <v/>
      </c>
      <c r="G1740">
        <f>Calc!G26</f>
        <v/>
      </c>
      <c r="H1740">
        <f>Calc!H26</f>
        <v/>
      </c>
      <c r="I1740">
        <f>IF(Skills!AA26&lt;&gt;"",1+(Skills!AA26/10)*(U1717/1000)/100,1)</f>
        <v/>
      </c>
      <c r="J1740" t="inlineStr"/>
      <c r="K1740" t="inlineStr"/>
      <c r="L1740" t="inlineStr"/>
      <c r="M1740" t="inlineStr"/>
      <c r="N1740" t="inlineStr"/>
      <c r="O1740">
        <f>(1-Summary!$B$55)*T1740+Summary!$B$55*V1740</f>
        <v/>
      </c>
      <c r="P1740">
        <f>IF(B1758=0,0,O1740/B1758)</f>
        <v/>
      </c>
      <c r="Q1740" t="n">
        <v>0</v>
      </c>
      <c r="R1740" t="n">
        <v>0</v>
      </c>
      <c r="S1740">
        <f>IFERROR(O1740/N1740,0)</f>
        <v/>
      </c>
      <c r="T1740" t="n">
        <v>0</v>
      </c>
      <c r="V1740" t="n">
        <v>0</v>
      </c>
    </row>
    <row r="1741">
      <c r="A1741">
        <f>Skills!A27</f>
        <v/>
      </c>
      <c r="B1741">
        <f>Skills!B27</f>
        <v/>
      </c>
      <c r="C1741">
        <f>Inputs!$B$3&gt;=72</f>
        <v/>
      </c>
      <c r="D1741">
        <f>IF(Skills!C27=1,60+Inputs!$B$25+Inputs!$B$29,IF(Skills!C27=2,90+Inputs!$B$26+Inputs!$B$29,IF(Skills!C27=3,120+Inputs!$B$27+Inputs!$B$29,MAX(0,(Inputs!$B$3-100)*3)+Inputs!$B$28+Inputs!$B$29)))</f>
        <v/>
      </c>
      <c r="E1741">
        <f>INDEX(FactorTable!$B$2:$Y$301, MATCH(ROUND(MIN(300,MAX(1,D1741)),0), FactorTable!$A$2:$A$301,0), Skills!M27+1)</f>
        <v/>
      </c>
      <c r="F1741">
        <f>IF(Skills!N27=TRUE,(Skills!L27/10)*(E1741/1000),Skills!L27/10)+Skills!O27</f>
        <v/>
      </c>
      <c r="G1741">
        <f>Calc!G27</f>
        <v/>
      </c>
      <c r="H1741">
        <f>Calc!H27</f>
        <v/>
      </c>
      <c r="I1741">
        <f>IF(Skills!AA27&lt;&gt;"",1+(Skills!AA27/10)*(U1717/1000)/100,1)</f>
        <v/>
      </c>
      <c r="J1741" t="inlineStr"/>
      <c r="K1741" t="inlineStr"/>
      <c r="L1741" t="inlineStr"/>
      <c r="M1741" t="inlineStr"/>
      <c r="N1741" t="inlineStr"/>
      <c r="O1741">
        <f>(1-Summary!$B$55)*T1741+Summary!$B$55*V1741</f>
        <v/>
      </c>
      <c r="P1741">
        <f>IF(B1758=0,0,O1741/B1758)</f>
        <v/>
      </c>
      <c r="Q1741" t="n">
        <v>0</v>
      </c>
      <c r="R1741" t="n">
        <v>0</v>
      </c>
      <c r="S1741">
        <f>IFERROR(O1741/N1741,0)</f>
        <v/>
      </c>
      <c r="T1741" t="n">
        <v>0</v>
      </c>
      <c r="V1741" t="n">
        <v>0</v>
      </c>
    </row>
    <row r="1742">
      <c r="A1742">
        <f>Skills!A28</f>
        <v/>
      </c>
      <c r="B1742">
        <f>Skills!B28</f>
        <v/>
      </c>
      <c r="C1742">
        <f>Inputs!$B$3&gt;=75</f>
        <v/>
      </c>
      <c r="D1742">
        <f>IF(Skills!C28=1,60+Inputs!$B$25+Inputs!$B$29,IF(Skills!C28=2,90+Inputs!$B$26+Inputs!$B$29,IF(Skills!C28=3,120+Inputs!$B$27+Inputs!$B$29,MAX(0,(Inputs!$B$3-100)*3)+Inputs!$B$28+Inputs!$B$29)))</f>
        <v/>
      </c>
      <c r="E1742">
        <f>INDEX(FactorTable!$B$2:$Y$301, MATCH(ROUND(MIN(300,MAX(1,D1742)),0), FactorTable!$A$2:$A$301,0), Skills!M28+1)</f>
        <v/>
      </c>
      <c r="F1742">
        <f>IF(Skills!N28=TRUE,(Skills!L28/10)*(E1742/1000),Skills!L28/10)+Skills!O28</f>
        <v/>
      </c>
      <c r="G1742">
        <f>Calc!G28</f>
        <v/>
      </c>
      <c r="H1742">
        <f>Calc!H28</f>
        <v/>
      </c>
      <c r="I1742">
        <f>IF(Skills!AA28&lt;&gt;"",1+(Skills!AA28/10)*(U1717/1000)/100,1)</f>
        <v/>
      </c>
      <c r="J1742" t="inlineStr"/>
      <c r="K1742" t="inlineStr"/>
      <c r="L1742" t="inlineStr"/>
      <c r="M1742" t="inlineStr"/>
      <c r="N1742" t="inlineStr"/>
      <c r="O1742">
        <f>(1-Summary!$B$55)*T1742+Summary!$B$55*V1742</f>
        <v/>
      </c>
      <c r="P1742">
        <f>IF(B1758=0,0,O1742/B1758)</f>
        <v/>
      </c>
      <c r="Q1742" t="n">
        <v>0</v>
      </c>
      <c r="R1742" t="n">
        <v>0</v>
      </c>
      <c r="S1742">
        <f>IFERROR(O1742/N1742,0)</f>
        <v/>
      </c>
      <c r="T1742" t="n">
        <v>0</v>
      </c>
      <c r="V1742" t="n">
        <v>0</v>
      </c>
    </row>
    <row r="1743">
      <c r="A1743">
        <f>Skills!A29</f>
        <v/>
      </c>
      <c r="B1743">
        <f>Skills!B29</f>
        <v/>
      </c>
      <c r="C1743">
        <f>Inputs!$B$3&gt;=120</f>
        <v/>
      </c>
      <c r="D1743">
        <f>IF(Skills!C29=1,60+Inputs!$B$25+Inputs!$B$29,IF(Skills!C29=2,90+Inputs!$B$26+Inputs!$B$29,IF(Skills!C29=3,120+Inputs!$B$27+Inputs!$B$29,MAX(0,(Inputs!$B$3-100)*3)+Inputs!$B$28+Inputs!$B$29)))</f>
        <v/>
      </c>
      <c r="E1743">
        <f>INDEX(FactorTable!$B$2:$Y$301, MATCH(ROUND(MIN(300,MAX(1,D1743)),0), FactorTable!$A$2:$A$301,0), Skills!M29+1)</f>
        <v/>
      </c>
      <c r="F1743">
        <f>IF(Skills!N29=TRUE,(Skills!L29/10)*(E1743/1000),Skills!L29/10)+Skills!O29</f>
        <v/>
      </c>
      <c r="G1743">
        <f>Calc!G29</f>
        <v/>
      </c>
      <c r="H1743">
        <f>Calc!H29</f>
        <v/>
      </c>
      <c r="I1743">
        <f>IF(Skills!AA29&lt;&gt;"",1+(Skills!AA29/10)*(U1717/1000)/100,1)</f>
        <v/>
      </c>
      <c r="J1743" t="inlineStr"/>
      <c r="K1743" t="inlineStr"/>
      <c r="L1743" t="inlineStr"/>
      <c r="M1743" t="inlineStr"/>
      <c r="N1743" t="inlineStr"/>
      <c r="O1743">
        <f>(1-Summary!$B$55)*T1743+Summary!$B$55*V1743</f>
        <v/>
      </c>
      <c r="P1743">
        <f>IF(B1758=0,0,O1743/B1758)</f>
        <v/>
      </c>
      <c r="Q1743" t="n">
        <v>0</v>
      </c>
      <c r="R1743" t="n">
        <v>0</v>
      </c>
      <c r="S1743">
        <f>IFERROR(O1743/N1743,0)</f>
        <v/>
      </c>
      <c r="T1743" t="n">
        <v>0</v>
      </c>
      <c r="V1743" t="n">
        <v>0</v>
      </c>
    </row>
    <row r="1744">
      <c r="A1744">
        <f>Skills!A30</f>
        <v/>
      </c>
      <c r="B1744">
        <f>Skills!B30</f>
        <v/>
      </c>
      <c r="C1744">
        <f>Inputs!$B$3&gt;=125</f>
        <v/>
      </c>
      <c r="D1744">
        <f>IF(Skills!C30=1,60+Inputs!$B$25+Inputs!$B$29,IF(Skills!C30=2,90+Inputs!$B$26+Inputs!$B$29,IF(Skills!C30=3,120+Inputs!$B$27+Inputs!$B$29,MAX(0,(Inputs!$B$3-100)*3)+Inputs!$B$28+Inputs!$B$29)))</f>
        <v/>
      </c>
      <c r="E1744">
        <f>INDEX(FactorTable!$B$2:$Y$301, MATCH(ROUND(MIN(300,MAX(1,D1744)),0), FactorTable!$A$2:$A$301,0), Skills!M30+1)</f>
        <v/>
      </c>
      <c r="F1744">
        <f>IF(Skills!N30=TRUE,(Skills!L30/10)*(E1744/1000),Skills!L30/10)+Skills!O30</f>
        <v/>
      </c>
      <c r="G1744">
        <f>Calc!G30</f>
        <v/>
      </c>
      <c r="H1744">
        <f>Calc!H30</f>
        <v/>
      </c>
      <c r="I1744">
        <f>IF(Skills!AA30&lt;&gt;"",1+(Skills!AA30/10)*(U1717/1000)/100,1)</f>
        <v/>
      </c>
      <c r="J1744" t="inlineStr"/>
      <c r="K1744" t="inlineStr"/>
      <c r="L1744" t="inlineStr"/>
      <c r="M1744" t="inlineStr"/>
      <c r="N1744" t="inlineStr"/>
      <c r="O1744">
        <f>(1-Summary!$B$55)*T1744+Summary!$B$55*V1744</f>
        <v/>
      </c>
      <c r="P1744">
        <f>IF(B1758=0,0,O1744/B1758)</f>
        <v/>
      </c>
      <c r="Q1744" t="n">
        <v>0</v>
      </c>
      <c r="R1744" t="n">
        <v>0</v>
      </c>
      <c r="S1744">
        <f>IFERROR(O1744/N1744,0)</f>
        <v/>
      </c>
      <c r="T1744" t="n">
        <v>0</v>
      </c>
      <c r="V1744" t="n">
        <v>0</v>
      </c>
    </row>
    <row r="1745">
      <c r="A1745">
        <f>Skills!A31</f>
        <v/>
      </c>
      <c r="B1745">
        <f>Skills!B31</f>
        <v/>
      </c>
      <c r="C1745">
        <f>Inputs!$B$3&gt;=107</f>
        <v/>
      </c>
      <c r="D1745">
        <f>IF(Skills!C31=1,60+Inputs!$B$25+Inputs!$B$29,IF(Skills!C31=2,90+Inputs!$B$26+Inputs!$B$29,IF(Skills!C31=3,120+Inputs!$B$27+Inputs!$B$29,MAX(0,(Inputs!$B$3-100)*3)+Inputs!$B$28+Inputs!$B$29)))</f>
        <v/>
      </c>
      <c r="E1745">
        <f>INDEX(FactorTable!$B$2:$Y$301, MATCH(ROUND(MIN(300,MAX(1,D1745)),0), FactorTable!$A$2:$A$301,0), Skills!M31+1)</f>
        <v/>
      </c>
      <c r="F1745">
        <f>IF(Skills!N31=TRUE,(Skills!L31/10)*(E1745/1000),Skills!L31/10)+Skills!O31</f>
        <v/>
      </c>
      <c r="G1745">
        <f>Calc!G31</f>
        <v/>
      </c>
      <c r="H1745">
        <f>Calc!H31</f>
        <v/>
      </c>
      <c r="I1745">
        <f>IF(Skills!AA31&lt;&gt;"",1+(Skills!AA31/10)*(U1717/1000)/100,1)</f>
        <v/>
      </c>
      <c r="J1745" t="inlineStr"/>
      <c r="K1745" t="inlineStr"/>
      <c r="L1745" t="inlineStr"/>
      <c r="M1745" t="inlineStr"/>
      <c r="N1745" t="inlineStr"/>
      <c r="O1745">
        <f>(1-Summary!$B$55)*T1745+Summary!$B$55*V1745</f>
        <v/>
      </c>
      <c r="P1745">
        <f>IF(B1758=0,0,O1745/B1758)</f>
        <v/>
      </c>
      <c r="Q1745" t="n">
        <v>0</v>
      </c>
      <c r="R1745" t="n">
        <v>0</v>
      </c>
      <c r="S1745">
        <f>IFERROR(O1745/N1745,0)</f>
        <v/>
      </c>
      <c r="T1745" t="n">
        <v>0</v>
      </c>
      <c r="V1745" t="n">
        <v>0</v>
      </c>
    </row>
    <row r="1747">
      <c r="A1747" t="inlineStr">
        <is>
          <t>Actions Per Second (pre-Adrenalin)</t>
        </is>
      </c>
      <c r="B1747">
        <f>1+MIN(150,150*(1-(1-(Inputs!$B$11+((C1736=TRUE)*(F1736-Calc!F22)))/150)*(1-((C1733=TRUE)*F1733*IF(AND(Inputs!$B$39&lt;&gt;"pvp",Inputs!$B$44&gt;0),(((R1733-1)*(Skills!Y19*(1+Inputs!$B$34/100))+MIN((Skills!Y19*(1+Inputs!$B$34/100)),MAX(0,Inputs!$B$44-((R1733-1)*Skills!D19))))/Inputs!$B$44),IF(Inputs!$B$39="pvp",MIN((Skills!Y19*(1+Inputs!$B$34/100)),15)/15,(Skills!Y19*(1+Inputs!$B$34/100))/Skills!D19)))/150)))/100</f>
        <v/>
      </c>
    </row>
    <row r="1748">
      <c r="A1748" t="inlineStr">
        <is>
          <t>Alchemic Adrenaline Uptime</t>
        </is>
      </c>
      <c r="B1748">
        <f>(Skills!Y6*(1+Inputs!$B$34/100))/((Skills!Y6*(1+Inputs!$B$34/100))+(5/B1747))</f>
        <v/>
      </c>
    </row>
    <row r="1749">
      <c r="A1749" t="inlineStr">
        <is>
          <t>Attack Speed Buff Bonus %</t>
        </is>
      </c>
      <c r="B1749">
        <f>((C1733=TRUE)*F1733*IF(AND(Inputs!$B$39&lt;&gt;"pvp",Inputs!$B$44&gt;0),(((R1733-1)*(Skills!Y19*(1+Inputs!$B$34/100))+MIN((Skills!Y19*(1+Inputs!$B$34/100)),MAX(0,Inputs!$B$44-((R1733-1)*Skills!D19))))/Inputs!$B$44),IF(Inputs!$B$39="pvp",MIN((Skills!Y19*(1+Inputs!$B$34/100)),15)/15,(Skills!Y19*(1+Inputs!$B$34/100))/Skills!D19)))+((C1721=TRUE)*F1721*B1748)</f>
        <v/>
      </c>
    </row>
    <row r="1750">
      <c r="A1750" t="inlineStr">
        <is>
          <t>Actions Per Second (final)</t>
        </is>
      </c>
      <c r="B1750">
        <f>1+MIN(150,150*(1-(1-(Inputs!$B$11+((C1736=TRUE)*(F1736-Calc!F22)))/150)*(1-B1749/150)))/100</f>
        <v/>
      </c>
    </row>
    <row r="1751">
      <c r="A1751" t="inlineStr">
        <is>
          <t>Skill + Buff Cast Rate</t>
        </is>
      </c>
      <c r="B1751">
        <f>IF(AND(Inputs!$B$39&lt;&gt;"pvp",Inputs!$B$44&gt;0),SUMPRODUCT((Skills!E2:E31=TRUE)*(C1716:C1745=TRUE)*R1716:R1745*Skills!F2:F31)/Inputs!$B$44,SUMPRODUCT((Skills!E2:E31=TRUE)*(C1716:C1745=TRUE)*Q1716:Q1745*Skills!F2:F31))</f>
        <v/>
      </c>
    </row>
    <row r="1752">
      <c r="A1752" t="inlineStr">
        <is>
          <t>Showdown Casts Per Second</t>
        </is>
      </c>
      <c r="B1752">
        <f>MAX(0,B1750-B1751)</f>
        <v/>
      </c>
    </row>
    <row r="1753">
      <c r="A1753" t="inlineStr">
        <is>
          <t>Average Buff Multiplier</t>
        </is>
      </c>
      <c r="B1753">
        <f>(1+(((C1735=TRUE)*F1735*IF(AND(Inputs!$B$39&lt;&gt;"pvp",Inputs!$B$44&gt;0),(((R1735-1)*(Skills!Y21*(1+Inputs!$B$34/100))+MIN((Skills!Y21*(1+Inputs!$B$34/100)),MAX(0,Inputs!$B$44-((R1735-1)*Skills!D21))))/Inputs!$B$44),IF(Inputs!$B$39="pvp",MIN((Skills!Y21*(1+Inputs!$B$34/100)),15)/15,(Skills!Y21*(1+Inputs!$B$34/100))/Skills!D21)))+((C1742=TRUE)*(F1742-Calc!F28))+((C1732=TRUE)*(F1732-Calc!F18)))/100)*(1+((C1729=TRUE)*F1729*IF(AND(Inputs!$B$39&lt;&gt;"pvp",Inputs!$B$44&gt;0),(((R1729-1)*(Skills!Y15*(1+Inputs!$B$34/100))+MIN((Skills!Y15*(1+Inputs!$B$34/100)),MAX(0,Inputs!$B$44-((R1729-1)*Skills!D15))))/Inputs!$B$44),IF(Inputs!$B$39="pvp",MIN((Skills!Y15*(1+Inputs!$B$34/100)),15)/15,(Skills!Y15*(1+Inputs!$B$34/100))/Skills!D15)))/100)*(1+((C1720=TRUE)*F1720*B1748)/100)</f>
        <v/>
      </c>
    </row>
    <row r="1754">
      <c r="A1754" t="inlineStr">
        <is>
          <t>Global Crit Rate Bonus %</t>
        </is>
      </c>
      <c r="B1754">
        <f>IF(Inputs!$B$3&gt;=47,8,0)+((C1734=TRUE)*F1734*IF(AND(Inputs!$B$39&lt;&gt;"pvp",Inputs!$B$44&gt;0),(((R1734-1)*(Skills!Y20*(1+Inputs!$B$34/100))+MIN((Skills!Y20*(1+Inputs!$B$34/100)),MAX(0,Inputs!$B$44-((R1734-1)*Skills!D20))))/Inputs!$B$44),IF(Inputs!$B$39="pvp",MIN((Skills!Y20*(1+Inputs!$B$34/100)),15)/15,(Skills!Y20*(1+Inputs!$B$34/100))/Skills!D20)))</f>
        <v/>
      </c>
    </row>
    <row r="1755">
      <c r="A1755" t="inlineStr">
        <is>
          <t>Global Monster Damage-Taken Bonus %</t>
        </is>
      </c>
      <c r="B1755">
        <f>IF(Inputs!$B$3&gt;=82,15,0)+((C1730=TRUE)*F1730*IF(AND(Inputs!$B$39&lt;&gt;"pvp",Inputs!$B$44&gt;0),(((R1730-1)*(Skills!Y16*(1+Inputs!$B$34/100))+MIN((Skills!Y16*(1+Inputs!$B$34/100)),MAX(0,Inputs!$B$44-((R1730-1)*Skills!D16))))/Inputs!$B$44),IF(Inputs!$B$39="pvp",MIN((Skills!Y16*(1+Inputs!$B$34/100)),15)/15,(Skills!Y16*(1+Inputs!$B$34/100))/Skills!D16)))</f>
        <v/>
      </c>
    </row>
    <row r="1756">
      <c r="A1756" t="inlineStr">
        <is>
          <t>Shadow Partner Average Multiplier</t>
        </is>
      </c>
      <c r="B1756">
        <f>1+((C1725=TRUE)*F1725*I1725*Skills!J11/100)/100</f>
        <v/>
      </c>
    </row>
    <row r="1757">
      <c r="A1757" t="inlineStr">
        <is>
          <t>Global Critical Damage Bonus % (Frailty Curse Mastery Lv.111)</t>
        </is>
      </c>
      <c r="B1757">
        <f>IF(Inputs!$B$3&gt;=111,30,0)*IF(AND(Inputs!$B$39&lt;&gt;"pvp",Inputs!$B$44&gt;0),(((R1730-1)*(Skills!Y16*(1+Inputs!$B$34/100))+MIN((Skills!Y16*(1+Inputs!$B$34/100)),MAX(0,Inputs!$B$44-((R1730-1)*Skills!D16))))/Inputs!$B$44),IF(Inputs!$B$39="pvp",MIN((Skills!Y16*(1+Inputs!$B$34/100)),15)/15,(Skills!Y16*(1+Inputs!$B$34/100))/Skills!D16))</f>
        <v/>
      </c>
    </row>
    <row r="1758">
      <c r="A1758" s="5" t="inlineStr">
        <is>
          <t>TOTAL DPS</t>
        </is>
      </c>
      <c r="B1758" s="5">
        <f>SUM(O1716:O1745)</f>
        <v/>
      </c>
    </row>
    <row r="1759">
      <c r="A1759" t="inlineStr">
        <is>
          <t>Buff-Casting Startup Delay (s, fixed-duration only)</t>
        </is>
      </c>
      <c r="B1759">
        <f>IF(AND(Inputs!$B$39&lt;&gt;"pvp",Inputs!$B$44&gt;0),SUMPRODUCT((Skills!Y2:Y31&gt;0)*(Skills!E2:E31=TRUE)*(C1716:C1745=TRUE))/B1750,0)</f>
        <v/>
      </c>
    </row>
    <row r="1760">
      <c r="A1760" t="inlineStr">
        <is>
          <t>Boss-Only Total DPS (this block's swept value)</t>
        </is>
      </c>
      <c r="B1760">
        <f>SUM(T1716:T1745)</f>
        <v/>
      </c>
    </row>
    <row r="1761">
      <c r="A1761" t="inlineStr">
        <is>
          <t>Normal-Only Total DPS (this block's swept value)</t>
        </is>
      </c>
      <c r="B1761">
        <f>SUM(V1716:V1745)</f>
        <v/>
      </c>
    </row>
    <row r="1763">
      <c r="A1763" s="5" t="inlineStr">
        <is>
          <t>Stat: CDR = 4.5s</t>
        </is>
      </c>
    </row>
    <row r="1764">
      <c r="A1764" s="9" t="inlineStr">
        <is>
          <t>Key</t>
        </is>
      </c>
      <c r="B1764" s="9" t="inlineStr">
        <is>
          <t>Name</t>
        </is>
      </c>
      <c r="C1764" s="9" t="inlineStr">
        <is>
          <t>Unlocked</t>
        </is>
      </c>
      <c r="D1764" s="9" t="inlineStr">
        <is>
          <t>InputLevel</t>
        </is>
      </c>
      <c r="E1764" s="9" t="inlineStr">
        <is>
          <t>Factor</t>
        </is>
      </c>
      <c r="F1764" s="9" t="inlineStr">
        <is>
          <t>CoefficientPercent</t>
        </is>
      </c>
      <c r="G1764" s="9" t="inlineStr">
        <is>
          <t>EffectiveHits</t>
        </is>
      </c>
      <c r="H1764" s="9" t="inlineStr">
        <is>
          <t>ProcProbability</t>
        </is>
      </c>
      <c r="I1764" s="9" t="inlineStr">
        <is>
          <t>MapleHeroMultiplier</t>
        </is>
      </c>
      <c r="J1764" s="9" t="inlineStr">
        <is>
          <t>BaseDamage</t>
        </is>
      </c>
      <c r="K1764" s="9" t="inlineStr">
        <is>
          <t>BaseHitDamage</t>
        </is>
      </c>
      <c r="L1764" s="9" t="inlineStr">
        <is>
          <t>NonCritAvg</t>
        </is>
      </c>
      <c r="M1764" s="9" t="inlineStr">
        <is>
          <t>CritAvg</t>
        </is>
      </c>
      <c r="N1764" s="9" t="inlineStr">
        <is>
          <t>ExpectedDamage(perHit)</t>
        </is>
      </c>
      <c r="O1764" s="9" t="inlineStr">
        <is>
          <t>DPS</t>
        </is>
      </c>
      <c r="P1764" s="9" t="inlineStr">
        <is>
          <t>% of Total</t>
        </is>
      </c>
      <c r="Q1764" s="9" t="inlineStr">
        <is>
          <t>InvCooldown</t>
        </is>
      </c>
      <c r="R1764" s="9" t="inlineStr">
        <is>
          <t>CastsInFight</t>
        </is>
      </c>
      <c r="S1764" s="9" t="inlineStr">
        <is>
          <t>HitRate(perSec)</t>
        </is>
      </c>
      <c r="U1764" t="inlineStr">
        <is>
          <t>helpers</t>
        </is>
      </c>
    </row>
    <row r="1765">
      <c r="A1765">
        <f>Skills!A2</f>
        <v/>
      </c>
      <c r="B1765">
        <f>Skills!B2</f>
        <v/>
      </c>
      <c r="C1765">
        <f>Inputs!$B$3&gt;=100</f>
        <v/>
      </c>
      <c r="D1765" t="inlineStr"/>
      <c r="E1765" t="inlineStr"/>
      <c r="F1765">
        <f>U1769+Skills!O2</f>
        <v/>
      </c>
      <c r="G1765">
        <f>Calc!G2</f>
        <v/>
      </c>
      <c r="H1765">
        <f>Calc!H2</f>
        <v/>
      </c>
      <c r="I1765">
        <f>IF(Skills!AA2&lt;&gt;"",1+(Skills!AA2/10)*(U1766/1000)/100,1)</f>
        <v/>
      </c>
      <c r="J1765">
        <f>((Inputs!$B$6*(1+Inputs!$B$7/100))+(((Inputs!$B$12*(1+Inputs!$B$13/100))-(Inputs!$B$12*(1+Inputs!$B$13/100)))+0.25*(Inputs!$B$14-Inputs!$B$14))*(1+Inputs!$B$7/100))*(F1765/100)</f>
        <v/>
      </c>
      <c r="K1765">
        <f>J1765*(1+((Inputs!$B$12*(1+Inputs!$B$13/100))*0.01+Inputs!$B$14*0.0025)/100)*(1+Inputs!$B$15/100)*(1+Inputs!$B$16/100)*(5000/(6000+Inputs!$B$43*(1-Inputs!$B$19/100)))*(1+(Inputs!$B$24+((C1793=TRUE)*(F1793-Calc!F30)))/100)*(1+Skills!R2/100)*(1+(IF(Skills!A2="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1765)</f>
        <v/>
      </c>
      <c r="L1765">
        <f>K1765*(MIN(Inputs!$B$22+((C1787=TRUE)*(F1787-Calc!F24)),Inputs!$B$23)/100+Inputs!$B$23/100)/2</f>
        <v/>
      </c>
      <c r="M1765">
        <f>L1765*(1+(Inputs!$B$10+((C1789=TRUE)*(F1789-Calc!F26))+B1806)/100)</f>
        <v/>
      </c>
      <c r="N1765">
        <f>L1765*(1-MIN((Inputs!$B$9+((C1788=TRUE)*(F1788-Calc!F25))+B1803),100)/100)+M1765*(MIN((Inputs!$B$9+((C1788=TRUE)*(F1788-Calc!F25))+B1803),100)/100)</f>
        <v/>
      </c>
      <c r="O1765">
        <f>(1-Summary!$B$55)*T1765+Summary!$B$55*V1765</f>
        <v/>
      </c>
      <c r="P1765">
        <f>IF(B1807=0,0,O1765/B1807)</f>
        <v/>
      </c>
      <c r="Q1765" t="n">
        <v>0</v>
      </c>
      <c r="R1765" t="n">
        <v>0</v>
      </c>
      <c r="S1765">
        <f>IFERROR(O1765/N1765,0)</f>
        <v/>
      </c>
      <c r="T1765">
        <f>IF(C1765,(Skills!G2*N1765*B1801)*IF(Inputs!$B$39="pvp",1,1+(Inputs!$B$20+((C1790=TRUE)*(F1790-Calc!F27))+Skills!P2+B1804)/100),0)</f>
        <v/>
      </c>
      <c r="U1765">
        <f>MAX(0,(Inputs!$B$3-100)*3)+Inputs!$B$28+Inputs!$B$29</f>
        <v/>
      </c>
      <c r="V1765">
        <f>IF(C1765,(Skills!G2*N1765*B1801)*IF(Inputs!$B$39="pvp",1,(1+(Inputs!$B$21+Skills!Q2+B1804)/100)*(MIN((6+Inputs!$B$33),Inputs!$B$37))),0)</f>
        <v/>
      </c>
    </row>
    <row r="1766">
      <c r="A1766">
        <f>Skills!A3</f>
        <v/>
      </c>
      <c r="B1766">
        <f>Skills!B3</f>
        <v/>
      </c>
      <c r="C1766">
        <f>Inputs!$B$3&gt;=35</f>
        <v/>
      </c>
      <c r="D1766">
        <f>IF(Skills!C3=1,60+Inputs!$B$25+Inputs!$B$29,IF(Skills!C3=2,90+Inputs!$B$26+Inputs!$B$29,IF(Skills!C3=3,120+Inputs!$B$27+Inputs!$B$29,MAX(0,(Inputs!$B$3-100)*3)+Inputs!$B$28+Inputs!$B$29)))</f>
        <v/>
      </c>
      <c r="E1766">
        <f>INDEX(FactorTable!$B$2:$Y$301, MATCH(ROUND(MIN(300,MAX(1,D1766)),0), FactorTable!$A$2:$A$301,0), Skills!M3+1)</f>
        <v/>
      </c>
      <c r="F1766">
        <f>IF(Skills!N3=TRUE,(Skills!L3/10)*(E1766/1000),Skills!L3/10)+Skills!O3</f>
        <v/>
      </c>
      <c r="G1766">
        <f>Calc!G3</f>
        <v/>
      </c>
      <c r="H1766">
        <f>Calc!H3</f>
        <v/>
      </c>
      <c r="I1766">
        <f>IF(Skills!AA3&lt;&gt;"",1+(Skills!AA3/10)*(U1766/1000)/100,1)</f>
        <v/>
      </c>
      <c r="J1766">
        <f>((Inputs!$B$6*(1+Inputs!$B$7/100))+(((Inputs!$B$12*(1+Inputs!$B$13/100))-(Inputs!$B$12*(1+Inputs!$B$13/100)))+0.25*(Inputs!$B$14-Inputs!$B$14))*(1+Inputs!$B$7/100))*(F1766/100)</f>
        <v/>
      </c>
      <c r="K1766">
        <f>J1766*(1+((Inputs!$B$12*(1+Inputs!$B$13/100))*0.01+Inputs!$B$14*0.0025)/100)*(1+Inputs!$B$15/100)*(1+Inputs!$B$16/100)*(5000/(6000+Inputs!$B$43*(1-Inputs!$B$19/100)))*(1+(Inputs!$B$24+((C1793=TRUE)*(F1793-Calc!F30)))/100)*(1+Skills!R3/100)*(1+(IF(Skills!A3="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1766)</f>
        <v/>
      </c>
      <c r="L1766">
        <f>K1766*(MIN(Inputs!$B$22+((C1787=TRUE)*(F1787-Calc!F24)),Inputs!$B$23)/100+Inputs!$B$23/100)/2</f>
        <v/>
      </c>
      <c r="M1766">
        <f>L1766*(1+(Inputs!$B$10+((C1789=TRUE)*(F1789-Calc!F26))+B1806)/100)</f>
        <v/>
      </c>
      <c r="N1766">
        <f>L1766*(1-MIN((Inputs!$B$9+((C1788=TRUE)*(F1788-Calc!F25))+B1803),100)/100)+M1766*(MIN((Inputs!$B$9+((C1788=TRUE)*(F1788-Calc!F25))+B1803),100)/100)</f>
        <v/>
      </c>
      <c r="O1766">
        <f>(1-Summary!$B$55)*T1766+Summary!$B$55*V1766</f>
        <v/>
      </c>
      <c r="P1766">
        <f>IF(B1807=0,0,O1766/B1807)</f>
        <v/>
      </c>
      <c r="Q1766">
        <f>IFERROR(1/IF(Inputs!$B$39="pvp",15,MAX(0.1,Skills!D3-IF(Skills!E3=TRUE,4.5,0))),0)</f>
        <v/>
      </c>
      <c r="R1766">
        <f>IF(AND(Inputs!$B$39&lt;&gt;"pvp",Inputs!$B$44&gt;0),IF(MAX(0,Inputs!$B$44-B1808)&lt;=0,0,(INT(MAX(0,Inputs!$B$44-B1808)/IF(Inputs!$B$39="pvp",15,MAX(0.1,Skills!D3-IF(Skills!E3=TRUE,4.5,0))))+1)),0)</f>
        <v/>
      </c>
      <c r="S1766">
        <f>IFERROR(O1766/N1766,0)</f>
        <v/>
      </c>
      <c r="T1766">
        <f>IF(C1766,(H1766*N1766*IF(AND(Inputs!$B$39&lt;&gt;"pvp",Inputs!$B$44&gt;0),((Skills!G3*((R1766-1)*IF(Skills!H3&gt;0,Skills!I3/Skills!H3,1)+IF(Skills!H3&gt;0,MIN(Skills!I3,MAX(0,MAX(0,Inputs!$B$44-B1808)-((R1766-1)*IF(Inputs!$B$39="pvp",15,MAX(0.1,Skills!D3-IF(Skills!E3=TRUE,4.5,0))))))/Skills!H3,1)))/Inputs!$B$44),G1766*Q1766))*IF(Inputs!$B$39="pvp",1,1+(Inputs!$B$20+((C1790=TRUE)*(F1790-Calc!F27))+Skills!P3+B1804)/100),0)</f>
        <v/>
      </c>
      <c r="U1766">
        <f>INDEX(FactorTable!$B$2:$Y$301, MATCH(ROUND(MIN(300,MAX(1,U1765)),0), FactorTable!$A$2:$A$301,0), 24)</f>
        <v/>
      </c>
      <c r="V1766">
        <f>IF(C1766,(H1766*N1766*IF(AND(Inputs!$B$39&lt;&gt;"pvp",Inputs!$B$44&gt;0),((Skills!G3*((R1766-1)*IF(Skills!H3&gt;0,Skills!I3/Skills!H3,1)+IF(Skills!H3&gt;0,MIN(Skills!I3,MAX(0,MAX(0,Inputs!$B$44-B1808)-((R1766-1)*IF(Inputs!$B$39="pvp",15,MAX(0.1,Skills!D3-IF(Skills!E3=TRUE,4.5,0))))))/Skills!H3,1)))/Inputs!$B$44),G1766*Q1766))*IF(Inputs!$B$39="pvp",1,(1+(Inputs!$B$21+Skills!Q3+B1804)/100)*(MIN(Skills!W3,Inputs!$B$37))),0)</f>
        <v/>
      </c>
    </row>
    <row r="1767">
      <c r="A1767">
        <f>Skills!A4</f>
        <v/>
      </c>
      <c r="B1767">
        <f>Skills!B4</f>
        <v/>
      </c>
      <c r="C1767">
        <f>Inputs!$B$3&gt;=40</f>
        <v/>
      </c>
      <c r="D1767">
        <f>IF(Skills!C4=1,60+Inputs!$B$25+Inputs!$B$29,IF(Skills!C4=2,90+Inputs!$B$26+Inputs!$B$29,IF(Skills!C4=3,120+Inputs!$B$27+Inputs!$B$29,MAX(0,(Inputs!$B$3-100)*3)+Inputs!$B$28+Inputs!$B$29)))</f>
        <v/>
      </c>
      <c r="E1767">
        <f>INDEX(FactorTable!$B$2:$Y$301, MATCH(ROUND(MIN(300,MAX(1,D1767)),0), FactorTable!$A$2:$A$301,0), Skills!M4+1)</f>
        <v/>
      </c>
      <c r="F1767">
        <f>IF(Skills!N4=TRUE,(Skills!L4/10)*(E1767/1000),Skills!L4/10)+Skills!O4</f>
        <v/>
      </c>
      <c r="G1767">
        <f>Calc!G4</f>
        <v/>
      </c>
      <c r="H1767">
        <f>Calc!H4</f>
        <v/>
      </c>
      <c r="I1767">
        <f>IF(Skills!AA4&lt;&gt;"",1+(Skills!AA4/10)*(U1766/1000)/100,1)</f>
        <v/>
      </c>
      <c r="J1767">
        <f>((Inputs!$B$6*(1+Inputs!$B$7/100))+(((Inputs!$B$12*(1+Inputs!$B$13/100))-(Inputs!$B$12*(1+Inputs!$B$13/100)))+0.25*(Inputs!$B$14-Inputs!$B$14))*(1+Inputs!$B$7/100))*(F1767/100)</f>
        <v/>
      </c>
      <c r="K1767">
        <f>J1767*(1+((Inputs!$B$12*(1+Inputs!$B$13/100))*0.01+Inputs!$B$14*0.0025)/100)*(1+Inputs!$B$15/100)*(1+Inputs!$B$16/100)*(5000/(6000+Inputs!$B$43*(1-Inputs!$B$19/100)))*(1+(Inputs!$B$24+((C1793=TRUE)*(F1793-Calc!F30)))/100)*(1+Skills!R4/100)*(1+(IF(Skills!A4="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1767)</f>
        <v/>
      </c>
      <c r="L1767">
        <f>K1767*(MIN(Inputs!$B$22+((C1787=TRUE)*(F1787-Calc!F24)),Inputs!$B$23)/100+Inputs!$B$23/100)/2</f>
        <v/>
      </c>
      <c r="M1767">
        <f>L1767*(1+(Inputs!$B$10+((C1789=TRUE)*(F1789-Calc!F26))+B1806)/100)</f>
        <v/>
      </c>
      <c r="N1767">
        <f>L1767*(1-MIN((Inputs!$B$9+((C1788=TRUE)*(F1788-Calc!F25))+B1803),100)/100)+M1767*(MIN((Inputs!$B$9+((C1788=TRUE)*(F1788-Calc!F25))+B1803),100)/100)</f>
        <v/>
      </c>
      <c r="O1767">
        <f>(1-Summary!$B$55)*T1767+Summary!$B$55*V1767</f>
        <v/>
      </c>
      <c r="P1767">
        <f>IF(B1807=0,0,O1767/B1807)</f>
        <v/>
      </c>
      <c r="Q1767">
        <f>IFERROR(1/IF(Inputs!$B$39="pvp",15,MAX(0.1,Skills!D4-IF(Skills!E4=TRUE,4.5,0))),0)</f>
        <v/>
      </c>
      <c r="R1767">
        <f>IF(AND(Inputs!$B$39&lt;&gt;"pvp",Inputs!$B$44&gt;0),IF(MAX(0,Inputs!$B$44-B1808)&lt;=0,0,(INT(MAX(0,Inputs!$B$44-B1808)/IF(Inputs!$B$39="pvp",15,MAX(0.1,Skills!D4-IF(Skills!E4=TRUE,4.5,0))))+1)),0)</f>
        <v/>
      </c>
      <c r="S1767">
        <f>IFERROR(O1767/N1767,0)</f>
        <v/>
      </c>
      <c r="T1767">
        <f>IF(C1767,(H1767*N1767*IF(AND(Inputs!$B$39&lt;&gt;"pvp",Inputs!$B$44&gt;0),((Skills!G4*((R1767-1)*IF(Skills!H4&gt;0,Skills!I4/Skills!H4,1)+IF(Skills!H4&gt;0,MIN(Skills!I4,MAX(0,MAX(0,Inputs!$B$44-B1808)-((R1767-1)*IF(Inputs!$B$39="pvp",15,MAX(0.1,Skills!D4-IF(Skills!E4=TRUE,4.5,0))))))/Skills!H4,1)))/Inputs!$B$44),G1767*Q1767))*IF(Inputs!$B$39="pvp",1,1+(Inputs!$B$20+((C1790=TRUE)*(F1790-Calc!F27))+Skills!P4+B1804)/100),0)</f>
        <v/>
      </c>
      <c r="U1767">
        <f>MAX(0,(Inputs!$B$3-100)*3)+Inputs!$B$28+Inputs!$B$29</f>
        <v/>
      </c>
      <c r="V1767">
        <f>IF(C1767,(H1767*N1767*IF(AND(Inputs!$B$39&lt;&gt;"pvp",Inputs!$B$44&gt;0),((Skills!G4*((R1767-1)*IF(Skills!H4&gt;0,Skills!I4/Skills!H4,1)+IF(Skills!H4&gt;0,MIN(Skills!I4,MAX(0,MAX(0,Inputs!$B$44-B1808)-((R1767-1)*IF(Inputs!$B$39="pvp",15,MAX(0.1,Skills!D4-IF(Skills!E4=TRUE,4.5,0))))))/Skills!H4,1)))/Inputs!$B$44),G1767*Q1767))*IF(Inputs!$B$39="pvp",1,(1+(Inputs!$B$21+Skills!Q4+B1804)/100)*(MIN(Skills!W4,Inputs!$B$37))),0)</f>
        <v/>
      </c>
    </row>
    <row r="1768">
      <c r="A1768">
        <f>Skills!A5</f>
        <v/>
      </c>
      <c r="B1768">
        <f>Skills!B5</f>
        <v/>
      </c>
      <c r="C1768">
        <f>Inputs!$B$3&gt;=63</f>
        <v/>
      </c>
      <c r="D1768">
        <f>IF(Skills!C5=1,60+Inputs!$B$25+Inputs!$B$29,IF(Skills!C5=2,90+Inputs!$B$26+Inputs!$B$29,IF(Skills!C5=3,120+Inputs!$B$27+Inputs!$B$29,MAX(0,(Inputs!$B$3-100)*3)+Inputs!$B$28+Inputs!$B$29)))</f>
        <v/>
      </c>
      <c r="E1768">
        <f>INDEX(FactorTable!$B$2:$Y$301, MATCH(ROUND(MIN(300,MAX(1,D1768)),0), FactorTable!$A$2:$A$301,0), Skills!M5+1)</f>
        <v/>
      </c>
      <c r="F1768">
        <f>IF(Skills!N5=TRUE,(Skills!L5/10)*(E1768/1000),Skills!L5/10)+Skills!O5</f>
        <v/>
      </c>
      <c r="G1768">
        <f>Calc!G5</f>
        <v/>
      </c>
      <c r="H1768">
        <f>Calc!H5</f>
        <v/>
      </c>
      <c r="I1768">
        <f>IF(Skills!AA5&lt;&gt;"",1+(Skills!AA5/10)*(U1766/1000)/100,1)</f>
        <v/>
      </c>
      <c r="J1768">
        <f>((Inputs!$B$6*(1+Inputs!$B$7/100))+(((Inputs!$B$12*(1+Inputs!$B$13/100))-(Inputs!$B$12*(1+Inputs!$B$13/100)))+0.25*(Inputs!$B$14-Inputs!$B$14))*(1+Inputs!$B$7/100))*(F1768/100)</f>
        <v/>
      </c>
      <c r="K1768">
        <f>J1768*(1+((Inputs!$B$12*(1+Inputs!$B$13/100))*0.01+Inputs!$B$14*0.0025)/100)*(1+Inputs!$B$15/100)*(1+Inputs!$B$16/100)*(5000/(6000+Inputs!$B$43*(1-Inputs!$B$19/100)))*(1+(Inputs!$B$24+((C1793=TRUE)*(F1793-Calc!F30)))/100)*(1+Skills!R5/100)*(1+(IF(Skills!A5="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1768)</f>
        <v/>
      </c>
      <c r="L1768">
        <f>K1768*(MIN(Inputs!$B$22+((C1787=TRUE)*(F1787-Calc!F24)),Inputs!$B$23)/100+Inputs!$B$23/100)/2</f>
        <v/>
      </c>
      <c r="M1768">
        <f>L1768*(1+(Inputs!$B$10+((C1789=TRUE)*(F1789-Calc!F26))+B1806)/100)</f>
        <v/>
      </c>
      <c r="N1768">
        <f>L1768*(1-MIN((Inputs!$B$9+((C1788=TRUE)*(F1788-Calc!F25))+B1803),100)/100)+M1768*(MIN((Inputs!$B$9+((C1788=TRUE)*(F1788-Calc!F25))+B1803),100)/100)</f>
        <v/>
      </c>
      <c r="O1768">
        <f>(1-Summary!$B$55)*T1768+Summary!$B$55*V1768</f>
        <v/>
      </c>
      <c r="P1768">
        <f>IF(B1807=0,0,O1768/B1807)</f>
        <v/>
      </c>
      <c r="Q1768">
        <f>IFERROR(1/IF(Inputs!$B$39="pvp",15,MAX(0.1,Skills!D5-IF(Skills!E5=TRUE,4.5,0))),0)</f>
        <v/>
      </c>
      <c r="R1768">
        <f>IF(AND(Inputs!$B$39&lt;&gt;"pvp",Inputs!$B$44&gt;0),IF(MAX(0,Inputs!$B$44-B1808)&lt;=0,0,(INT(MAX(0,Inputs!$B$44-B1808)/IF(Inputs!$B$39="pvp",15,MAX(0.1,Skills!D5-IF(Skills!E5=TRUE,4.5,0))))+1)),0)</f>
        <v/>
      </c>
      <c r="S1768">
        <f>IFERROR(O1768/N1768,0)</f>
        <v/>
      </c>
      <c r="T1768">
        <f>IF(C1768,(H1768*N1768*IF(AND(Inputs!$B$39&lt;&gt;"pvp",Inputs!$B$44&gt;0),((Skills!G5*((R1768-1)*IF(Skills!H5&gt;0,Skills!I5/Skills!H5,1)+IF(Skills!H5&gt;0,MIN(Skills!I5,MAX(0,MAX(0,Inputs!$B$44-B1808)-((R1768-1)*IF(Inputs!$B$39="pvp",15,MAX(0.1,Skills!D5-IF(Skills!E5=TRUE,4.5,0))))))/Skills!H5,1)))/Inputs!$B$44),G1768*Q1768))*IF(Inputs!$B$39="pvp",1,1+(Inputs!$B$20+((C1790=TRUE)*(F1790-Calc!F27))+Skills!P5+B1804)/100),0)</f>
        <v/>
      </c>
      <c r="U1768">
        <f>INDEX(FactorTable!$B$2:$Y$301, MATCH(ROUND(MIN(300,MAX(1,U1767)),0), FactorTable!$A$2:$A$301,0), 22)</f>
        <v/>
      </c>
      <c r="V1768">
        <f>IF(C1768,(H1768*N1768*IF(AND(Inputs!$B$39&lt;&gt;"pvp",Inputs!$B$44&gt;0),((Skills!G5*((R1768-1)*IF(Skills!H5&gt;0,Skills!I5/Skills!H5,1)+IF(Skills!H5&gt;0,MIN(Skills!I5,MAX(0,MAX(0,Inputs!$B$44-B1808)-((R1768-1)*IF(Inputs!$B$39="pvp",15,MAX(0.1,Skills!D5-IF(Skills!E5=TRUE,4.5,0))))))/Skills!H5,1)))/Inputs!$B$44),G1768*Q1768))*IF(Inputs!$B$39="pvp",1,(1+(Inputs!$B$21+Skills!Q5+B1804)/100)*(MIN(Skills!W5,Inputs!$B$37))),0)</f>
        <v/>
      </c>
    </row>
    <row r="1769">
      <c r="A1769">
        <f>Skills!A6</f>
        <v/>
      </c>
      <c r="B1769">
        <f>Skills!B6</f>
        <v/>
      </c>
      <c r="C1769">
        <f>Inputs!$B$3&gt;=66</f>
        <v/>
      </c>
      <c r="D1769">
        <f>IF(Skills!C6=1,60+Inputs!$B$25+Inputs!$B$29,IF(Skills!C6=2,90+Inputs!$B$26+Inputs!$B$29,IF(Skills!C6=3,120+Inputs!$B$27+Inputs!$B$29,MAX(0,(Inputs!$B$3-100)*3)+Inputs!$B$28+Inputs!$B$29)))</f>
        <v/>
      </c>
      <c r="E1769">
        <f>INDEX(FactorTable!$B$2:$Y$301, MATCH(ROUND(MIN(300,MAX(1,D1769)),0), FactorTable!$A$2:$A$301,0), Skills!M6+1)</f>
        <v/>
      </c>
      <c r="F1769">
        <f>IF(Skills!N6=TRUE,(Skills!L6/10)*(E1769/1000),Skills!L6/10)+Skills!O6</f>
        <v/>
      </c>
      <c r="G1769">
        <f>Calc!G6</f>
        <v/>
      </c>
      <c r="H1769">
        <f>Calc!H6</f>
        <v/>
      </c>
      <c r="I1769">
        <f>IF(Skills!AA6&lt;&gt;"",1+(Skills!AA6/10)*(U1766/1000)/100,1)</f>
        <v/>
      </c>
      <c r="J1769" t="inlineStr"/>
      <c r="K1769" t="inlineStr"/>
      <c r="L1769" t="inlineStr"/>
      <c r="M1769" t="inlineStr"/>
      <c r="N1769" t="inlineStr"/>
      <c r="O1769">
        <f>(1-Summary!$B$55)*T1769+Summary!$B$55*V1769</f>
        <v/>
      </c>
      <c r="P1769">
        <f>IF(B1807=0,0,O1769/B1807)</f>
        <v/>
      </c>
      <c r="Q1769" t="n">
        <v>0</v>
      </c>
      <c r="R1769" t="n">
        <v>0</v>
      </c>
      <c r="S1769">
        <f>IFERROR(O1769/N1769,0)</f>
        <v/>
      </c>
      <c r="T1769" t="n">
        <v>0</v>
      </c>
      <c r="U1769">
        <f>290*U1768/1000</f>
        <v/>
      </c>
      <c r="V1769" t="n">
        <v>0</v>
      </c>
    </row>
    <row r="1770">
      <c r="A1770">
        <f>Skills!A7</f>
        <v/>
      </c>
      <c r="B1770">
        <f>Skills!B7</f>
        <v/>
      </c>
      <c r="C1770">
        <f>Inputs!$B$3&gt;=66</f>
        <v/>
      </c>
      <c r="D1770">
        <f>IF(Skills!C7=1,60+Inputs!$B$25+Inputs!$B$29,IF(Skills!C7=2,90+Inputs!$B$26+Inputs!$B$29,IF(Skills!C7=3,120+Inputs!$B$27+Inputs!$B$29,MAX(0,(Inputs!$B$3-100)*3)+Inputs!$B$28+Inputs!$B$29)))</f>
        <v/>
      </c>
      <c r="E1770">
        <f>INDEX(FactorTable!$B$2:$Y$301, MATCH(ROUND(MIN(300,MAX(1,D1770)),0), FactorTable!$A$2:$A$301,0), Skills!M7+1)</f>
        <v/>
      </c>
      <c r="F1770">
        <f>IF(Skills!N7=TRUE,(Skills!L7/10)*(E1770/1000),Skills!L7/10)+Skills!O7</f>
        <v/>
      </c>
      <c r="G1770">
        <f>Calc!G7</f>
        <v/>
      </c>
      <c r="H1770">
        <f>Calc!H7</f>
        <v/>
      </c>
      <c r="I1770">
        <f>IF(Skills!AA7&lt;&gt;"",1+(Skills!AA7/10)*(U1766/1000)/100,1)</f>
        <v/>
      </c>
      <c r="J1770" t="inlineStr"/>
      <c r="K1770" t="inlineStr"/>
      <c r="L1770" t="inlineStr"/>
      <c r="M1770" t="inlineStr"/>
      <c r="N1770" t="inlineStr"/>
      <c r="O1770">
        <f>(1-Summary!$B$55)*T1770+Summary!$B$55*V1770</f>
        <v/>
      </c>
      <c r="P1770">
        <f>IF(B1807=0,0,O1770/B1807)</f>
        <v/>
      </c>
      <c r="Q1770" t="n">
        <v>0</v>
      </c>
      <c r="R1770" t="n">
        <v>0</v>
      </c>
      <c r="S1770">
        <f>IFERROR(O1770/N1770,0)</f>
        <v/>
      </c>
      <c r="T1770" t="n">
        <v>0</v>
      </c>
      <c r="V1770" t="n">
        <v>0</v>
      </c>
    </row>
    <row r="1771">
      <c r="A1771">
        <f>Skills!A8</f>
        <v/>
      </c>
      <c r="B1771">
        <f>Skills!B8</f>
        <v/>
      </c>
      <c r="C1771">
        <f>Inputs!$B$3&gt;=69</f>
        <v/>
      </c>
      <c r="D1771">
        <f>IF(Skills!C8=1,60+Inputs!$B$25+Inputs!$B$29,IF(Skills!C8=2,90+Inputs!$B$26+Inputs!$B$29,IF(Skills!C8=3,120+Inputs!$B$27+Inputs!$B$29,MAX(0,(Inputs!$B$3-100)*3)+Inputs!$B$28+Inputs!$B$29)))</f>
        <v/>
      </c>
      <c r="E1771">
        <f>INDEX(FactorTable!$B$2:$Y$301, MATCH(ROUND(MIN(300,MAX(1,D1771)),0), FactorTable!$A$2:$A$301,0), Skills!M8+1)</f>
        <v/>
      </c>
      <c r="F1771">
        <f>IF(Skills!N8=TRUE,(Skills!L8/10)*(E1771/1000),Skills!L8/10)+Skills!O8</f>
        <v/>
      </c>
      <c r="G1771">
        <f>Calc!G8</f>
        <v/>
      </c>
      <c r="H1771">
        <f>Calc!H8</f>
        <v/>
      </c>
      <c r="I1771">
        <f>IF(Skills!AA8&lt;&gt;"",1+(Skills!AA8/10)*(U1766/1000)/100,1)</f>
        <v/>
      </c>
      <c r="J1771">
        <f>((Inputs!$B$6*(1+Inputs!$B$7/100))+(((Inputs!$B$12*(1+Inputs!$B$13/100))-(Inputs!$B$12*(1+Inputs!$B$13/100)))+0.25*(Inputs!$B$14-Inputs!$B$14))*(1+Inputs!$B$7/100))*(F1771/100)</f>
        <v/>
      </c>
      <c r="K1771">
        <f>J1771*(1+((Inputs!$B$12*(1+Inputs!$B$13/100))*0.01+Inputs!$B$14*0.0025)/100)*(1+Inputs!$B$15/100)*(1+Inputs!$B$16/100)*(5000/(6000+Inputs!$B$43*(1-Inputs!$B$19/100)))*(1+(Inputs!$B$24+((C1793=TRUE)*(F1793-Calc!F30)))/100)*(1+Skills!R8/100)*(1+(IF(Skills!A8="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1771)</f>
        <v/>
      </c>
      <c r="L1771">
        <f>K1771*(MIN(Inputs!$B$22+((C1787=TRUE)*(F1787-Calc!F24)),Inputs!$B$23)/100+Inputs!$B$23/100)/2</f>
        <v/>
      </c>
      <c r="M1771">
        <f>L1771*(1+(Inputs!$B$10+((C1789=TRUE)*(F1789-Calc!F26))+B1806)/100)</f>
        <v/>
      </c>
      <c r="N1771">
        <f>L1771*(1-MIN((Inputs!$B$9+((C1788=TRUE)*(F1788-Calc!F25))+B1803),100)/100)+M1771*(MIN((Inputs!$B$9+((C1788=TRUE)*(F1788-Calc!F25))+B1803),100)/100)</f>
        <v/>
      </c>
      <c r="O1771">
        <f>(1-Summary!$B$55)*T1771+Summary!$B$55*V1771</f>
        <v/>
      </c>
      <c r="P1771">
        <f>IF(B1807=0,0,O1771/B1807)</f>
        <v/>
      </c>
      <c r="Q1771">
        <f>IFERROR(1/IF(Inputs!$B$39="pvp",15,MAX(0.1,Skills!D8-IF(Skills!E8=TRUE,4.5,0))),0)</f>
        <v/>
      </c>
      <c r="R1771">
        <f>IF(AND(Inputs!$B$39&lt;&gt;"pvp",Inputs!$B$44&gt;0),IF(MAX(0,Inputs!$B$44-B1808)&lt;=0,0,(INT(MAX(0,Inputs!$B$44-B1808)/IF(Inputs!$B$39="pvp",15,MAX(0.1,Skills!D8-IF(Skills!E8=TRUE,4.5,0))))+1)),0)</f>
        <v/>
      </c>
      <c r="S1771">
        <f>IFERROR(O1771/N1771,0)</f>
        <v/>
      </c>
      <c r="T1771">
        <f>IF(C1771,(H1771*N1771*IF(AND(Inputs!$B$39&lt;&gt;"pvp",Inputs!$B$44&gt;0),((Skills!G8*((R1771-1)*IF(Skills!H8&gt;0,Skills!I8/Skills!H8,1)+IF(Skills!H8&gt;0,MIN(Skills!I8,MAX(0,MAX(0,Inputs!$B$44-B1808)-((R1771-1)*IF(Inputs!$B$39="pvp",15,MAX(0.1,Skills!D8-IF(Skills!E8=TRUE,4.5,0))))))/Skills!H8,1)))/Inputs!$B$44),G1771*Q1771))*IF(Inputs!$B$39="pvp",1,1+(Inputs!$B$20+((C1790=TRUE)*(F1790-Calc!F27))+Skills!P8+B1804)/100),0)</f>
        <v/>
      </c>
      <c r="V1771">
        <f>IF(C1771,(H1771*N1771*IF(AND(Inputs!$B$39&lt;&gt;"pvp",Inputs!$B$44&gt;0),((Skills!G8*((R1771-1)*IF(Skills!H8&gt;0,Skills!I8/Skills!H8,1)+IF(Skills!H8&gt;0,MIN(Skills!I8,MAX(0,MAX(0,Inputs!$B$44-B1808)-((R1771-1)*IF(Inputs!$B$39="pvp",15,MAX(0.1,Skills!D8-IF(Skills!E8=TRUE,4.5,0))))))/Skills!H8,1)))/Inputs!$B$44),G1771*Q1771))*IF(Inputs!$B$39="pvp",1,(1+(Inputs!$B$21+Skills!Q8+B1804)/100)*(MIN(Skills!W8,Inputs!$B$37))),0)</f>
        <v/>
      </c>
    </row>
    <row r="1772">
      <c r="A1772">
        <f>Skills!A9</f>
        <v/>
      </c>
      <c r="B1772">
        <f>Skills!B9</f>
        <v/>
      </c>
      <c r="C1772">
        <f>Inputs!$B$3&gt;=72</f>
        <v/>
      </c>
      <c r="D1772">
        <f>IF(Skills!C9=1,60+Inputs!$B$25+Inputs!$B$29,IF(Skills!C9=2,90+Inputs!$B$26+Inputs!$B$29,IF(Skills!C9=3,120+Inputs!$B$27+Inputs!$B$29,MAX(0,(Inputs!$B$3-100)*3)+Inputs!$B$28+Inputs!$B$29)))</f>
        <v/>
      </c>
      <c r="E1772">
        <f>INDEX(FactorTable!$B$2:$Y$301, MATCH(ROUND(MIN(300,MAX(1,D1772)),0), FactorTable!$A$2:$A$301,0), Skills!M9+1)</f>
        <v/>
      </c>
      <c r="F1772">
        <f>IF(Skills!N9=TRUE,(Skills!L9/10)*(E1772/1000),Skills!L9/10)+Skills!O9</f>
        <v/>
      </c>
      <c r="G1772">
        <f>Calc!G9</f>
        <v/>
      </c>
      <c r="H1772">
        <f>Calc!H9</f>
        <v/>
      </c>
      <c r="I1772">
        <f>IF(Skills!AA9&lt;&gt;"",1+(Skills!AA9/10)*(U1766/1000)/100,1)</f>
        <v/>
      </c>
      <c r="J1772">
        <f>((Inputs!$B$6*(1+Inputs!$B$7/100))+(((Inputs!$B$12*(1+Inputs!$B$13/100))-(Inputs!$B$12*(1+Inputs!$B$13/100)))+0.25*(Inputs!$B$14-Inputs!$B$14))*(1+Inputs!$B$7/100))*(F1772/100)</f>
        <v/>
      </c>
      <c r="K1772">
        <f>J1772*(1+((Inputs!$B$12*(1+Inputs!$B$13/100))*0.01+Inputs!$B$14*0.0025)/100)*(1+Inputs!$B$15/100)*(1+Inputs!$B$16/100)*(5000/(6000+Inputs!$B$43*(1-Inputs!$B$19/100)))*(1+(Inputs!$B$24+((C1793=TRUE)*(F1793-Calc!F30)))/100)*(1+Skills!R9/100)*(1+(IF(Skills!A9="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1772)</f>
        <v/>
      </c>
      <c r="L1772">
        <f>K1772*(MIN(Inputs!$B$22+((C1787=TRUE)*(F1787-Calc!F24)),Inputs!$B$23)/100+Inputs!$B$23/100)/2</f>
        <v/>
      </c>
      <c r="M1772">
        <f>L1772*(1+(Inputs!$B$10+((C1789=TRUE)*(F1789-Calc!F26))+B1806)/100)</f>
        <v/>
      </c>
      <c r="N1772">
        <f>L1772*(1-MIN((Inputs!$B$9+((C1788=TRUE)*(F1788-Calc!F25))+B1803),100)/100)+M1772*(MIN((Inputs!$B$9+((C1788=TRUE)*(F1788-Calc!F25))+B1803),100)/100)</f>
        <v/>
      </c>
      <c r="O1772">
        <f>(1-Summary!$B$55)*T1772+Summary!$B$55*V1772</f>
        <v/>
      </c>
      <c r="P1772">
        <f>IF(B1807=0,0,O1772/B1807)</f>
        <v/>
      </c>
      <c r="Q1772">
        <f>IFERROR(1/IF(Inputs!$B$39="pvp",15,MAX(0.1,Skills!D9-IF(Skills!E9=TRUE,4.5,0))),0)</f>
        <v/>
      </c>
      <c r="R1772">
        <f>IF(AND(Inputs!$B$39&lt;&gt;"pvp",Inputs!$B$44&gt;0),IF(MAX(0,Inputs!$B$44-B1808)&lt;=0,0,(INT(MAX(0,Inputs!$B$44-B1808)/IF(Inputs!$B$39="pvp",15,MAX(0.1,Skills!D9-IF(Skills!E9=TRUE,4.5,0))))+1)),0)</f>
        <v/>
      </c>
      <c r="S1772">
        <f>IFERROR(O1772/N1772,0)</f>
        <v/>
      </c>
      <c r="T1772">
        <f>IF(C1772,(H1772*N1772*IF(AND(Inputs!$B$39&lt;&gt;"pvp",Inputs!$B$44&gt;0),((Skills!G9*((R1772-1)*IF(Skills!H9&gt;0,Skills!I9/Skills!H9,1)+IF(Skills!H9&gt;0,MIN(Skills!I9,MAX(0,MAX(0,Inputs!$B$44-B1808)-((R1772-1)*IF(Inputs!$B$39="pvp",15,MAX(0.1,Skills!D9-IF(Skills!E9=TRUE,4.5,0))))))/Skills!H9,1)))/Inputs!$B$44),G1772*Q1772))*IF(Inputs!$B$39="pvp",1,1+(Inputs!$B$20+((C1790=TRUE)*(F1790-Calc!F27))+Skills!P9+B1804)/100),0)</f>
        <v/>
      </c>
      <c r="V1772">
        <f>IF(C1772,(H1772*N1772*IF(AND(Inputs!$B$39&lt;&gt;"pvp",Inputs!$B$44&gt;0),((Skills!G9*((R1772-1)*IF(Skills!H9&gt;0,Skills!I9/Skills!H9,1)+IF(Skills!H9&gt;0,MIN(Skills!I9,MAX(0,MAX(0,Inputs!$B$44-B1808)-((R1772-1)*IF(Inputs!$B$39="pvp",15,MAX(0.1,Skills!D9-IF(Skills!E9=TRUE,4.5,0))))))/Skills!H9,1)))/Inputs!$B$44),G1772*Q1772))*IF(Inputs!$B$39="pvp",1,(1+(Inputs!$B$21+Skills!Q9+B1804)/100)*(MIN(Skills!W9,Inputs!$B$37))),0)</f>
        <v/>
      </c>
    </row>
    <row r="1773">
      <c r="A1773">
        <f>Skills!A10</f>
        <v/>
      </c>
      <c r="B1773">
        <f>Skills!B10</f>
        <v/>
      </c>
      <c r="C1773">
        <f>Inputs!$B$3&gt;=117</f>
        <v/>
      </c>
      <c r="D1773">
        <f>IF(Skills!C10=1,60+Inputs!$B$25+Inputs!$B$29,IF(Skills!C10=2,90+Inputs!$B$26+Inputs!$B$29,IF(Skills!C10=3,120+Inputs!$B$27+Inputs!$B$29,MAX(0,(Inputs!$B$3-100)*3)+Inputs!$B$28+Inputs!$B$29)))</f>
        <v/>
      </c>
      <c r="E1773">
        <f>INDEX(FactorTable!$B$2:$Y$301, MATCH(ROUND(MIN(300,MAX(1,D1773)),0), FactorTable!$A$2:$A$301,0), Skills!M10+1)</f>
        <v/>
      </c>
      <c r="F1773">
        <f>IF(Skills!N10=TRUE,(Skills!L10/10)*(E1773/1000),Skills!L10/10)+Skills!O10</f>
        <v/>
      </c>
      <c r="G1773">
        <f>Calc!G10</f>
        <v/>
      </c>
      <c r="H1773">
        <f>Calc!H10</f>
        <v/>
      </c>
      <c r="I1773">
        <f>IF(Skills!AA10&lt;&gt;"",1+(Skills!AA10/10)*(U1766/1000)/100,1)</f>
        <v/>
      </c>
      <c r="J1773">
        <f>((Inputs!$B$6*(1+Inputs!$B$7/100))+(((Inputs!$B$12*(1+Inputs!$B$13/100))-(Inputs!$B$12*(1+Inputs!$B$13/100)))+0.25*(Inputs!$B$14-Inputs!$B$14))*(1+Inputs!$B$7/100))*(F1773/100)</f>
        <v/>
      </c>
      <c r="K1773">
        <f>J1773*(1+((Inputs!$B$12*(1+Inputs!$B$13/100))*0.01+Inputs!$B$14*0.0025)/100)*(1+Inputs!$B$15/100)*(1+Inputs!$B$16/100)*(5000/(6000+Inputs!$B$43*(1-Inputs!$B$19/100)))*(1+(Inputs!$B$24+((C1793=TRUE)*(F1793-Calc!F30)))/100)*(1+Skills!R10/100)*(1+(IF(Skills!A10="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1773)</f>
        <v/>
      </c>
      <c r="L1773">
        <f>K1773*(MIN(Inputs!$B$22+((C1787=TRUE)*(F1787-Calc!F24)),Inputs!$B$23)/100+Inputs!$B$23/100)/2</f>
        <v/>
      </c>
      <c r="M1773">
        <f>L1773*(1+(Inputs!$B$10+((C1789=TRUE)*(F1789-Calc!F26))+B1806)/100)</f>
        <v/>
      </c>
      <c r="N1773">
        <f>L1773*(1-MIN((Inputs!$B$9+((C1788=TRUE)*(F1788-Calc!F25))+B1803),100)/100)+M1773*(MIN((Inputs!$B$9+((C1788=TRUE)*(F1788-Calc!F25))+B1803),100)/100)</f>
        <v/>
      </c>
      <c r="O1773">
        <f>(1-Summary!$B$55)*T1773+Summary!$B$55*V1773</f>
        <v/>
      </c>
      <c r="P1773">
        <f>IF(B1807=0,0,O1773/B1807)</f>
        <v/>
      </c>
      <c r="Q1773" t="n">
        <v>0</v>
      </c>
      <c r="R1773" t="n">
        <v>0</v>
      </c>
      <c r="S1773" t="n">
        <v>0</v>
      </c>
      <c r="T1773">
        <f>IF(C1773,(0.2*SUMPRODUCT((Skills!Z2:Z31=TRUE)*(C1765:C1794=TRUE)*S1765:S1794)*N1773)*IF(Inputs!$B$39="pvp",1,1+(Inputs!$B$20+((C1790=TRUE)*(F1790-Calc!F27))+Skills!P10+B1804)/100),0)</f>
        <v/>
      </c>
      <c r="V1773">
        <f>IF(C1773,(0.2*SUMPRODUCT((Skills!Z2:Z31=TRUE)*(C1765:C1794=TRUE)*S1765:S1794)*N1773)*IF(Inputs!$B$39="pvp",1,(1+(Inputs!$B$21+Skills!Q10+B1804)/100)*(MIN(Skills!W10,Inputs!$B$37))),0)</f>
        <v/>
      </c>
    </row>
    <row r="1774">
      <c r="A1774">
        <f>Skills!A11</f>
        <v/>
      </c>
      <c r="B1774">
        <f>Skills!B11</f>
        <v/>
      </c>
      <c r="C1774">
        <f>Inputs!$B$3&gt;=60</f>
        <v/>
      </c>
      <c r="D1774">
        <f>IF(Skills!C11=1,60+Inputs!$B$25+Inputs!$B$29,IF(Skills!C11=2,90+Inputs!$B$26+Inputs!$B$29,IF(Skills!C11=3,120+Inputs!$B$27+Inputs!$B$29,MAX(0,(Inputs!$B$3-100)*3)+Inputs!$B$28+Inputs!$B$29)))</f>
        <v/>
      </c>
      <c r="E1774">
        <f>INDEX(FactorTable!$B$2:$Y$301, MATCH(ROUND(MIN(300,MAX(1,D1774)),0), FactorTable!$A$2:$A$301,0), Skills!M11+1)</f>
        <v/>
      </c>
      <c r="F1774">
        <f>IF(Skills!N11=TRUE,(Skills!L11/10)*(E1774/1000),Skills!L11/10)+Skills!O11</f>
        <v/>
      </c>
      <c r="G1774">
        <f>Calc!G11</f>
        <v/>
      </c>
      <c r="H1774">
        <f>Calc!H11</f>
        <v/>
      </c>
      <c r="I1774">
        <f>IF(Skills!AA11&lt;&gt;"",1+(Skills!AA11/10)*(U1766/1000)/100,1)</f>
        <v/>
      </c>
      <c r="J1774" t="inlineStr"/>
      <c r="K1774" t="inlineStr"/>
      <c r="L1774" t="inlineStr"/>
      <c r="M1774" t="inlineStr"/>
      <c r="N1774" t="inlineStr"/>
      <c r="O1774">
        <f>(1-Summary!$B$55)*T1774+Summary!$B$55*V1774</f>
        <v/>
      </c>
      <c r="P1774">
        <f>IF(B1807=0,0,O1774/B1807)</f>
        <v/>
      </c>
      <c r="Q1774" t="n">
        <v>0</v>
      </c>
      <c r="R1774" t="n">
        <v>0</v>
      </c>
      <c r="S1774">
        <f>IFERROR(O1774/N1774,0)</f>
        <v/>
      </c>
      <c r="T1774" t="n">
        <v>0</v>
      </c>
      <c r="V1774" t="n">
        <v>0</v>
      </c>
    </row>
    <row r="1775">
      <c r="A1775">
        <f>Skills!A12</f>
        <v/>
      </c>
      <c r="B1775">
        <f>Skills!B12</f>
        <v/>
      </c>
      <c r="C1775">
        <f>Inputs!$B$3&gt;=103</f>
        <v/>
      </c>
      <c r="D1775">
        <f>IF(Skills!C12=1,60+Inputs!$B$25+Inputs!$B$29,IF(Skills!C12=2,90+Inputs!$B$26+Inputs!$B$29,IF(Skills!C12=3,120+Inputs!$B$27+Inputs!$B$29,MAX(0,(Inputs!$B$3-100)*3)+Inputs!$B$28+Inputs!$B$29)))</f>
        <v/>
      </c>
      <c r="E1775">
        <f>INDEX(FactorTable!$B$2:$Y$301, MATCH(ROUND(MIN(300,MAX(1,D1775)),0), FactorTable!$A$2:$A$301,0), Skills!M12+1)</f>
        <v/>
      </c>
      <c r="F1775">
        <f>IF(Skills!N12=TRUE,(Skills!L12/10)*(E1775/1000),Skills!L12/10)+Skills!O12</f>
        <v/>
      </c>
      <c r="G1775">
        <f>Calc!G12</f>
        <v/>
      </c>
      <c r="H1775">
        <f>Calc!H12</f>
        <v/>
      </c>
      <c r="I1775">
        <f>IF(Skills!AA12&lt;&gt;"",1+(Skills!AA12/10)*(U1766/1000)/100,1)</f>
        <v/>
      </c>
      <c r="J1775">
        <f>((Inputs!$B$6*(1+Inputs!$B$7/100))+(((Inputs!$B$12*(1+Inputs!$B$13/100))-(Inputs!$B$12*(1+Inputs!$B$13/100)))+0.25*(Inputs!$B$14-Inputs!$B$14))*(1+Inputs!$B$7/100))*(F1775/100)</f>
        <v/>
      </c>
      <c r="K1775">
        <f>J1775*(1+((Inputs!$B$12*(1+Inputs!$B$13/100))*0.01+Inputs!$B$14*0.0025)/100)*(1+Inputs!$B$15/100)*(1+Inputs!$B$16/100)*(5000/(6000+Inputs!$B$43*(1-Inputs!$B$19/100)))*(1+(Inputs!$B$24+((C1793=TRUE)*(F1793-Calc!F30)))/100)*(1+Skills!R12/100)*(1+(IF(Skills!A12="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1775)</f>
        <v/>
      </c>
      <c r="L1775">
        <f>K1775*(MIN(Inputs!$B$22+((C1787=TRUE)*(F1787-Calc!F24)),Inputs!$B$23)/100+Inputs!$B$23/100)/2</f>
        <v/>
      </c>
      <c r="M1775">
        <f>L1775*(1+(Inputs!$B$10+((C1789=TRUE)*(F1789-Calc!F26))+B1806)/100)</f>
        <v/>
      </c>
      <c r="N1775">
        <f>L1775*(1-MIN((Inputs!$B$9+((C1788=TRUE)*(F1788-Calc!F25))+B1803),100)/100)+M1775*(MIN((Inputs!$B$9+((C1788=TRUE)*(F1788-Calc!F25))+B1803),100)/100)</f>
        <v/>
      </c>
      <c r="O1775">
        <f>(1-Summary!$B$55)*T1775+Summary!$B$55*V1775</f>
        <v/>
      </c>
      <c r="P1775">
        <f>IF(B1807=0,0,O1775/B1807)</f>
        <v/>
      </c>
      <c r="Q1775">
        <f>IFERROR(1/IF(Inputs!$B$39="pvp",15,MAX(0.1,Skills!D12-IF(Skills!E12=TRUE,4.5,0))),0)</f>
        <v/>
      </c>
      <c r="R1775">
        <f>IF(AND(Inputs!$B$39&lt;&gt;"pvp",Inputs!$B$44&gt;0),IF(MAX(0,Inputs!$B$44-B1808)&lt;=0,0,(INT(MAX(0,Inputs!$B$44-B1808)/IF(Inputs!$B$39="pvp",15,MAX(0.1,Skills!D12-IF(Skills!E12=TRUE,4.5,0))))+1)),0)</f>
        <v/>
      </c>
      <c r="S1775">
        <f>IFERROR(O1775/N1775,0)</f>
        <v/>
      </c>
      <c r="T1775">
        <f>IF(C1775,(H1775*N1775*IF(AND(Inputs!$B$39&lt;&gt;"pvp",Inputs!$B$44&gt;0),((Skills!G12*((R1775-1)*IF(Skills!H12&gt;0,Skills!I12/Skills!H12,1)+IF(Skills!H12&gt;0,MIN(Skills!I12,MAX(0,MAX(0,Inputs!$B$44-B1808)-((R1775-1)*IF(Inputs!$B$39="pvp",15,MAX(0.1,Skills!D12-IF(Skills!E12=TRUE,4.5,0))))))/Skills!H12,1)))/Inputs!$B$44),G1775*Q1775))*IF(Inputs!$B$39="pvp",1,1+(Inputs!$B$20+((C1790=TRUE)*(F1790-Calc!F27))+Skills!P12+B1804)/100),0)</f>
        <v/>
      </c>
      <c r="V1775">
        <f>IF(C1775,(H1775*N1775*IF(AND(Inputs!$B$39&lt;&gt;"pvp",Inputs!$B$44&gt;0),((Skills!G12*((R1775-1)*IF(Skills!H12&gt;0,Skills!I12/Skills!H12,1)+IF(Skills!H12&gt;0,MIN(Skills!I12,MAX(0,MAX(0,Inputs!$B$44-B1808)-((R1775-1)*IF(Inputs!$B$39="pvp",15,MAX(0.1,Skills!D12-IF(Skills!E12=TRUE,4.5,0))))))/Skills!H12,1)))/Inputs!$B$44),G1775*Q1775))*IF(Inputs!$B$39="pvp",1,(1+(Inputs!$B$21+Skills!Q12+B1804)/100)*(MIN(Skills!W12,Inputs!$B$37))),0)</f>
        <v/>
      </c>
    </row>
    <row r="1776">
      <c r="A1776">
        <f>Skills!A13</f>
        <v/>
      </c>
      <c r="B1776">
        <f>Skills!B13</f>
        <v/>
      </c>
      <c r="C1776">
        <f>Inputs!$B$3&gt;=105</f>
        <v/>
      </c>
      <c r="D1776">
        <f>IF(Skills!C13=1,60+Inputs!$B$25+Inputs!$B$29,IF(Skills!C13=2,90+Inputs!$B$26+Inputs!$B$29,IF(Skills!C13=3,120+Inputs!$B$27+Inputs!$B$29,MAX(0,(Inputs!$B$3-100)*3)+Inputs!$B$28+Inputs!$B$29)))</f>
        <v/>
      </c>
      <c r="E1776">
        <f>INDEX(FactorTable!$B$2:$Y$301, MATCH(ROUND(MIN(300,MAX(1,D1776)),0), FactorTable!$A$2:$A$301,0), Skills!M13+1)</f>
        <v/>
      </c>
      <c r="F1776">
        <f>IF(Skills!N13=TRUE,(Skills!L13/10)*(E1776/1000),Skills!L13/10)+Skills!O13</f>
        <v/>
      </c>
      <c r="G1776">
        <f>Calc!G13</f>
        <v/>
      </c>
      <c r="H1776">
        <f>Calc!H13</f>
        <v/>
      </c>
      <c r="I1776">
        <f>IF(Skills!AA13&lt;&gt;"",1+(Skills!AA13/10)*(U1766/1000)/100,1)</f>
        <v/>
      </c>
      <c r="J1776">
        <f>((Inputs!$B$6*(1+Inputs!$B$7/100))+(((Inputs!$B$12*(1+Inputs!$B$13/100))-(Inputs!$B$12*(1+Inputs!$B$13/100)))+0.25*(Inputs!$B$14-Inputs!$B$14))*(1+Inputs!$B$7/100))*(F1776/100)</f>
        <v/>
      </c>
      <c r="K1776">
        <f>J1776*(1+((Inputs!$B$12*(1+Inputs!$B$13/100))*0.01+Inputs!$B$14*0.0025)/100)*(1+Inputs!$B$15/100)*(1+Inputs!$B$16/100)*(5000/(6000+Inputs!$B$43*(1-Inputs!$B$19/100)))*(1+(Inputs!$B$24+((C1793=TRUE)*(F1793-Calc!F30)))/100)*(1+Skills!R13/100)*(1+(IF(Skills!A13="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1776)</f>
        <v/>
      </c>
      <c r="L1776">
        <f>K1776*(MIN(Inputs!$B$22+((C1787=TRUE)*(F1787-Calc!F24)),Inputs!$B$23)/100+Inputs!$B$23/100)/2</f>
        <v/>
      </c>
      <c r="M1776">
        <f>L1776*(1+(Inputs!$B$10+((C1789=TRUE)*(F1789-Calc!F26))+B1806)/100)</f>
        <v/>
      </c>
      <c r="N1776">
        <f>L1776*(1-MIN((Inputs!$B$9+((C1788=TRUE)*(F1788-Calc!F25))+B1803),100)/100)+M1776*(MIN((Inputs!$B$9+((C1788=TRUE)*(F1788-Calc!F25))+B1803),100)/100)</f>
        <v/>
      </c>
      <c r="O1776">
        <f>(1-Summary!$B$55)*T1776+Summary!$B$55*V1776</f>
        <v/>
      </c>
      <c r="P1776">
        <f>IF(B1807=0,0,O1776/B1807)</f>
        <v/>
      </c>
      <c r="Q1776">
        <f>IFERROR(1/IF(Inputs!$B$39="pvp",15,MAX(0.1,Skills!D13-IF(Skills!E13=TRUE,4.5,0))),0)</f>
        <v/>
      </c>
      <c r="R1776">
        <f>IF(AND(Inputs!$B$39&lt;&gt;"pvp",Inputs!$B$44&gt;0),IF(MAX(0,Inputs!$B$44-B1808)&lt;=0,0,(INT(MAX(0,Inputs!$B$44-B1808)/IF(Inputs!$B$39="pvp",15,MAX(0.1,Skills!D13-IF(Skills!E13=TRUE,4.5,0))))+1)),0)</f>
        <v/>
      </c>
      <c r="S1776">
        <f>IFERROR(O1776/N1776,0)</f>
        <v/>
      </c>
      <c r="T1776">
        <f>IF(C1776,(H1776*N1776*IF(AND(Inputs!$B$39&lt;&gt;"pvp",Inputs!$B$44&gt;0),((Skills!G13*((R1776-1)*IF(Skills!H13&gt;0,Skills!I13/Skills!H13,1)+IF(Skills!H13&gt;0,MIN(Skills!I13,MAX(0,MAX(0,Inputs!$B$44-B1808)-((R1776-1)*IF(Inputs!$B$39="pvp",15,MAX(0.1,Skills!D13-IF(Skills!E13=TRUE,4.5,0))))))/Skills!H13,1)))/Inputs!$B$44),G1776*Q1776))*IF(Inputs!$B$39="pvp",1,1+(Inputs!$B$20+((C1790=TRUE)*(F1790-Calc!F27))+Skills!P13+B1804)/100),0)</f>
        <v/>
      </c>
      <c r="V1776">
        <f>IF(C1776,(H1776*N1776*IF(AND(Inputs!$B$39&lt;&gt;"pvp",Inputs!$B$44&gt;0),((Skills!G13*((R1776-1)*IF(Skills!H13&gt;0,Skills!I13/Skills!H13,1)+IF(Skills!H13&gt;0,MIN(Skills!I13,MAX(0,MAX(0,Inputs!$B$44-B1808)-((R1776-1)*IF(Inputs!$B$39="pvp",15,MAX(0.1,Skills!D13-IF(Skills!E13=TRUE,4.5,0))))))/Skills!H13,1)))/Inputs!$B$44),G1776*Q1776))*IF(Inputs!$B$39="pvp",1,(1+(Inputs!$B$21+Skills!Q13+B1804)/100)*(MIN(Skills!W13,Inputs!$B$37))),0)</f>
        <v/>
      </c>
    </row>
    <row r="1777">
      <c r="A1777">
        <f>Skills!A14</f>
        <v/>
      </c>
      <c r="B1777">
        <f>Skills!B14</f>
        <v/>
      </c>
      <c r="C1777">
        <f>Inputs!$B$3&gt;=105</f>
        <v/>
      </c>
      <c r="D1777">
        <f>IF(Skills!C14=1,60+Inputs!$B$25+Inputs!$B$29,IF(Skills!C14=2,90+Inputs!$B$26+Inputs!$B$29,IF(Skills!C14=3,120+Inputs!$B$27+Inputs!$B$29,MAX(0,(Inputs!$B$3-100)*3)+Inputs!$B$28+Inputs!$B$29)))</f>
        <v/>
      </c>
      <c r="E1777">
        <f>INDEX(FactorTable!$B$2:$Y$301, MATCH(ROUND(MIN(300,MAX(1,D1777)),0), FactorTable!$A$2:$A$301,0), Skills!M14+1)</f>
        <v/>
      </c>
      <c r="F1777">
        <f>IF(Skills!N14=TRUE,(Skills!L14/10)*(E1777/1000),Skills!L14/10)+Skills!O14</f>
        <v/>
      </c>
      <c r="G1777">
        <f>Calc!G14</f>
        <v/>
      </c>
      <c r="H1777">
        <f>Calc!H14</f>
        <v/>
      </c>
      <c r="I1777">
        <f>IF(Skills!AA14&lt;&gt;"",1+(Skills!AA14/10)*(U1766/1000)/100,1)</f>
        <v/>
      </c>
      <c r="J1777">
        <f>((Inputs!$B$6*(1+Inputs!$B$7/100))+(((Inputs!$B$12*(1+Inputs!$B$13/100))-(Inputs!$B$12*(1+Inputs!$B$13/100)))+0.25*(Inputs!$B$14-Inputs!$B$14))*(1+Inputs!$B$7/100))*(F1777/100)</f>
        <v/>
      </c>
      <c r="K1777">
        <f>J1777*(1+((Inputs!$B$12*(1+Inputs!$B$13/100))*0.01+Inputs!$B$14*0.0025)/100)*(1+Inputs!$B$15/100)*(1+Inputs!$B$16/100)*(5000/(6000+Inputs!$B$43*(1-Inputs!$B$19/100)))*(1+(Inputs!$B$24+((C1793=TRUE)*(F1793-Calc!F30)))/100)*(1+Skills!R14/100)*(1+(IF(Skills!A14="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1777)</f>
        <v/>
      </c>
      <c r="L1777">
        <f>K1777*(MIN(Inputs!$B$22+((C1787=TRUE)*(F1787-Calc!F24)),Inputs!$B$23)/100+Inputs!$B$23/100)/2</f>
        <v/>
      </c>
      <c r="M1777">
        <f>L1777*(1+(Inputs!$B$10+((C1789=TRUE)*(F1789-Calc!F26))+B1806)/100)</f>
        <v/>
      </c>
      <c r="N1777">
        <f>L1777*(1-MIN((Inputs!$B$9+((C1788=TRUE)*(F1788-Calc!F25))+B1803),100)/100)+M1777*(MIN((Inputs!$B$9+((C1788=TRUE)*(F1788-Calc!F25))+B1803),100)/100)</f>
        <v/>
      </c>
      <c r="O1777">
        <f>(1-Summary!$B$55)*T1777+Summary!$B$55*V1777</f>
        <v/>
      </c>
      <c r="P1777">
        <f>IF(B1807=0,0,O1777/B1807)</f>
        <v/>
      </c>
      <c r="Q1777">
        <f>IFERROR(1/IF(Inputs!$B$39="pvp",15,MAX(0.1,Skills!D14-IF(Skills!E14=TRUE,4.5,0))),0)</f>
        <v/>
      </c>
      <c r="R1777">
        <f>IF(AND(Inputs!$B$39&lt;&gt;"pvp",Inputs!$B$44&gt;0),IF(MAX(0,Inputs!$B$44-B1808)&lt;=0,0,(INT(MAX(0,Inputs!$B$44-B1808)/IF(Inputs!$B$39="pvp",15,MAX(0.1,Skills!D14-IF(Skills!E14=TRUE,4.5,0))))+1)),0)</f>
        <v/>
      </c>
      <c r="S1777">
        <f>IFERROR(O1777/N1777,0)</f>
        <v/>
      </c>
      <c r="T1777">
        <f>IF(C1777,(H1777*N1777*IF(AND(Inputs!$B$39&lt;&gt;"pvp",Inputs!$B$44&gt;0),((Skills!G14*((R1777-1)*IF(Skills!H14&gt;0,Skills!I14/Skills!H14,1)+IF(Skills!H14&gt;0,MIN(Skills!I14,MAX(0,MAX(0,Inputs!$B$44-B1808)-((R1777-1)*IF(Inputs!$B$39="pvp",15,MAX(0.1,Skills!D14-IF(Skills!E14=TRUE,4.5,0))))))/Skills!H14,1)))/Inputs!$B$44),G1777*Q1777))*IF(Inputs!$B$39="pvp",1,1+(Inputs!$B$20+((C1790=TRUE)*(F1790-Calc!F27))+Skills!P14+B1804)/100),0)</f>
        <v/>
      </c>
      <c r="V1777">
        <f>IF(C1777,(H1777*N1777*IF(AND(Inputs!$B$39&lt;&gt;"pvp",Inputs!$B$44&gt;0),((Skills!G14*((R1777-1)*IF(Skills!H14&gt;0,Skills!I14/Skills!H14,1)+IF(Skills!H14&gt;0,MIN(Skills!I14,MAX(0,MAX(0,Inputs!$B$44-B1808)-((R1777-1)*IF(Inputs!$B$39="pvp",15,MAX(0.1,Skills!D14-IF(Skills!E14=TRUE,4.5,0))))))/Skills!H14,1)))/Inputs!$B$44),G1777*Q1777))*IF(Inputs!$B$39="pvp",1,(1+(Inputs!$B$21+Skills!Q14+B1804)/100)*(MIN(Skills!W14,Inputs!$B$37))),0)</f>
        <v/>
      </c>
    </row>
    <row r="1778">
      <c r="A1778">
        <f>Skills!A15</f>
        <v/>
      </c>
      <c r="B1778">
        <f>Skills!B15</f>
        <v/>
      </c>
      <c r="C1778">
        <f>Inputs!$B$3&gt;=110</f>
        <v/>
      </c>
      <c r="D1778">
        <f>IF(Skills!C15=1,60+Inputs!$B$25+Inputs!$B$29,IF(Skills!C15=2,90+Inputs!$B$26+Inputs!$B$29,IF(Skills!C15=3,120+Inputs!$B$27+Inputs!$B$29,MAX(0,(Inputs!$B$3-100)*3)+Inputs!$B$28+Inputs!$B$29)))</f>
        <v/>
      </c>
      <c r="E1778">
        <f>INDEX(FactorTable!$B$2:$Y$301, MATCH(ROUND(MIN(300,MAX(1,D1778)),0), FactorTable!$A$2:$A$301,0), Skills!M15+1)</f>
        <v/>
      </c>
      <c r="F1778">
        <f>IF(Skills!N15=TRUE,(Skills!L15/10)*(E1778/1000),Skills!L15/10)+Skills!O15</f>
        <v/>
      </c>
      <c r="G1778">
        <f>Calc!G15</f>
        <v/>
      </c>
      <c r="H1778">
        <f>Calc!H15</f>
        <v/>
      </c>
      <c r="I1778">
        <f>IF(Skills!AA15&lt;&gt;"",1+(Skills!AA15/10)*(U1766/1000)/100,1)</f>
        <v/>
      </c>
      <c r="J1778" t="inlineStr"/>
      <c r="K1778" t="inlineStr"/>
      <c r="L1778" t="inlineStr"/>
      <c r="M1778" t="inlineStr"/>
      <c r="N1778" t="inlineStr"/>
      <c r="O1778">
        <f>(1-Summary!$B$55)*T1778+Summary!$B$55*V1778</f>
        <v/>
      </c>
      <c r="P1778">
        <f>IF(B1807=0,0,O1778/B1807)</f>
        <v/>
      </c>
      <c r="Q1778">
        <f>IFERROR(1/IF(Inputs!$B$39="pvp",15,MAX(0.1,Skills!D15-IF(Skills!E15=TRUE,4.5,0))),0)</f>
        <v/>
      </c>
      <c r="R1778">
        <f>IF(AND(Inputs!$B$39&lt;&gt;"pvp",Inputs!$B$44&gt;0),IF(Inputs!$B$44&lt;=0,0,(INT(Inputs!$B$44/IF(Inputs!$B$39="pvp",15,MAX(0.1,Skills!D15-IF(Skills!E15=TRUE,4.5,0))))+1)),0)</f>
        <v/>
      </c>
      <c r="S1778">
        <f>IFERROR(O1778/N1778,0)</f>
        <v/>
      </c>
      <c r="T1778" t="n">
        <v>0</v>
      </c>
      <c r="V1778" t="n">
        <v>0</v>
      </c>
    </row>
    <row r="1779">
      <c r="A1779">
        <f>Skills!A16</f>
        <v/>
      </c>
      <c r="B1779">
        <f>Skills!B16</f>
        <v/>
      </c>
      <c r="C1779">
        <f>Inputs!$B$3&gt;=110</f>
        <v/>
      </c>
      <c r="D1779">
        <f>IF(Skills!C16=1,60+Inputs!$B$25+Inputs!$B$29,IF(Skills!C16=2,90+Inputs!$B$26+Inputs!$B$29,IF(Skills!C16=3,120+Inputs!$B$27+Inputs!$B$29,MAX(0,(Inputs!$B$3-100)*3)+Inputs!$B$28+Inputs!$B$29)))</f>
        <v/>
      </c>
      <c r="E1779">
        <f>INDEX(FactorTable!$B$2:$Y$301, MATCH(ROUND(MIN(300,MAX(1,D1779)),0), FactorTable!$A$2:$A$301,0), Skills!M16+1)</f>
        <v/>
      </c>
      <c r="F1779">
        <f>IF(Skills!N16=TRUE,(Skills!L16/10)*(E1779/1000),Skills!L16/10)+Skills!O16</f>
        <v/>
      </c>
      <c r="G1779">
        <f>Calc!G16</f>
        <v/>
      </c>
      <c r="H1779">
        <f>Calc!H16</f>
        <v/>
      </c>
      <c r="I1779">
        <f>IF(Skills!AA16&lt;&gt;"",1+(Skills!AA16/10)*(U1766/1000)/100,1)</f>
        <v/>
      </c>
      <c r="J1779" t="inlineStr"/>
      <c r="K1779" t="inlineStr"/>
      <c r="L1779" t="inlineStr"/>
      <c r="M1779" t="inlineStr"/>
      <c r="N1779" t="inlineStr"/>
      <c r="O1779">
        <f>(1-Summary!$B$55)*T1779+Summary!$B$55*V1779</f>
        <v/>
      </c>
      <c r="P1779">
        <f>IF(B1807=0,0,O1779/B1807)</f>
        <v/>
      </c>
      <c r="Q1779">
        <f>IFERROR(1/IF(Inputs!$B$39="pvp",15,MAX(0.1,Skills!D16-IF(Skills!E16=TRUE,4.5,0))),0)</f>
        <v/>
      </c>
      <c r="R1779">
        <f>IF(AND(Inputs!$B$39&lt;&gt;"pvp",Inputs!$B$44&gt;0),IF(Inputs!$B$44&lt;=0,0,(INT(Inputs!$B$44/IF(Inputs!$B$39="pvp",15,MAX(0.1,Skills!D16-IF(Skills!E16=TRUE,4.5,0))))+1)),0)</f>
        <v/>
      </c>
      <c r="S1779">
        <f>IFERROR(O1779/N1779,0)</f>
        <v/>
      </c>
      <c r="T1779" t="n">
        <v>0</v>
      </c>
      <c r="V1779" t="n">
        <v>0</v>
      </c>
    </row>
    <row r="1780">
      <c r="A1780">
        <f>Skills!A17</f>
        <v/>
      </c>
      <c r="B1780">
        <f>Skills!B17</f>
        <v/>
      </c>
      <c r="C1780">
        <f>Inputs!$B$3&gt;=115</f>
        <v/>
      </c>
      <c r="D1780">
        <f>IF(Skills!C17=1,60+Inputs!$B$25+Inputs!$B$29,IF(Skills!C17=2,90+Inputs!$B$26+Inputs!$B$29,IF(Skills!C17=3,120+Inputs!$B$27+Inputs!$B$29,MAX(0,(Inputs!$B$3-100)*3)+Inputs!$B$28+Inputs!$B$29)))</f>
        <v/>
      </c>
      <c r="E1780">
        <f>INDEX(FactorTable!$B$2:$Y$301, MATCH(ROUND(MIN(300,MAX(1,D1780)),0), FactorTable!$A$2:$A$301,0), Skills!M17+1)</f>
        <v/>
      </c>
      <c r="F1780">
        <f>IF(Skills!N17=TRUE,(Skills!L17/10)*(E1780/1000),Skills!L17/10)+Skills!O17</f>
        <v/>
      </c>
      <c r="G1780">
        <f>Calc!G17</f>
        <v/>
      </c>
      <c r="H1780">
        <f>Calc!H17</f>
        <v/>
      </c>
      <c r="I1780">
        <f>IF(Skills!AA17&lt;&gt;"",1+(Skills!AA17/10)*(U1766/1000)/100,1)</f>
        <v/>
      </c>
      <c r="J1780">
        <f>((Inputs!$B$6*(1+Inputs!$B$7/100))+(((Inputs!$B$12*(1+Inputs!$B$13/100))-(Inputs!$B$12*(1+Inputs!$B$13/100)))+0.25*(Inputs!$B$14-Inputs!$B$14))*(1+Inputs!$B$7/100))*(F1780/100)</f>
        <v/>
      </c>
      <c r="K1780">
        <f>J1780*(1+((Inputs!$B$12*(1+Inputs!$B$13/100))*0.01+Inputs!$B$14*0.0025)/100)*(1+Inputs!$B$15/100)*(1+Inputs!$B$16/100)*(5000/(6000+Inputs!$B$43*(1-Inputs!$B$19/100)))*(1+(Inputs!$B$24+((C1793=TRUE)*(F1793-Calc!F30)))/100)*(1+Skills!R17/100)*(1+(IF(Skills!A17="SHOWDOWN",Inputs!$B$17+((C1786=TRUE)*(F1786-Calc!F23)),Inputs!$B$18+((C1792=TRUE)*(F1792-Calc!F29))))/100)*(((1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B1805*I1780)</f>
        <v/>
      </c>
      <c r="L1780">
        <f>K1780*(MIN(Inputs!$B$22+((C1787=TRUE)*(F1787-Calc!F24)),Inputs!$B$23)/100+Inputs!$B$23/100)/2</f>
        <v/>
      </c>
      <c r="M1780">
        <f>L1780*(1+(Inputs!$B$10+((C1789=TRUE)*(F1789-Calc!F26))+B1806)/100)</f>
        <v/>
      </c>
      <c r="N1780">
        <f>L1780*(1-MIN((Inputs!$B$9+((C1788=TRUE)*(F1788-Calc!F25))+B1803),100)/100)+M1780*(MIN((Inputs!$B$9+((C1788=TRUE)*(F1788-Calc!F25))+B1803),100)/100)</f>
        <v/>
      </c>
      <c r="O1780">
        <f>(1-Summary!$B$55)*T1780+Summary!$B$55*V1780</f>
        <v/>
      </c>
      <c r="P1780">
        <f>IF(B1807=0,0,O1780/B1807)</f>
        <v/>
      </c>
      <c r="Q1780" t="n">
        <v>0</v>
      </c>
      <c r="R1780" t="n">
        <v>0</v>
      </c>
      <c r="S1780">
        <f>IFERROR(O1780/N1780,0)</f>
        <v/>
      </c>
      <c r="T1780">
        <f>IF(C1780,(Inputs!$B$38*0.2*N1780)*IF(Inputs!$B$39="pvp",1,1+(Inputs!$B$20+((C1790=TRUE)*(F1790-Calc!F27))+Skills!P17+B1804)/100),0)</f>
        <v/>
      </c>
      <c r="V1780">
        <f>IF(C1780,(Inputs!$B$38*0.2*N1780)*IF(Inputs!$B$39="pvp",1,(1+(Inputs!$B$21+Skills!Q17+B1804)/100)*(MIN(Skills!W17,Inputs!$B$37))),0)</f>
        <v/>
      </c>
    </row>
    <row r="1781">
      <c r="A1781">
        <f>Skills!A18</f>
        <v/>
      </c>
      <c r="B1781">
        <f>Skills!B18</f>
        <v/>
      </c>
      <c r="C1781">
        <f>Inputs!$B$3&gt;=115</f>
        <v/>
      </c>
      <c r="D1781">
        <f>IF(Skills!C18=1,60+Inputs!$B$25+Inputs!$B$29,IF(Skills!C18=2,90+Inputs!$B$26+Inputs!$B$29,IF(Skills!C18=3,120+Inputs!$B$27+Inputs!$B$29,MAX(0,(Inputs!$B$3-100)*3)+Inputs!$B$28+Inputs!$B$29)))</f>
        <v/>
      </c>
      <c r="E1781">
        <f>INDEX(FactorTable!$B$2:$Y$301, MATCH(ROUND(MIN(300,MAX(1,D1781)),0), FactorTable!$A$2:$A$301,0), Skills!M18+1)</f>
        <v/>
      </c>
      <c r="F1781">
        <f>IF(Skills!N18=TRUE,(Skills!L18/10)*(E1781/1000),Skills!L18/10)+Skills!O18</f>
        <v/>
      </c>
      <c r="G1781">
        <f>Calc!G18</f>
        <v/>
      </c>
      <c r="H1781">
        <f>Calc!H18</f>
        <v/>
      </c>
      <c r="I1781">
        <f>IF(Skills!AA18&lt;&gt;"",1+(Skills!AA18/10)*(U1766/1000)/100,1)</f>
        <v/>
      </c>
      <c r="J1781" t="inlineStr"/>
      <c r="K1781" t="inlineStr"/>
      <c r="L1781" t="inlineStr"/>
      <c r="M1781" t="inlineStr"/>
      <c r="N1781" t="inlineStr"/>
      <c r="O1781">
        <f>(1-Summary!$B$55)*T1781+Summary!$B$55*V1781</f>
        <v/>
      </c>
      <c r="P1781">
        <f>IF(B1807=0,0,O1781/B1807)</f>
        <v/>
      </c>
      <c r="Q1781" t="n">
        <v>0</v>
      </c>
      <c r="R1781" t="n">
        <v>0</v>
      </c>
      <c r="S1781">
        <f>IFERROR(O1781/N1781,0)</f>
        <v/>
      </c>
      <c r="T1781" t="n">
        <v>0</v>
      </c>
      <c r="V1781" t="n">
        <v>0</v>
      </c>
    </row>
    <row r="1782">
      <c r="A1782">
        <f>Skills!A19</f>
        <v/>
      </c>
      <c r="B1782">
        <f>Skills!B19</f>
        <v/>
      </c>
      <c r="C1782">
        <f>TRUE</f>
        <v/>
      </c>
      <c r="D1782">
        <f>IF(Skills!C19=1,60+Inputs!$B$25+Inputs!$B$29,IF(Skills!C19=2,90+Inputs!$B$26+Inputs!$B$29,IF(Skills!C19=3,120+Inputs!$B$27+Inputs!$B$29,MAX(0,(Inputs!$B$3-100)*3)+Inputs!$B$28+Inputs!$B$29)))</f>
        <v/>
      </c>
      <c r="E1782">
        <f>INDEX(FactorTable!$B$2:$Y$301, MATCH(ROUND(MIN(300,MAX(1,D1782)),0), FactorTable!$A$2:$A$301,0), Skills!M19+1)</f>
        <v/>
      </c>
      <c r="F1782">
        <f>IF(Skills!N19=TRUE,(Skills!L19/10)*(E1782/1000),Skills!L19/10)+Skills!O19</f>
        <v/>
      </c>
      <c r="G1782">
        <f>Calc!G19</f>
        <v/>
      </c>
      <c r="H1782">
        <f>Calc!H19</f>
        <v/>
      </c>
      <c r="I1782">
        <f>IF(Skills!AA19&lt;&gt;"",1+(Skills!AA19/10)*(U1766/1000)/100,1)</f>
        <v/>
      </c>
      <c r="J1782" t="inlineStr"/>
      <c r="K1782" t="inlineStr"/>
      <c r="L1782" t="inlineStr"/>
      <c r="M1782" t="inlineStr"/>
      <c r="N1782" t="inlineStr"/>
      <c r="O1782">
        <f>(1-Summary!$B$55)*T1782+Summary!$B$55*V1782</f>
        <v/>
      </c>
      <c r="P1782">
        <f>IF(B1807=0,0,O1782/B1807)</f>
        <v/>
      </c>
      <c r="Q1782">
        <f>IFERROR(1/IF(Inputs!$B$39="pvp",15,MAX(0.1,Skills!D19-IF(Skills!E19=TRUE,4.5,0))),0)</f>
        <v/>
      </c>
      <c r="R1782">
        <f>IF(AND(Inputs!$B$39&lt;&gt;"pvp",Inputs!$B$44&gt;0),IF(Inputs!$B$44&lt;=0,0,(INT(Inputs!$B$44/IF(Inputs!$B$39="pvp",15,MAX(0.1,Skills!D19-IF(Skills!E19=TRUE,4.5,0))))+1)),0)</f>
        <v/>
      </c>
      <c r="S1782">
        <f>IFERROR(O1782/N1782,0)</f>
        <v/>
      </c>
      <c r="T1782" t="n">
        <v>0</v>
      </c>
      <c r="V1782" t="n">
        <v>0</v>
      </c>
    </row>
    <row r="1783">
      <c r="A1783">
        <f>Skills!A20</f>
        <v/>
      </c>
      <c r="B1783">
        <f>Skills!B20</f>
        <v/>
      </c>
      <c r="C1783">
        <f>Inputs!$B$3&gt;=15</f>
        <v/>
      </c>
      <c r="D1783">
        <f>IF(Skills!C20=1,60+Inputs!$B$25+Inputs!$B$29,IF(Skills!C20=2,90+Inputs!$B$26+Inputs!$B$29,IF(Skills!C20=3,120+Inputs!$B$27+Inputs!$B$29,MAX(0,(Inputs!$B$3-100)*3)+Inputs!$B$28+Inputs!$B$29)))</f>
        <v/>
      </c>
      <c r="E1783">
        <f>INDEX(FactorTable!$B$2:$Y$301, MATCH(ROUND(MIN(300,MAX(1,D1783)),0), FactorTable!$A$2:$A$301,0), Skills!M20+1)</f>
        <v/>
      </c>
      <c r="F1783">
        <f>IF(Skills!N20=TRUE,(Skills!L20/10)*(E1783/1000),Skills!L20/10)+Skills!O20</f>
        <v/>
      </c>
      <c r="G1783">
        <f>Calc!G20</f>
        <v/>
      </c>
      <c r="H1783">
        <f>Calc!H20</f>
        <v/>
      </c>
      <c r="I1783">
        <f>IF(Skills!AA20&lt;&gt;"",1+(Skills!AA20/10)*(U1766/1000)/100,1)</f>
        <v/>
      </c>
      <c r="J1783" t="inlineStr"/>
      <c r="K1783" t="inlineStr"/>
      <c r="L1783" t="inlineStr"/>
      <c r="M1783" t="inlineStr"/>
      <c r="N1783" t="inlineStr"/>
      <c r="O1783">
        <f>(1-Summary!$B$55)*T1783+Summary!$B$55*V1783</f>
        <v/>
      </c>
      <c r="P1783">
        <f>IF(B1807=0,0,O1783/B1807)</f>
        <v/>
      </c>
      <c r="Q1783">
        <f>IFERROR(1/IF(Inputs!$B$39="pvp",15,MAX(0.1,Skills!D20-IF(Skills!E20=TRUE,4.5,0))),0)</f>
        <v/>
      </c>
      <c r="R1783">
        <f>IF(AND(Inputs!$B$39&lt;&gt;"pvp",Inputs!$B$44&gt;0),IF(Inputs!$B$44&lt;=0,0,(INT(Inputs!$B$44/IF(Inputs!$B$39="pvp",15,MAX(0.1,Skills!D20-IF(Skills!E20=TRUE,4.5,0))))+1)),0)</f>
        <v/>
      </c>
      <c r="S1783">
        <f>IFERROR(O1783/N1783,0)</f>
        <v/>
      </c>
      <c r="T1783" t="n">
        <v>0</v>
      </c>
      <c r="V1783" t="n">
        <v>0</v>
      </c>
    </row>
    <row r="1784">
      <c r="A1784">
        <f>Skills!A21</f>
        <v/>
      </c>
      <c r="B1784">
        <f>Skills!B21</f>
        <v/>
      </c>
      <c r="C1784">
        <f>Inputs!$B$3&gt;=15</f>
        <v/>
      </c>
      <c r="D1784">
        <f>IF(Skills!C21=1,60+Inputs!$B$25+Inputs!$B$29,IF(Skills!C21=2,90+Inputs!$B$26+Inputs!$B$29,IF(Skills!C21=3,120+Inputs!$B$27+Inputs!$B$29,MAX(0,(Inputs!$B$3-100)*3)+Inputs!$B$28+Inputs!$B$29)))</f>
        <v/>
      </c>
      <c r="E1784">
        <f>INDEX(FactorTable!$B$2:$Y$301, MATCH(ROUND(MIN(300,MAX(1,D1784)),0), FactorTable!$A$2:$A$301,0), Skills!M21+1)</f>
        <v/>
      </c>
      <c r="F1784">
        <f>IF(Skills!N21=TRUE,(Skills!L21/10)*(E1784/1000),Skills!L21/10)+Skills!O21</f>
        <v/>
      </c>
      <c r="G1784">
        <f>Calc!G21</f>
        <v/>
      </c>
      <c r="H1784">
        <f>Calc!H21</f>
        <v/>
      </c>
      <c r="I1784">
        <f>IF(Skills!AA21&lt;&gt;"",1+(Skills!AA21/10)*(U1766/1000)/100,1)</f>
        <v/>
      </c>
      <c r="J1784" t="inlineStr"/>
      <c r="K1784" t="inlineStr"/>
      <c r="L1784" t="inlineStr"/>
      <c r="M1784" t="inlineStr"/>
      <c r="N1784" t="inlineStr"/>
      <c r="O1784">
        <f>(1-Summary!$B$55)*T1784+Summary!$B$55*V1784</f>
        <v/>
      </c>
      <c r="P1784">
        <f>IF(B1807=0,0,O1784/B1807)</f>
        <v/>
      </c>
      <c r="Q1784">
        <f>IFERROR(1/IF(Inputs!$B$39="pvp",15,MAX(0.1,Skills!D21-IF(Skills!E21=TRUE,4.5,0))),0)</f>
        <v/>
      </c>
      <c r="R1784">
        <f>IF(AND(Inputs!$B$39&lt;&gt;"pvp",Inputs!$B$44&gt;0),IF(Inputs!$B$44&lt;=0,0,(INT(Inputs!$B$44/IF(Inputs!$B$39="pvp",15,MAX(0.1,Skills!D21-IF(Skills!E21=TRUE,4.5,0))))+1)),0)</f>
        <v/>
      </c>
      <c r="S1784">
        <f>IFERROR(O1784/N1784,0)</f>
        <v/>
      </c>
      <c r="T1784" t="n">
        <v>0</v>
      </c>
      <c r="V1784" t="n">
        <v>0</v>
      </c>
    </row>
    <row r="1785">
      <c r="A1785">
        <f>Skills!A22</f>
        <v/>
      </c>
      <c r="B1785">
        <f>Skills!B22</f>
        <v/>
      </c>
      <c r="C1785">
        <f>Inputs!$B$3&gt;=33</f>
        <v/>
      </c>
      <c r="D1785">
        <f>IF(Skills!C22=1,60+Inputs!$B$25+Inputs!$B$29,IF(Skills!C22=2,90+Inputs!$B$26+Inputs!$B$29,IF(Skills!C22=3,120+Inputs!$B$27+Inputs!$B$29,MAX(0,(Inputs!$B$3-100)*3)+Inputs!$B$28+Inputs!$B$29)))</f>
        <v/>
      </c>
      <c r="E1785">
        <f>INDEX(FactorTable!$B$2:$Y$301, MATCH(ROUND(MIN(300,MAX(1,D1785)),0), FactorTable!$A$2:$A$301,0), Skills!M22+1)</f>
        <v/>
      </c>
      <c r="F1785">
        <f>IF(Skills!N22=TRUE,(Skills!L22/10)*(E1785/1000),Skills!L22/10)+Skills!O22</f>
        <v/>
      </c>
      <c r="G1785">
        <f>Calc!G22</f>
        <v/>
      </c>
      <c r="H1785">
        <f>Calc!H22</f>
        <v/>
      </c>
      <c r="I1785">
        <f>IF(Skills!AA22&lt;&gt;"",1+(Skills!AA22/10)*(U1766/1000)/100,1)</f>
        <v/>
      </c>
      <c r="J1785" t="inlineStr"/>
      <c r="K1785" t="inlineStr"/>
      <c r="L1785" t="inlineStr"/>
      <c r="M1785" t="inlineStr"/>
      <c r="N1785" t="inlineStr"/>
      <c r="O1785">
        <f>(1-Summary!$B$55)*T1785+Summary!$B$55*V1785</f>
        <v/>
      </c>
      <c r="P1785">
        <f>IF(B1807=0,0,O1785/B1807)</f>
        <v/>
      </c>
      <c r="Q1785" t="n">
        <v>0</v>
      </c>
      <c r="R1785" t="n">
        <v>0</v>
      </c>
      <c r="S1785">
        <f>IFERROR(O1785/N1785,0)</f>
        <v/>
      </c>
      <c r="T1785" t="n">
        <v>0</v>
      </c>
      <c r="V1785" t="n">
        <v>0</v>
      </c>
    </row>
    <row r="1786">
      <c r="A1786">
        <f>Skills!A23</f>
        <v/>
      </c>
      <c r="B1786">
        <f>Skills!B23</f>
        <v/>
      </c>
      <c r="C1786">
        <f>Inputs!$B$3&gt;=38</f>
        <v/>
      </c>
      <c r="D1786">
        <f>IF(Skills!C23=1,60+Inputs!$B$25+Inputs!$B$29,IF(Skills!C23=2,90+Inputs!$B$26+Inputs!$B$29,IF(Skills!C23=3,120+Inputs!$B$27+Inputs!$B$29,MAX(0,(Inputs!$B$3-100)*3)+Inputs!$B$28+Inputs!$B$29)))</f>
        <v/>
      </c>
      <c r="E1786">
        <f>INDEX(FactorTable!$B$2:$Y$301, MATCH(ROUND(MIN(300,MAX(1,D1786)),0), FactorTable!$A$2:$A$301,0), Skills!M23+1)</f>
        <v/>
      </c>
      <c r="F1786">
        <f>IF(Skills!N23=TRUE,(Skills!L23/10)*(E1786/1000),Skills!L23/10)+Skills!O23</f>
        <v/>
      </c>
      <c r="G1786">
        <f>Calc!G23</f>
        <v/>
      </c>
      <c r="H1786">
        <f>Calc!H23</f>
        <v/>
      </c>
      <c r="I1786">
        <f>IF(Skills!AA23&lt;&gt;"",1+(Skills!AA23/10)*(U1766/1000)/100,1)</f>
        <v/>
      </c>
      <c r="J1786" t="inlineStr"/>
      <c r="K1786" t="inlineStr"/>
      <c r="L1786" t="inlineStr"/>
      <c r="M1786" t="inlineStr"/>
      <c r="N1786" t="inlineStr"/>
      <c r="O1786">
        <f>(1-Summary!$B$55)*T1786+Summary!$B$55*V1786</f>
        <v/>
      </c>
      <c r="P1786">
        <f>IF(B1807=0,0,O1786/B1807)</f>
        <v/>
      </c>
      <c r="Q1786" t="n">
        <v>0</v>
      </c>
      <c r="R1786" t="n">
        <v>0</v>
      </c>
      <c r="S1786">
        <f>IFERROR(O1786/N1786,0)</f>
        <v/>
      </c>
      <c r="T1786" t="n">
        <v>0</v>
      </c>
      <c r="V1786" t="n">
        <v>0</v>
      </c>
    </row>
    <row r="1787">
      <c r="A1787">
        <f>Skills!A24</f>
        <v/>
      </c>
      <c r="B1787">
        <f>Skills!B24</f>
        <v/>
      </c>
      <c r="C1787">
        <f>Inputs!$B$3&gt;=40</f>
        <v/>
      </c>
      <c r="D1787">
        <f>IF(Skills!C24=1,60+Inputs!$B$25+Inputs!$B$29,IF(Skills!C24=2,90+Inputs!$B$26+Inputs!$B$29,IF(Skills!C24=3,120+Inputs!$B$27+Inputs!$B$29,MAX(0,(Inputs!$B$3-100)*3)+Inputs!$B$28+Inputs!$B$29)))</f>
        <v/>
      </c>
      <c r="E1787">
        <f>INDEX(FactorTable!$B$2:$Y$301, MATCH(ROUND(MIN(300,MAX(1,D1787)),0), FactorTable!$A$2:$A$301,0), Skills!M24+1)</f>
        <v/>
      </c>
      <c r="F1787">
        <f>IF(Skills!N24=TRUE,(Skills!L24/10)*(E1787/1000),Skills!L24/10)+Skills!O24</f>
        <v/>
      </c>
      <c r="G1787">
        <f>Calc!G24</f>
        <v/>
      </c>
      <c r="H1787">
        <f>Calc!H24</f>
        <v/>
      </c>
      <c r="I1787">
        <f>IF(Skills!AA24&lt;&gt;"",1+(Skills!AA24/10)*(U1766/1000)/100,1)</f>
        <v/>
      </c>
      <c r="J1787" t="inlineStr"/>
      <c r="K1787" t="inlineStr"/>
      <c r="L1787" t="inlineStr"/>
      <c r="M1787" t="inlineStr"/>
      <c r="N1787" t="inlineStr"/>
      <c r="O1787">
        <f>(1-Summary!$B$55)*T1787+Summary!$B$55*V1787</f>
        <v/>
      </c>
      <c r="P1787">
        <f>IF(B1807=0,0,O1787/B1807)</f>
        <v/>
      </c>
      <c r="Q1787" t="n">
        <v>0</v>
      </c>
      <c r="R1787" t="n">
        <v>0</v>
      </c>
      <c r="S1787">
        <f>IFERROR(O1787/N1787,0)</f>
        <v/>
      </c>
      <c r="T1787" t="n">
        <v>0</v>
      </c>
      <c r="V1787" t="n">
        <v>0</v>
      </c>
    </row>
    <row r="1788">
      <c r="A1788">
        <f>Skills!A25</f>
        <v/>
      </c>
      <c r="B1788">
        <f>Skills!B25</f>
        <v/>
      </c>
      <c r="C1788">
        <f>Inputs!$B$3&gt;=45</f>
        <v/>
      </c>
      <c r="D1788">
        <f>IF(Skills!C25=1,60+Inputs!$B$25+Inputs!$B$29,IF(Skills!C25=2,90+Inputs!$B$26+Inputs!$B$29,IF(Skills!C25=3,120+Inputs!$B$27+Inputs!$B$29,MAX(0,(Inputs!$B$3-100)*3)+Inputs!$B$28+Inputs!$B$29)))</f>
        <v/>
      </c>
      <c r="E1788">
        <f>INDEX(FactorTable!$B$2:$Y$301, MATCH(ROUND(MIN(300,MAX(1,D1788)),0), FactorTable!$A$2:$A$301,0), Skills!M25+1)</f>
        <v/>
      </c>
      <c r="F1788">
        <f>IF(Skills!N25=TRUE,(Skills!L25/10)*(E1788/1000),Skills!L25/10)+Skills!O25</f>
        <v/>
      </c>
      <c r="G1788">
        <f>Calc!G25</f>
        <v/>
      </c>
      <c r="H1788">
        <f>Calc!H25</f>
        <v/>
      </c>
      <c r="I1788">
        <f>IF(Skills!AA25&lt;&gt;"",1+(Skills!AA25/10)*(U1766/1000)/100,1)</f>
        <v/>
      </c>
      <c r="J1788" t="inlineStr"/>
      <c r="K1788" t="inlineStr"/>
      <c r="L1788" t="inlineStr"/>
      <c r="M1788" t="inlineStr"/>
      <c r="N1788" t="inlineStr"/>
      <c r="O1788">
        <f>(1-Summary!$B$55)*T1788+Summary!$B$55*V1788</f>
        <v/>
      </c>
      <c r="P1788">
        <f>IF(B1807=0,0,O1788/B1807)</f>
        <v/>
      </c>
      <c r="Q1788" t="n">
        <v>0</v>
      </c>
      <c r="R1788" t="n">
        <v>0</v>
      </c>
      <c r="S1788">
        <f>IFERROR(O1788/N1788,0)</f>
        <v/>
      </c>
      <c r="T1788" t="n">
        <v>0</v>
      </c>
      <c r="V1788" t="n">
        <v>0</v>
      </c>
    </row>
    <row r="1789">
      <c r="A1789">
        <f>Skills!A26</f>
        <v/>
      </c>
      <c r="B1789">
        <f>Skills!B26</f>
        <v/>
      </c>
      <c r="C1789">
        <f>Inputs!$B$3&gt;=45</f>
        <v/>
      </c>
      <c r="D1789">
        <f>IF(Skills!C26=1,60+Inputs!$B$25+Inputs!$B$29,IF(Skills!C26=2,90+Inputs!$B$26+Inputs!$B$29,IF(Skills!C26=3,120+Inputs!$B$27+Inputs!$B$29,MAX(0,(Inputs!$B$3-100)*3)+Inputs!$B$28+Inputs!$B$29)))</f>
        <v/>
      </c>
      <c r="E1789">
        <f>INDEX(FactorTable!$B$2:$Y$301, MATCH(ROUND(MIN(300,MAX(1,D1789)),0), FactorTable!$A$2:$A$301,0), Skills!M26+1)</f>
        <v/>
      </c>
      <c r="F1789">
        <f>IF(Skills!N26=TRUE,(Skills!L26/10)*(E1789/1000),Skills!L26/10)+Skills!O26</f>
        <v/>
      </c>
      <c r="G1789">
        <f>Calc!G26</f>
        <v/>
      </c>
      <c r="H1789">
        <f>Calc!H26</f>
        <v/>
      </c>
      <c r="I1789">
        <f>IF(Skills!AA26&lt;&gt;"",1+(Skills!AA26/10)*(U1766/1000)/100,1)</f>
        <v/>
      </c>
      <c r="J1789" t="inlineStr"/>
      <c r="K1789" t="inlineStr"/>
      <c r="L1789" t="inlineStr"/>
      <c r="M1789" t="inlineStr"/>
      <c r="N1789" t="inlineStr"/>
      <c r="O1789">
        <f>(1-Summary!$B$55)*T1789+Summary!$B$55*V1789</f>
        <v/>
      </c>
      <c r="P1789">
        <f>IF(B1807=0,0,O1789/B1807)</f>
        <v/>
      </c>
      <c r="Q1789" t="n">
        <v>0</v>
      </c>
      <c r="R1789" t="n">
        <v>0</v>
      </c>
      <c r="S1789">
        <f>IFERROR(O1789/N1789,0)</f>
        <v/>
      </c>
      <c r="T1789" t="n">
        <v>0</v>
      </c>
      <c r="V1789" t="n">
        <v>0</v>
      </c>
    </row>
    <row r="1790">
      <c r="A1790">
        <f>Skills!A27</f>
        <v/>
      </c>
      <c r="B1790">
        <f>Skills!B27</f>
        <v/>
      </c>
      <c r="C1790">
        <f>Inputs!$B$3&gt;=72</f>
        <v/>
      </c>
      <c r="D1790">
        <f>IF(Skills!C27=1,60+Inputs!$B$25+Inputs!$B$29,IF(Skills!C27=2,90+Inputs!$B$26+Inputs!$B$29,IF(Skills!C27=3,120+Inputs!$B$27+Inputs!$B$29,MAX(0,(Inputs!$B$3-100)*3)+Inputs!$B$28+Inputs!$B$29)))</f>
        <v/>
      </c>
      <c r="E1790">
        <f>INDEX(FactorTable!$B$2:$Y$301, MATCH(ROUND(MIN(300,MAX(1,D1790)),0), FactorTable!$A$2:$A$301,0), Skills!M27+1)</f>
        <v/>
      </c>
      <c r="F1790">
        <f>IF(Skills!N27=TRUE,(Skills!L27/10)*(E1790/1000),Skills!L27/10)+Skills!O27</f>
        <v/>
      </c>
      <c r="G1790">
        <f>Calc!G27</f>
        <v/>
      </c>
      <c r="H1790">
        <f>Calc!H27</f>
        <v/>
      </c>
      <c r="I1790">
        <f>IF(Skills!AA27&lt;&gt;"",1+(Skills!AA27/10)*(U1766/1000)/100,1)</f>
        <v/>
      </c>
      <c r="J1790" t="inlineStr"/>
      <c r="K1790" t="inlineStr"/>
      <c r="L1790" t="inlineStr"/>
      <c r="M1790" t="inlineStr"/>
      <c r="N1790" t="inlineStr"/>
      <c r="O1790">
        <f>(1-Summary!$B$55)*T1790+Summary!$B$55*V1790</f>
        <v/>
      </c>
      <c r="P1790">
        <f>IF(B1807=0,0,O1790/B1807)</f>
        <v/>
      </c>
      <c r="Q1790" t="n">
        <v>0</v>
      </c>
      <c r="R1790" t="n">
        <v>0</v>
      </c>
      <c r="S1790">
        <f>IFERROR(O1790/N1790,0)</f>
        <v/>
      </c>
      <c r="T1790" t="n">
        <v>0</v>
      </c>
      <c r="V1790" t="n">
        <v>0</v>
      </c>
    </row>
    <row r="1791">
      <c r="A1791">
        <f>Skills!A28</f>
        <v/>
      </c>
      <c r="B1791">
        <f>Skills!B28</f>
        <v/>
      </c>
      <c r="C1791">
        <f>Inputs!$B$3&gt;=75</f>
        <v/>
      </c>
      <c r="D1791">
        <f>IF(Skills!C28=1,60+Inputs!$B$25+Inputs!$B$29,IF(Skills!C28=2,90+Inputs!$B$26+Inputs!$B$29,IF(Skills!C28=3,120+Inputs!$B$27+Inputs!$B$29,MAX(0,(Inputs!$B$3-100)*3)+Inputs!$B$28+Inputs!$B$29)))</f>
        <v/>
      </c>
      <c r="E1791">
        <f>INDEX(FactorTable!$B$2:$Y$301, MATCH(ROUND(MIN(300,MAX(1,D1791)),0), FactorTable!$A$2:$A$301,0), Skills!M28+1)</f>
        <v/>
      </c>
      <c r="F1791">
        <f>IF(Skills!N28=TRUE,(Skills!L28/10)*(E1791/1000),Skills!L28/10)+Skills!O28</f>
        <v/>
      </c>
      <c r="G1791">
        <f>Calc!G28</f>
        <v/>
      </c>
      <c r="H1791">
        <f>Calc!H28</f>
        <v/>
      </c>
      <c r="I1791">
        <f>IF(Skills!AA28&lt;&gt;"",1+(Skills!AA28/10)*(U1766/1000)/100,1)</f>
        <v/>
      </c>
      <c r="J1791" t="inlineStr"/>
      <c r="K1791" t="inlineStr"/>
      <c r="L1791" t="inlineStr"/>
      <c r="M1791" t="inlineStr"/>
      <c r="N1791" t="inlineStr"/>
      <c r="O1791">
        <f>(1-Summary!$B$55)*T1791+Summary!$B$55*V1791</f>
        <v/>
      </c>
      <c r="P1791">
        <f>IF(B1807=0,0,O1791/B1807)</f>
        <v/>
      </c>
      <c r="Q1791" t="n">
        <v>0</v>
      </c>
      <c r="R1791" t="n">
        <v>0</v>
      </c>
      <c r="S1791">
        <f>IFERROR(O1791/N1791,0)</f>
        <v/>
      </c>
      <c r="T1791" t="n">
        <v>0</v>
      </c>
      <c r="V1791" t="n">
        <v>0</v>
      </c>
    </row>
    <row r="1792">
      <c r="A1792">
        <f>Skills!A29</f>
        <v/>
      </c>
      <c r="B1792">
        <f>Skills!B29</f>
        <v/>
      </c>
      <c r="C1792">
        <f>Inputs!$B$3&gt;=120</f>
        <v/>
      </c>
      <c r="D1792">
        <f>IF(Skills!C29=1,60+Inputs!$B$25+Inputs!$B$29,IF(Skills!C29=2,90+Inputs!$B$26+Inputs!$B$29,IF(Skills!C29=3,120+Inputs!$B$27+Inputs!$B$29,MAX(0,(Inputs!$B$3-100)*3)+Inputs!$B$28+Inputs!$B$29)))</f>
        <v/>
      </c>
      <c r="E1792">
        <f>INDEX(FactorTable!$B$2:$Y$301, MATCH(ROUND(MIN(300,MAX(1,D1792)),0), FactorTable!$A$2:$A$301,0), Skills!M29+1)</f>
        <v/>
      </c>
      <c r="F1792">
        <f>IF(Skills!N29=TRUE,(Skills!L29/10)*(E1792/1000),Skills!L29/10)+Skills!O29</f>
        <v/>
      </c>
      <c r="G1792">
        <f>Calc!G29</f>
        <v/>
      </c>
      <c r="H1792">
        <f>Calc!H29</f>
        <v/>
      </c>
      <c r="I1792">
        <f>IF(Skills!AA29&lt;&gt;"",1+(Skills!AA29/10)*(U1766/1000)/100,1)</f>
        <v/>
      </c>
      <c r="J1792" t="inlineStr"/>
      <c r="K1792" t="inlineStr"/>
      <c r="L1792" t="inlineStr"/>
      <c r="M1792" t="inlineStr"/>
      <c r="N1792" t="inlineStr"/>
      <c r="O1792">
        <f>(1-Summary!$B$55)*T1792+Summary!$B$55*V1792</f>
        <v/>
      </c>
      <c r="P1792">
        <f>IF(B1807=0,0,O1792/B1807)</f>
        <v/>
      </c>
      <c r="Q1792" t="n">
        <v>0</v>
      </c>
      <c r="R1792" t="n">
        <v>0</v>
      </c>
      <c r="S1792">
        <f>IFERROR(O1792/N1792,0)</f>
        <v/>
      </c>
      <c r="T1792" t="n">
        <v>0</v>
      </c>
      <c r="V1792" t="n">
        <v>0</v>
      </c>
    </row>
    <row r="1793">
      <c r="A1793">
        <f>Skills!A30</f>
        <v/>
      </c>
      <c r="B1793">
        <f>Skills!B30</f>
        <v/>
      </c>
      <c r="C1793">
        <f>Inputs!$B$3&gt;=125</f>
        <v/>
      </c>
      <c r="D1793">
        <f>IF(Skills!C30=1,60+Inputs!$B$25+Inputs!$B$29,IF(Skills!C30=2,90+Inputs!$B$26+Inputs!$B$29,IF(Skills!C30=3,120+Inputs!$B$27+Inputs!$B$29,MAX(0,(Inputs!$B$3-100)*3)+Inputs!$B$28+Inputs!$B$29)))</f>
        <v/>
      </c>
      <c r="E1793">
        <f>INDEX(FactorTable!$B$2:$Y$301, MATCH(ROUND(MIN(300,MAX(1,D1793)),0), FactorTable!$A$2:$A$301,0), Skills!M30+1)</f>
        <v/>
      </c>
      <c r="F1793">
        <f>IF(Skills!N30=TRUE,(Skills!L30/10)*(E1793/1000),Skills!L30/10)+Skills!O30</f>
        <v/>
      </c>
      <c r="G1793">
        <f>Calc!G30</f>
        <v/>
      </c>
      <c r="H1793">
        <f>Calc!H30</f>
        <v/>
      </c>
      <c r="I1793">
        <f>IF(Skills!AA30&lt;&gt;"",1+(Skills!AA30/10)*(U1766/1000)/100,1)</f>
        <v/>
      </c>
      <c r="J1793" t="inlineStr"/>
      <c r="K1793" t="inlineStr"/>
      <c r="L1793" t="inlineStr"/>
      <c r="M1793" t="inlineStr"/>
      <c r="N1793" t="inlineStr"/>
      <c r="O1793">
        <f>(1-Summary!$B$55)*T1793+Summary!$B$55*V1793</f>
        <v/>
      </c>
      <c r="P1793">
        <f>IF(B1807=0,0,O1793/B1807)</f>
        <v/>
      </c>
      <c r="Q1793" t="n">
        <v>0</v>
      </c>
      <c r="R1793" t="n">
        <v>0</v>
      </c>
      <c r="S1793">
        <f>IFERROR(O1793/N1793,0)</f>
        <v/>
      </c>
      <c r="T1793" t="n">
        <v>0</v>
      </c>
      <c r="V1793" t="n">
        <v>0</v>
      </c>
    </row>
    <row r="1794">
      <c r="A1794">
        <f>Skills!A31</f>
        <v/>
      </c>
      <c r="B1794">
        <f>Skills!B31</f>
        <v/>
      </c>
      <c r="C1794">
        <f>Inputs!$B$3&gt;=107</f>
        <v/>
      </c>
      <c r="D1794">
        <f>IF(Skills!C31=1,60+Inputs!$B$25+Inputs!$B$29,IF(Skills!C31=2,90+Inputs!$B$26+Inputs!$B$29,IF(Skills!C31=3,120+Inputs!$B$27+Inputs!$B$29,MAX(0,(Inputs!$B$3-100)*3)+Inputs!$B$28+Inputs!$B$29)))</f>
        <v/>
      </c>
      <c r="E1794">
        <f>INDEX(FactorTable!$B$2:$Y$301, MATCH(ROUND(MIN(300,MAX(1,D1794)),0), FactorTable!$A$2:$A$301,0), Skills!M31+1)</f>
        <v/>
      </c>
      <c r="F1794">
        <f>IF(Skills!N31=TRUE,(Skills!L31/10)*(E1794/1000),Skills!L31/10)+Skills!O31</f>
        <v/>
      </c>
      <c r="G1794">
        <f>Calc!G31</f>
        <v/>
      </c>
      <c r="H1794">
        <f>Calc!H31</f>
        <v/>
      </c>
      <c r="I1794">
        <f>IF(Skills!AA31&lt;&gt;"",1+(Skills!AA31/10)*(U1766/1000)/100,1)</f>
        <v/>
      </c>
      <c r="J1794" t="inlineStr"/>
      <c r="K1794" t="inlineStr"/>
      <c r="L1794" t="inlineStr"/>
      <c r="M1794" t="inlineStr"/>
      <c r="N1794" t="inlineStr"/>
      <c r="O1794">
        <f>(1-Summary!$B$55)*T1794+Summary!$B$55*V1794</f>
        <v/>
      </c>
      <c r="P1794">
        <f>IF(B1807=0,0,O1794/B1807)</f>
        <v/>
      </c>
      <c r="Q1794" t="n">
        <v>0</v>
      </c>
      <c r="R1794" t="n">
        <v>0</v>
      </c>
      <c r="S1794">
        <f>IFERROR(O1794/N1794,0)</f>
        <v/>
      </c>
      <c r="T1794" t="n">
        <v>0</v>
      </c>
      <c r="V1794" t="n">
        <v>0</v>
      </c>
    </row>
    <row r="1796">
      <c r="A1796" t="inlineStr">
        <is>
          <t>Actions Per Second (pre-Adrenalin)</t>
        </is>
      </c>
      <c r="B1796">
        <f>1+MIN(150,150*(1-(1-(Inputs!$B$11+((C1785=TRUE)*(F1785-Calc!F22)))/150)*(1-((C1782=TRUE)*F1782*IF(AND(Inputs!$B$39&lt;&gt;"pvp",Inputs!$B$44&gt;0),(((R1782-1)*(Skills!Y19*(1+Inputs!$B$34/100))+MIN((Skills!Y19*(1+Inputs!$B$34/100)),MAX(0,Inputs!$B$44-((R1782-1)*Skills!D19))))/Inputs!$B$44),IF(Inputs!$B$39="pvp",MIN((Skills!Y19*(1+Inputs!$B$34/100)),15)/15,(Skills!Y19*(1+Inputs!$B$34/100))/Skills!D19)))/150)))/100</f>
        <v/>
      </c>
    </row>
    <row r="1797">
      <c r="A1797" t="inlineStr">
        <is>
          <t>Alchemic Adrenaline Uptime</t>
        </is>
      </c>
      <c r="B1797">
        <f>(Skills!Y6*(1+Inputs!$B$34/100))/((Skills!Y6*(1+Inputs!$B$34/100))+(5/B1796))</f>
        <v/>
      </c>
    </row>
    <row r="1798">
      <c r="A1798" t="inlineStr">
        <is>
          <t>Attack Speed Buff Bonus %</t>
        </is>
      </c>
      <c r="B1798">
        <f>((C1782=TRUE)*F1782*IF(AND(Inputs!$B$39&lt;&gt;"pvp",Inputs!$B$44&gt;0),(((R1782-1)*(Skills!Y19*(1+Inputs!$B$34/100))+MIN((Skills!Y19*(1+Inputs!$B$34/100)),MAX(0,Inputs!$B$44-((R1782-1)*Skills!D19))))/Inputs!$B$44),IF(Inputs!$B$39="pvp",MIN((Skills!Y19*(1+Inputs!$B$34/100)),15)/15,(Skills!Y19*(1+Inputs!$B$34/100))/Skills!D19)))+((C1770=TRUE)*F1770*B1797)</f>
        <v/>
      </c>
    </row>
    <row r="1799">
      <c r="A1799" t="inlineStr">
        <is>
          <t>Actions Per Second (final)</t>
        </is>
      </c>
      <c r="B1799">
        <f>1+MIN(150,150*(1-(1-(Inputs!$B$11+((C1785=TRUE)*(F1785-Calc!F22)))/150)*(1-B1798/150)))/100</f>
        <v/>
      </c>
    </row>
    <row r="1800">
      <c r="A1800" t="inlineStr">
        <is>
          <t>Skill + Buff Cast Rate</t>
        </is>
      </c>
      <c r="B1800">
        <f>IF(AND(Inputs!$B$39&lt;&gt;"pvp",Inputs!$B$44&gt;0),SUMPRODUCT((Skills!E2:E31=TRUE)*(C1765:C1794=TRUE)*R1765:R1794*Skills!F2:F31)/Inputs!$B$44,SUMPRODUCT((Skills!E2:E31=TRUE)*(C1765:C1794=TRUE)*Q1765:Q1794*Skills!F2:F31))</f>
        <v/>
      </c>
    </row>
    <row r="1801">
      <c r="A1801" t="inlineStr">
        <is>
          <t>Showdown Casts Per Second</t>
        </is>
      </c>
      <c r="B1801">
        <f>MAX(0,B1799-B1800)</f>
        <v/>
      </c>
    </row>
    <row r="1802">
      <c r="A1802" t="inlineStr">
        <is>
          <t>Average Buff Multiplier</t>
        </is>
      </c>
      <c r="B1802">
        <f>(1+(((C1784=TRUE)*F1784*IF(AND(Inputs!$B$39&lt;&gt;"pvp",Inputs!$B$44&gt;0),(((R1784-1)*(Skills!Y21*(1+Inputs!$B$34/100))+MIN((Skills!Y21*(1+Inputs!$B$34/100)),MAX(0,Inputs!$B$44-((R1784-1)*Skills!D21))))/Inputs!$B$44),IF(Inputs!$B$39="pvp",MIN((Skills!Y21*(1+Inputs!$B$34/100)),15)/15,(Skills!Y21*(1+Inputs!$B$34/100))/Skills!D21)))+((C1791=TRUE)*(F1791-Calc!F28))+((C1781=TRUE)*(F1781-Calc!F18)))/100)*(1+((C1778=TRUE)*F1778*IF(AND(Inputs!$B$39&lt;&gt;"pvp",Inputs!$B$44&gt;0),(((R1778-1)*(Skills!Y15*(1+Inputs!$B$34/100))+MIN((Skills!Y15*(1+Inputs!$B$34/100)),MAX(0,Inputs!$B$44-((R1778-1)*Skills!D15))))/Inputs!$B$44),IF(Inputs!$B$39="pvp",MIN((Skills!Y15*(1+Inputs!$B$34/100)),15)/15,(Skills!Y15*(1+Inputs!$B$34/100))/Skills!D15)))/100)*(1+((C1769=TRUE)*F1769*B1797)/100)</f>
        <v/>
      </c>
    </row>
    <row r="1803">
      <c r="A1803" t="inlineStr">
        <is>
          <t>Global Crit Rate Bonus %</t>
        </is>
      </c>
      <c r="B1803">
        <f>IF(Inputs!$B$3&gt;=47,8,0)+((C1783=TRUE)*F1783*IF(AND(Inputs!$B$39&lt;&gt;"pvp",Inputs!$B$44&gt;0),(((R1783-1)*(Skills!Y20*(1+Inputs!$B$34/100))+MIN((Skills!Y20*(1+Inputs!$B$34/100)),MAX(0,Inputs!$B$44-((R1783-1)*Skills!D20))))/Inputs!$B$44),IF(Inputs!$B$39="pvp",MIN((Skills!Y20*(1+Inputs!$B$34/100)),15)/15,(Skills!Y20*(1+Inputs!$B$34/100))/Skills!D20)))</f>
        <v/>
      </c>
    </row>
    <row r="1804">
      <c r="A1804" t="inlineStr">
        <is>
          <t>Global Monster Damage-Taken Bonus %</t>
        </is>
      </c>
      <c r="B1804">
        <f>IF(Inputs!$B$3&gt;=82,15,0)+((C1779=TRUE)*F1779*IF(AND(Inputs!$B$39&lt;&gt;"pvp",Inputs!$B$44&gt;0),(((R1779-1)*(Skills!Y16*(1+Inputs!$B$34/100))+MIN((Skills!Y16*(1+Inputs!$B$34/100)),MAX(0,Inputs!$B$44-((R1779-1)*Skills!D16))))/Inputs!$B$44),IF(Inputs!$B$39="pvp",MIN((Skills!Y16*(1+Inputs!$B$34/100)),15)/15,(Skills!Y16*(1+Inputs!$B$34/100))/Skills!D16)))</f>
        <v/>
      </c>
    </row>
    <row r="1805">
      <c r="A1805" t="inlineStr">
        <is>
          <t>Shadow Partner Average Multiplier</t>
        </is>
      </c>
      <c r="B1805">
        <f>1+((C1774=TRUE)*F1774*I1774*Skills!J11/100)/100</f>
        <v/>
      </c>
    </row>
    <row r="1806">
      <c r="A1806" t="inlineStr">
        <is>
          <t>Global Critical Damage Bonus % (Frailty Curse Mastery Lv.111)</t>
        </is>
      </c>
      <c r="B1806">
        <f>IF(Inputs!$B$3&gt;=111,30,0)*IF(AND(Inputs!$B$39&lt;&gt;"pvp",Inputs!$B$44&gt;0),(((R1779-1)*(Skills!Y16*(1+Inputs!$B$34/100))+MIN((Skills!Y16*(1+Inputs!$B$34/100)),MAX(0,Inputs!$B$44-((R1779-1)*Skills!D16))))/Inputs!$B$44),IF(Inputs!$B$39="pvp",MIN((Skills!Y16*(1+Inputs!$B$34/100)),15)/15,(Skills!Y16*(1+Inputs!$B$34/100))/Skills!D16))</f>
        <v/>
      </c>
    </row>
    <row r="1807">
      <c r="A1807" s="5" t="inlineStr">
        <is>
          <t>TOTAL DPS</t>
        </is>
      </c>
      <c r="B1807" s="5">
        <f>SUM(O1765:O1794)</f>
        <v/>
      </c>
    </row>
    <row r="1808">
      <c r="A1808" t="inlineStr">
        <is>
          <t>Buff-Casting Startup Delay (s, fixed-duration only)</t>
        </is>
      </c>
      <c r="B1808">
        <f>IF(AND(Inputs!$B$39&lt;&gt;"pvp",Inputs!$B$44&gt;0),SUMPRODUCT((Skills!Y2:Y31&gt;0)*(Skills!E2:E31=TRUE)*(C1765:C1794=TRUE))/B1799,0)</f>
        <v/>
      </c>
    </row>
    <row r="1809">
      <c r="A1809" t="inlineStr">
        <is>
          <t>Boss-Only Total DPS (this block's swept value)</t>
        </is>
      </c>
      <c r="B1809">
        <f>SUM(T1765:T1794)</f>
        <v/>
      </c>
    </row>
    <row r="1810">
      <c r="A1810" t="inlineStr">
        <is>
          <t>Normal-Only Total DPS (this block's swept value)</t>
        </is>
      </c>
      <c r="B1810">
        <f>SUM(V1765:V1794)</f>
        <v/>
      </c>
    </row>
    <row r="1812">
      <c r="A1812" s="5" t="inlineStr">
        <is>
          <t>Stat: CDR = 5.0s</t>
        </is>
      </c>
    </row>
    <row r="1813">
      <c r="A1813" s="9" t="inlineStr">
        <is>
          <t>Key</t>
        </is>
      </c>
      <c r="B1813" s="9" t="inlineStr">
        <is>
          <t>Name</t>
        </is>
      </c>
      <c r="C1813" s="9" t="inlineStr">
        <is>
          <t>Unlocked</t>
        </is>
      </c>
      <c r="D1813" s="9" t="inlineStr">
        <is>
          <t>InputLevel</t>
        </is>
      </c>
      <c r="E1813" s="9" t="inlineStr">
        <is>
          <t>Factor</t>
        </is>
      </c>
      <c r="F1813" s="9" t="inlineStr">
        <is>
          <t>CoefficientPercent</t>
        </is>
      </c>
      <c r="G1813" s="9" t="inlineStr">
        <is>
          <t>EffectiveHits</t>
        </is>
      </c>
      <c r="H1813" s="9" t="inlineStr">
        <is>
          <t>ProcProbability</t>
        </is>
      </c>
      <c r="I1813" s="9" t="inlineStr">
        <is>
          <t>MapleHeroMultiplier</t>
        </is>
      </c>
      <c r="J1813" s="9" t="inlineStr">
        <is>
          <t>BaseDamage</t>
        </is>
      </c>
      <c r="K1813" s="9" t="inlineStr">
        <is>
          <t>BaseHitDamage</t>
        </is>
      </c>
      <c r="L1813" s="9" t="inlineStr">
        <is>
          <t>NonCritAvg</t>
        </is>
      </c>
      <c r="M1813" s="9" t="inlineStr">
        <is>
          <t>CritAvg</t>
        </is>
      </c>
      <c r="N1813" s="9" t="inlineStr">
        <is>
          <t>ExpectedDamage(perHit)</t>
        </is>
      </c>
      <c r="O1813" s="9" t="inlineStr">
        <is>
          <t>DPS</t>
        </is>
      </c>
      <c r="P1813" s="9" t="inlineStr">
        <is>
          <t>% of Total</t>
        </is>
      </c>
      <c r="Q1813" s="9" t="inlineStr">
        <is>
          <t>InvCooldown</t>
        </is>
      </c>
      <c r="R1813" s="9" t="inlineStr">
        <is>
          <t>CastsInFight</t>
        </is>
      </c>
      <c r="S1813" s="9" t="inlineStr">
        <is>
          <t>HitRate(perSec)</t>
        </is>
      </c>
      <c r="U1813" t="inlineStr">
        <is>
          <t>helpers</t>
        </is>
      </c>
    </row>
    <row r="1814">
      <c r="A1814">
        <f>Skills!A2</f>
        <v/>
      </c>
      <c r="B1814">
        <f>Skills!B2</f>
        <v/>
      </c>
      <c r="C1814">
        <f>Inputs!$B$3&gt;=100</f>
        <v/>
      </c>
      <c r="D1814" t="inlineStr"/>
      <c r="E1814" t="inlineStr"/>
      <c r="F1814">
        <f>U1818+Skills!O2</f>
        <v/>
      </c>
      <c r="G1814">
        <f>Calc!G2</f>
        <v/>
      </c>
      <c r="H1814">
        <f>Calc!H2</f>
        <v/>
      </c>
      <c r="I1814">
        <f>IF(Skills!AA2&lt;&gt;"",1+(Skills!AA2/10)*(U1815/1000)/100,1)</f>
        <v/>
      </c>
      <c r="J1814">
        <f>((Inputs!$B$6*(1+Inputs!$B$7/100))+(((Inputs!$B$12*(1+Inputs!$B$13/100))-(Inputs!$B$12*(1+Inputs!$B$13/100)))+0.25*(Inputs!$B$14-Inputs!$B$14))*(1+Inputs!$B$7/100))*(F1814/100)</f>
        <v/>
      </c>
      <c r="K1814">
        <f>J1814*(1+((Inputs!$B$12*(1+Inputs!$B$13/100))*0.01+Inputs!$B$14*0.0025)/100)*(1+Inputs!$B$15/100)*(1+Inputs!$B$16/100)*(5000/(6000+Inputs!$B$43*(1-Inputs!$B$19/100)))*(1+(Inputs!$B$24+((C1842=TRUE)*(F1842-Calc!F30)))/100)*(1+Skills!R2/100)*(1+(IF(Skills!A2="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1814)</f>
        <v/>
      </c>
      <c r="L1814">
        <f>K1814*(MIN(Inputs!$B$22+((C1836=TRUE)*(F1836-Calc!F24)),Inputs!$B$23)/100+Inputs!$B$23/100)/2</f>
        <v/>
      </c>
      <c r="M1814">
        <f>L1814*(1+(Inputs!$B$10+((C1838=TRUE)*(F1838-Calc!F26))+B1855)/100)</f>
        <v/>
      </c>
      <c r="N1814">
        <f>L1814*(1-MIN((Inputs!$B$9+((C1837=TRUE)*(F1837-Calc!F25))+B1852),100)/100)+M1814*(MIN((Inputs!$B$9+((C1837=TRUE)*(F1837-Calc!F25))+B1852),100)/100)</f>
        <v/>
      </c>
      <c r="O1814">
        <f>(1-Summary!$B$55)*T1814+Summary!$B$55*V1814</f>
        <v/>
      </c>
      <c r="P1814">
        <f>IF(B1856=0,0,O1814/B1856)</f>
        <v/>
      </c>
      <c r="Q1814" t="n">
        <v>0</v>
      </c>
      <c r="R1814" t="n">
        <v>0</v>
      </c>
      <c r="S1814">
        <f>IFERROR(O1814/N1814,0)</f>
        <v/>
      </c>
      <c r="T1814">
        <f>IF(C1814,(Skills!G2*N1814*B1850)*IF(Inputs!$B$39="pvp",1,1+(Inputs!$B$20+((C1839=TRUE)*(F1839-Calc!F27))+Skills!P2+B1853)/100),0)</f>
        <v/>
      </c>
      <c r="U1814">
        <f>MAX(0,(Inputs!$B$3-100)*3)+Inputs!$B$28+Inputs!$B$29</f>
        <v/>
      </c>
      <c r="V1814">
        <f>IF(C1814,(Skills!G2*N1814*B1850)*IF(Inputs!$B$39="pvp",1,(1+(Inputs!$B$21+Skills!Q2+B1853)/100)*(MIN((6+Inputs!$B$33),Inputs!$B$37))),0)</f>
        <v/>
      </c>
    </row>
    <row r="1815">
      <c r="A1815">
        <f>Skills!A3</f>
        <v/>
      </c>
      <c r="B1815">
        <f>Skills!B3</f>
        <v/>
      </c>
      <c r="C1815">
        <f>Inputs!$B$3&gt;=35</f>
        <v/>
      </c>
      <c r="D1815">
        <f>IF(Skills!C3=1,60+Inputs!$B$25+Inputs!$B$29,IF(Skills!C3=2,90+Inputs!$B$26+Inputs!$B$29,IF(Skills!C3=3,120+Inputs!$B$27+Inputs!$B$29,MAX(0,(Inputs!$B$3-100)*3)+Inputs!$B$28+Inputs!$B$29)))</f>
        <v/>
      </c>
      <c r="E1815">
        <f>INDEX(FactorTable!$B$2:$Y$301, MATCH(ROUND(MIN(300,MAX(1,D1815)),0), FactorTable!$A$2:$A$301,0), Skills!M3+1)</f>
        <v/>
      </c>
      <c r="F1815">
        <f>IF(Skills!N3=TRUE,(Skills!L3/10)*(E1815/1000),Skills!L3/10)+Skills!O3</f>
        <v/>
      </c>
      <c r="G1815">
        <f>Calc!G3</f>
        <v/>
      </c>
      <c r="H1815">
        <f>Calc!H3</f>
        <v/>
      </c>
      <c r="I1815">
        <f>IF(Skills!AA3&lt;&gt;"",1+(Skills!AA3/10)*(U1815/1000)/100,1)</f>
        <v/>
      </c>
      <c r="J1815">
        <f>((Inputs!$B$6*(1+Inputs!$B$7/100))+(((Inputs!$B$12*(1+Inputs!$B$13/100))-(Inputs!$B$12*(1+Inputs!$B$13/100)))+0.25*(Inputs!$B$14-Inputs!$B$14))*(1+Inputs!$B$7/100))*(F1815/100)</f>
        <v/>
      </c>
      <c r="K1815">
        <f>J1815*(1+((Inputs!$B$12*(1+Inputs!$B$13/100))*0.01+Inputs!$B$14*0.0025)/100)*(1+Inputs!$B$15/100)*(1+Inputs!$B$16/100)*(5000/(6000+Inputs!$B$43*(1-Inputs!$B$19/100)))*(1+(Inputs!$B$24+((C1842=TRUE)*(F1842-Calc!F30)))/100)*(1+Skills!R3/100)*(1+(IF(Skills!A3="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1815)</f>
        <v/>
      </c>
      <c r="L1815">
        <f>K1815*(MIN(Inputs!$B$22+((C1836=TRUE)*(F1836-Calc!F24)),Inputs!$B$23)/100+Inputs!$B$23/100)/2</f>
        <v/>
      </c>
      <c r="M1815">
        <f>L1815*(1+(Inputs!$B$10+((C1838=TRUE)*(F1838-Calc!F26))+B1855)/100)</f>
        <v/>
      </c>
      <c r="N1815">
        <f>L1815*(1-MIN((Inputs!$B$9+((C1837=TRUE)*(F1837-Calc!F25))+B1852),100)/100)+M1815*(MIN((Inputs!$B$9+((C1837=TRUE)*(F1837-Calc!F25))+B1852),100)/100)</f>
        <v/>
      </c>
      <c r="O1815">
        <f>(1-Summary!$B$55)*T1815+Summary!$B$55*V1815</f>
        <v/>
      </c>
      <c r="P1815">
        <f>IF(B1856=0,0,O1815/B1856)</f>
        <v/>
      </c>
      <c r="Q1815">
        <f>IFERROR(1/IF(Inputs!$B$39="pvp",15,MAX(0.1,Skills!D3-IF(Skills!E3=TRUE,5.0,0))),0)</f>
        <v/>
      </c>
      <c r="R1815">
        <f>IF(AND(Inputs!$B$39&lt;&gt;"pvp",Inputs!$B$44&gt;0),IF(MAX(0,Inputs!$B$44-B1857)&lt;=0,0,(INT(MAX(0,Inputs!$B$44-B1857)/IF(Inputs!$B$39="pvp",15,MAX(0.1,Skills!D3-IF(Skills!E3=TRUE,5.0,0))))+1)),0)</f>
        <v/>
      </c>
      <c r="S1815">
        <f>IFERROR(O1815/N1815,0)</f>
        <v/>
      </c>
      <c r="T1815">
        <f>IF(C1815,(H1815*N1815*IF(AND(Inputs!$B$39&lt;&gt;"pvp",Inputs!$B$44&gt;0),((Skills!G3*((R1815-1)*IF(Skills!H3&gt;0,Skills!I3/Skills!H3,1)+IF(Skills!H3&gt;0,MIN(Skills!I3,MAX(0,MAX(0,Inputs!$B$44-B1857)-((R1815-1)*IF(Inputs!$B$39="pvp",15,MAX(0.1,Skills!D3-IF(Skills!E3=TRUE,5.0,0))))))/Skills!H3,1)))/Inputs!$B$44),G1815*Q1815))*IF(Inputs!$B$39="pvp",1,1+(Inputs!$B$20+((C1839=TRUE)*(F1839-Calc!F27))+Skills!P3+B1853)/100),0)</f>
        <v/>
      </c>
      <c r="U1815">
        <f>INDEX(FactorTable!$B$2:$Y$301, MATCH(ROUND(MIN(300,MAX(1,U1814)),0), FactorTable!$A$2:$A$301,0), 24)</f>
        <v/>
      </c>
      <c r="V1815">
        <f>IF(C1815,(H1815*N1815*IF(AND(Inputs!$B$39&lt;&gt;"pvp",Inputs!$B$44&gt;0),((Skills!G3*((R1815-1)*IF(Skills!H3&gt;0,Skills!I3/Skills!H3,1)+IF(Skills!H3&gt;0,MIN(Skills!I3,MAX(0,MAX(0,Inputs!$B$44-B1857)-((R1815-1)*IF(Inputs!$B$39="pvp",15,MAX(0.1,Skills!D3-IF(Skills!E3=TRUE,5.0,0))))))/Skills!H3,1)))/Inputs!$B$44),G1815*Q1815))*IF(Inputs!$B$39="pvp",1,(1+(Inputs!$B$21+Skills!Q3+B1853)/100)*(MIN(Skills!W3,Inputs!$B$37))),0)</f>
        <v/>
      </c>
    </row>
    <row r="1816">
      <c r="A1816">
        <f>Skills!A4</f>
        <v/>
      </c>
      <c r="B1816">
        <f>Skills!B4</f>
        <v/>
      </c>
      <c r="C1816">
        <f>Inputs!$B$3&gt;=40</f>
        <v/>
      </c>
      <c r="D1816">
        <f>IF(Skills!C4=1,60+Inputs!$B$25+Inputs!$B$29,IF(Skills!C4=2,90+Inputs!$B$26+Inputs!$B$29,IF(Skills!C4=3,120+Inputs!$B$27+Inputs!$B$29,MAX(0,(Inputs!$B$3-100)*3)+Inputs!$B$28+Inputs!$B$29)))</f>
        <v/>
      </c>
      <c r="E1816">
        <f>INDEX(FactorTable!$B$2:$Y$301, MATCH(ROUND(MIN(300,MAX(1,D1816)),0), FactorTable!$A$2:$A$301,0), Skills!M4+1)</f>
        <v/>
      </c>
      <c r="F1816">
        <f>IF(Skills!N4=TRUE,(Skills!L4/10)*(E1816/1000),Skills!L4/10)+Skills!O4</f>
        <v/>
      </c>
      <c r="G1816">
        <f>Calc!G4</f>
        <v/>
      </c>
      <c r="H1816">
        <f>Calc!H4</f>
        <v/>
      </c>
      <c r="I1816">
        <f>IF(Skills!AA4&lt;&gt;"",1+(Skills!AA4/10)*(U1815/1000)/100,1)</f>
        <v/>
      </c>
      <c r="J1816">
        <f>((Inputs!$B$6*(1+Inputs!$B$7/100))+(((Inputs!$B$12*(1+Inputs!$B$13/100))-(Inputs!$B$12*(1+Inputs!$B$13/100)))+0.25*(Inputs!$B$14-Inputs!$B$14))*(1+Inputs!$B$7/100))*(F1816/100)</f>
        <v/>
      </c>
      <c r="K1816">
        <f>J1816*(1+((Inputs!$B$12*(1+Inputs!$B$13/100))*0.01+Inputs!$B$14*0.0025)/100)*(1+Inputs!$B$15/100)*(1+Inputs!$B$16/100)*(5000/(6000+Inputs!$B$43*(1-Inputs!$B$19/100)))*(1+(Inputs!$B$24+((C1842=TRUE)*(F1842-Calc!F30)))/100)*(1+Skills!R4/100)*(1+(IF(Skills!A4="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1816)</f>
        <v/>
      </c>
      <c r="L1816">
        <f>K1816*(MIN(Inputs!$B$22+((C1836=TRUE)*(F1836-Calc!F24)),Inputs!$B$23)/100+Inputs!$B$23/100)/2</f>
        <v/>
      </c>
      <c r="M1816">
        <f>L1816*(1+(Inputs!$B$10+((C1838=TRUE)*(F1838-Calc!F26))+B1855)/100)</f>
        <v/>
      </c>
      <c r="N1816">
        <f>L1816*(1-MIN((Inputs!$B$9+((C1837=TRUE)*(F1837-Calc!F25))+B1852),100)/100)+M1816*(MIN((Inputs!$B$9+((C1837=TRUE)*(F1837-Calc!F25))+B1852),100)/100)</f>
        <v/>
      </c>
      <c r="O1816">
        <f>(1-Summary!$B$55)*T1816+Summary!$B$55*V1816</f>
        <v/>
      </c>
      <c r="P1816">
        <f>IF(B1856=0,0,O1816/B1856)</f>
        <v/>
      </c>
      <c r="Q1816">
        <f>IFERROR(1/IF(Inputs!$B$39="pvp",15,MAX(0.1,Skills!D4-IF(Skills!E4=TRUE,5.0,0))),0)</f>
        <v/>
      </c>
      <c r="R1816">
        <f>IF(AND(Inputs!$B$39&lt;&gt;"pvp",Inputs!$B$44&gt;0),IF(MAX(0,Inputs!$B$44-B1857)&lt;=0,0,(INT(MAX(0,Inputs!$B$44-B1857)/IF(Inputs!$B$39="pvp",15,MAX(0.1,Skills!D4-IF(Skills!E4=TRUE,5.0,0))))+1)),0)</f>
        <v/>
      </c>
      <c r="S1816">
        <f>IFERROR(O1816/N1816,0)</f>
        <v/>
      </c>
      <c r="T1816">
        <f>IF(C1816,(H1816*N1816*IF(AND(Inputs!$B$39&lt;&gt;"pvp",Inputs!$B$44&gt;0),((Skills!G4*((R1816-1)*IF(Skills!H4&gt;0,Skills!I4/Skills!H4,1)+IF(Skills!H4&gt;0,MIN(Skills!I4,MAX(0,MAX(0,Inputs!$B$44-B1857)-((R1816-1)*IF(Inputs!$B$39="pvp",15,MAX(0.1,Skills!D4-IF(Skills!E4=TRUE,5.0,0))))))/Skills!H4,1)))/Inputs!$B$44),G1816*Q1816))*IF(Inputs!$B$39="pvp",1,1+(Inputs!$B$20+((C1839=TRUE)*(F1839-Calc!F27))+Skills!P4+B1853)/100),0)</f>
        <v/>
      </c>
      <c r="U1816">
        <f>MAX(0,(Inputs!$B$3-100)*3)+Inputs!$B$28+Inputs!$B$29</f>
        <v/>
      </c>
      <c r="V1816">
        <f>IF(C1816,(H1816*N1816*IF(AND(Inputs!$B$39&lt;&gt;"pvp",Inputs!$B$44&gt;0),((Skills!G4*((R1816-1)*IF(Skills!H4&gt;0,Skills!I4/Skills!H4,1)+IF(Skills!H4&gt;0,MIN(Skills!I4,MAX(0,MAX(0,Inputs!$B$44-B1857)-((R1816-1)*IF(Inputs!$B$39="pvp",15,MAX(0.1,Skills!D4-IF(Skills!E4=TRUE,5.0,0))))))/Skills!H4,1)))/Inputs!$B$44),G1816*Q1816))*IF(Inputs!$B$39="pvp",1,(1+(Inputs!$B$21+Skills!Q4+B1853)/100)*(MIN(Skills!W4,Inputs!$B$37))),0)</f>
        <v/>
      </c>
    </row>
    <row r="1817">
      <c r="A1817">
        <f>Skills!A5</f>
        <v/>
      </c>
      <c r="B1817">
        <f>Skills!B5</f>
        <v/>
      </c>
      <c r="C1817">
        <f>Inputs!$B$3&gt;=63</f>
        <v/>
      </c>
      <c r="D1817">
        <f>IF(Skills!C5=1,60+Inputs!$B$25+Inputs!$B$29,IF(Skills!C5=2,90+Inputs!$B$26+Inputs!$B$29,IF(Skills!C5=3,120+Inputs!$B$27+Inputs!$B$29,MAX(0,(Inputs!$B$3-100)*3)+Inputs!$B$28+Inputs!$B$29)))</f>
        <v/>
      </c>
      <c r="E1817">
        <f>INDEX(FactorTable!$B$2:$Y$301, MATCH(ROUND(MIN(300,MAX(1,D1817)),0), FactorTable!$A$2:$A$301,0), Skills!M5+1)</f>
        <v/>
      </c>
      <c r="F1817">
        <f>IF(Skills!N5=TRUE,(Skills!L5/10)*(E1817/1000),Skills!L5/10)+Skills!O5</f>
        <v/>
      </c>
      <c r="G1817">
        <f>Calc!G5</f>
        <v/>
      </c>
      <c r="H1817">
        <f>Calc!H5</f>
        <v/>
      </c>
      <c r="I1817">
        <f>IF(Skills!AA5&lt;&gt;"",1+(Skills!AA5/10)*(U1815/1000)/100,1)</f>
        <v/>
      </c>
      <c r="J1817">
        <f>((Inputs!$B$6*(1+Inputs!$B$7/100))+(((Inputs!$B$12*(1+Inputs!$B$13/100))-(Inputs!$B$12*(1+Inputs!$B$13/100)))+0.25*(Inputs!$B$14-Inputs!$B$14))*(1+Inputs!$B$7/100))*(F1817/100)</f>
        <v/>
      </c>
      <c r="K1817">
        <f>J1817*(1+((Inputs!$B$12*(1+Inputs!$B$13/100))*0.01+Inputs!$B$14*0.0025)/100)*(1+Inputs!$B$15/100)*(1+Inputs!$B$16/100)*(5000/(6000+Inputs!$B$43*(1-Inputs!$B$19/100)))*(1+(Inputs!$B$24+((C1842=TRUE)*(F1842-Calc!F30)))/100)*(1+Skills!R5/100)*(1+(IF(Skills!A5="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1817)</f>
        <v/>
      </c>
      <c r="L1817">
        <f>K1817*(MIN(Inputs!$B$22+((C1836=TRUE)*(F1836-Calc!F24)),Inputs!$B$23)/100+Inputs!$B$23/100)/2</f>
        <v/>
      </c>
      <c r="M1817">
        <f>L1817*(1+(Inputs!$B$10+((C1838=TRUE)*(F1838-Calc!F26))+B1855)/100)</f>
        <v/>
      </c>
      <c r="N1817">
        <f>L1817*(1-MIN((Inputs!$B$9+((C1837=TRUE)*(F1837-Calc!F25))+B1852),100)/100)+M1817*(MIN((Inputs!$B$9+((C1837=TRUE)*(F1837-Calc!F25))+B1852),100)/100)</f>
        <v/>
      </c>
      <c r="O1817">
        <f>(1-Summary!$B$55)*T1817+Summary!$B$55*V1817</f>
        <v/>
      </c>
      <c r="P1817">
        <f>IF(B1856=0,0,O1817/B1856)</f>
        <v/>
      </c>
      <c r="Q1817">
        <f>IFERROR(1/IF(Inputs!$B$39="pvp",15,MAX(0.1,Skills!D5-IF(Skills!E5=TRUE,5.0,0))),0)</f>
        <v/>
      </c>
      <c r="R1817">
        <f>IF(AND(Inputs!$B$39&lt;&gt;"pvp",Inputs!$B$44&gt;0),IF(MAX(0,Inputs!$B$44-B1857)&lt;=0,0,(INT(MAX(0,Inputs!$B$44-B1857)/IF(Inputs!$B$39="pvp",15,MAX(0.1,Skills!D5-IF(Skills!E5=TRUE,5.0,0))))+1)),0)</f>
        <v/>
      </c>
      <c r="S1817">
        <f>IFERROR(O1817/N1817,0)</f>
        <v/>
      </c>
      <c r="T1817">
        <f>IF(C1817,(H1817*N1817*IF(AND(Inputs!$B$39&lt;&gt;"pvp",Inputs!$B$44&gt;0),((Skills!G5*((R1817-1)*IF(Skills!H5&gt;0,Skills!I5/Skills!H5,1)+IF(Skills!H5&gt;0,MIN(Skills!I5,MAX(0,MAX(0,Inputs!$B$44-B1857)-((R1817-1)*IF(Inputs!$B$39="pvp",15,MAX(0.1,Skills!D5-IF(Skills!E5=TRUE,5.0,0))))))/Skills!H5,1)))/Inputs!$B$44),G1817*Q1817))*IF(Inputs!$B$39="pvp",1,1+(Inputs!$B$20+((C1839=TRUE)*(F1839-Calc!F27))+Skills!P5+B1853)/100),0)</f>
        <v/>
      </c>
      <c r="U1817">
        <f>INDEX(FactorTable!$B$2:$Y$301, MATCH(ROUND(MIN(300,MAX(1,U1816)),0), FactorTable!$A$2:$A$301,0), 22)</f>
        <v/>
      </c>
      <c r="V1817">
        <f>IF(C1817,(H1817*N1817*IF(AND(Inputs!$B$39&lt;&gt;"pvp",Inputs!$B$44&gt;0),((Skills!G5*((R1817-1)*IF(Skills!H5&gt;0,Skills!I5/Skills!H5,1)+IF(Skills!H5&gt;0,MIN(Skills!I5,MAX(0,MAX(0,Inputs!$B$44-B1857)-((R1817-1)*IF(Inputs!$B$39="pvp",15,MAX(0.1,Skills!D5-IF(Skills!E5=TRUE,5.0,0))))))/Skills!H5,1)))/Inputs!$B$44),G1817*Q1817))*IF(Inputs!$B$39="pvp",1,(1+(Inputs!$B$21+Skills!Q5+B1853)/100)*(MIN(Skills!W5,Inputs!$B$37))),0)</f>
        <v/>
      </c>
    </row>
    <row r="1818">
      <c r="A1818">
        <f>Skills!A6</f>
        <v/>
      </c>
      <c r="B1818">
        <f>Skills!B6</f>
        <v/>
      </c>
      <c r="C1818">
        <f>Inputs!$B$3&gt;=66</f>
        <v/>
      </c>
      <c r="D1818">
        <f>IF(Skills!C6=1,60+Inputs!$B$25+Inputs!$B$29,IF(Skills!C6=2,90+Inputs!$B$26+Inputs!$B$29,IF(Skills!C6=3,120+Inputs!$B$27+Inputs!$B$29,MAX(0,(Inputs!$B$3-100)*3)+Inputs!$B$28+Inputs!$B$29)))</f>
        <v/>
      </c>
      <c r="E1818">
        <f>INDEX(FactorTable!$B$2:$Y$301, MATCH(ROUND(MIN(300,MAX(1,D1818)),0), FactorTable!$A$2:$A$301,0), Skills!M6+1)</f>
        <v/>
      </c>
      <c r="F1818">
        <f>IF(Skills!N6=TRUE,(Skills!L6/10)*(E1818/1000),Skills!L6/10)+Skills!O6</f>
        <v/>
      </c>
      <c r="G1818">
        <f>Calc!G6</f>
        <v/>
      </c>
      <c r="H1818">
        <f>Calc!H6</f>
        <v/>
      </c>
      <c r="I1818">
        <f>IF(Skills!AA6&lt;&gt;"",1+(Skills!AA6/10)*(U1815/1000)/100,1)</f>
        <v/>
      </c>
      <c r="J1818" t="inlineStr"/>
      <c r="K1818" t="inlineStr"/>
      <c r="L1818" t="inlineStr"/>
      <c r="M1818" t="inlineStr"/>
      <c r="N1818" t="inlineStr"/>
      <c r="O1818">
        <f>(1-Summary!$B$55)*T1818+Summary!$B$55*V1818</f>
        <v/>
      </c>
      <c r="P1818">
        <f>IF(B1856=0,0,O1818/B1856)</f>
        <v/>
      </c>
      <c r="Q1818" t="n">
        <v>0</v>
      </c>
      <c r="R1818" t="n">
        <v>0</v>
      </c>
      <c r="S1818">
        <f>IFERROR(O1818/N1818,0)</f>
        <v/>
      </c>
      <c r="T1818" t="n">
        <v>0</v>
      </c>
      <c r="U1818">
        <f>290*U1817/1000</f>
        <v/>
      </c>
      <c r="V1818" t="n">
        <v>0</v>
      </c>
    </row>
    <row r="1819">
      <c r="A1819">
        <f>Skills!A7</f>
        <v/>
      </c>
      <c r="B1819">
        <f>Skills!B7</f>
        <v/>
      </c>
      <c r="C1819">
        <f>Inputs!$B$3&gt;=66</f>
        <v/>
      </c>
      <c r="D1819">
        <f>IF(Skills!C7=1,60+Inputs!$B$25+Inputs!$B$29,IF(Skills!C7=2,90+Inputs!$B$26+Inputs!$B$29,IF(Skills!C7=3,120+Inputs!$B$27+Inputs!$B$29,MAX(0,(Inputs!$B$3-100)*3)+Inputs!$B$28+Inputs!$B$29)))</f>
        <v/>
      </c>
      <c r="E1819">
        <f>INDEX(FactorTable!$B$2:$Y$301, MATCH(ROUND(MIN(300,MAX(1,D1819)),0), FactorTable!$A$2:$A$301,0), Skills!M7+1)</f>
        <v/>
      </c>
      <c r="F1819">
        <f>IF(Skills!N7=TRUE,(Skills!L7/10)*(E1819/1000),Skills!L7/10)+Skills!O7</f>
        <v/>
      </c>
      <c r="G1819">
        <f>Calc!G7</f>
        <v/>
      </c>
      <c r="H1819">
        <f>Calc!H7</f>
        <v/>
      </c>
      <c r="I1819">
        <f>IF(Skills!AA7&lt;&gt;"",1+(Skills!AA7/10)*(U1815/1000)/100,1)</f>
        <v/>
      </c>
      <c r="J1819" t="inlineStr"/>
      <c r="K1819" t="inlineStr"/>
      <c r="L1819" t="inlineStr"/>
      <c r="M1819" t="inlineStr"/>
      <c r="N1819" t="inlineStr"/>
      <c r="O1819">
        <f>(1-Summary!$B$55)*T1819+Summary!$B$55*V1819</f>
        <v/>
      </c>
      <c r="P1819">
        <f>IF(B1856=0,0,O1819/B1856)</f>
        <v/>
      </c>
      <c r="Q1819" t="n">
        <v>0</v>
      </c>
      <c r="R1819" t="n">
        <v>0</v>
      </c>
      <c r="S1819">
        <f>IFERROR(O1819/N1819,0)</f>
        <v/>
      </c>
      <c r="T1819" t="n">
        <v>0</v>
      </c>
      <c r="V1819" t="n">
        <v>0</v>
      </c>
    </row>
    <row r="1820">
      <c r="A1820">
        <f>Skills!A8</f>
        <v/>
      </c>
      <c r="B1820">
        <f>Skills!B8</f>
        <v/>
      </c>
      <c r="C1820">
        <f>Inputs!$B$3&gt;=69</f>
        <v/>
      </c>
      <c r="D1820">
        <f>IF(Skills!C8=1,60+Inputs!$B$25+Inputs!$B$29,IF(Skills!C8=2,90+Inputs!$B$26+Inputs!$B$29,IF(Skills!C8=3,120+Inputs!$B$27+Inputs!$B$29,MAX(0,(Inputs!$B$3-100)*3)+Inputs!$B$28+Inputs!$B$29)))</f>
        <v/>
      </c>
      <c r="E1820">
        <f>INDEX(FactorTable!$B$2:$Y$301, MATCH(ROUND(MIN(300,MAX(1,D1820)),0), FactorTable!$A$2:$A$301,0), Skills!M8+1)</f>
        <v/>
      </c>
      <c r="F1820">
        <f>IF(Skills!N8=TRUE,(Skills!L8/10)*(E1820/1000),Skills!L8/10)+Skills!O8</f>
        <v/>
      </c>
      <c r="G1820">
        <f>Calc!G8</f>
        <v/>
      </c>
      <c r="H1820">
        <f>Calc!H8</f>
        <v/>
      </c>
      <c r="I1820">
        <f>IF(Skills!AA8&lt;&gt;"",1+(Skills!AA8/10)*(U1815/1000)/100,1)</f>
        <v/>
      </c>
      <c r="J1820">
        <f>((Inputs!$B$6*(1+Inputs!$B$7/100))+(((Inputs!$B$12*(1+Inputs!$B$13/100))-(Inputs!$B$12*(1+Inputs!$B$13/100)))+0.25*(Inputs!$B$14-Inputs!$B$14))*(1+Inputs!$B$7/100))*(F1820/100)</f>
        <v/>
      </c>
      <c r="K1820">
        <f>J1820*(1+((Inputs!$B$12*(1+Inputs!$B$13/100))*0.01+Inputs!$B$14*0.0025)/100)*(1+Inputs!$B$15/100)*(1+Inputs!$B$16/100)*(5000/(6000+Inputs!$B$43*(1-Inputs!$B$19/100)))*(1+(Inputs!$B$24+((C1842=TRUE)*(F1842-Calc!F30)))/100)*(1+Skills!R8/100)*(1+(IF(Skills!A8="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1820)</f>
        <v/>
      </c>
      <c r="L1820">
        <f>K1820*(MIN(Inputs!$B$22+((C1836=TRUE)*(F1836-Calc!F24)),Inputs!$B$23)/100+Inputs!$B$23/100)/2</f>
        <v/>
      </c>
      <c r="M1820">
        <f>L1820*(1+(Inputs!$B$10+((C1838=TRUE)*(F1838-Calc!F26))+B1855)/100)</f>
        <v/>
      </c>
      <c r="N1820">
        <f>L1820*(1-MIN((Inputs!$B$9+((C1837=TRUE)*(F1837-Calc!F25))+B1852),100)/100)+M1820*(MIN((Inputs!$B$9+((C1837=TRUE)*(F1837-Calc!F25))+B1852),100)/100)</f>
        <v/>
      </c>
      <c r="O1820">
        <f>(1-Summary!$B$55)*T1820+Summary!$B$55*V1820</f>
        <v/>
      </c>
      <c r="P1820">
        <f>IF(B1856=0,0,O1820/B1856)</f>
        <v/>
      </c>
      <c r="Q1820">
        <f>IFERROR(1/IF(Inputs!$B$39="pvp",15,MAX(0.1,Skills!D8-IF(Skills!E8=TRUE,5.0,0))),0)</f>
        <v/>
      </c>
      <c r="R1820">
        <f>IF(AND(Inputs!$B$39&lt;&gt;"pvp",Inputs!$B$44&gt;0),IF(MAX(0,Inputs!$B$44-B1857)&lt;=0,0,(INT(MAX(0,Inputs!$B$44-B1857)/IF(Inputs!$B$39="pvp",15,MAX(0.1,Skills!D8-IF(Skills!E8=TRUE,5.0,0))))+1)),0)</f>
        <v/>
      </c>
      <c r="S1820">
        <f>IFERROR(O1820/N1820,0)</f>
        <v/>
      </c>
      <c r="T1820">
        <f>IF(C1820,(H1820*N1820*IF(AND(Inputs!$B$39&lt;&gt;"pvp",Inputs!$B$44&gt;0),((Skills!G8*((R1820-1)*IF(Skills!H8&gt;0,Skills!I8/Skills!H8,1)+IF(Skills!H8&gt;0,MIN(Skills!I8,MAX(0,MAX(0,Inputs!$B$44-B1857)-((R1820-1)*IF(Inputs!$B$39="pvp",15,MAX(0.1,Skills!D8-IF(Skills!E8=TRUE,5.0,0))))))/Skills!H8,1)))/Inputs!$B$44),G1820*Q1820))*IF(Inputs!$B$39="pvp",1,1+(Inputs!$B$20+((C1839=TRUE)*(F1839-Calc!F27))+Skills!P8+B1853)/100),0)</f>
        <v/>
      </c>
      <c r="V1820">
        <f>IF(C1820,(H1820*N1820*IF(AND(Inputs!$B$39&lt;&gt;"pvp",Inputs!$B$44&gt;0),((Skills!G8*((R1820-1)*IF(Skills!H8&gt;0,Skills!I8/Skills!H8,1)+IF(Skills!H8&gt;0,MIN(Skills!I8,MAX(0,MAX(0,Inputs!$B$44-B1857)-((R1820-1)*IF(Inputs!$B$39="pvp",15,MAX(0.1,Skills!D8-IF(Skills!E8=TRUE,5.0,0))))))/Skills!H8,1)))/Inputs!$B$44),G1820*Q1820))*IF(Inputs!$B$39="pvp",1,(1+(Inputs!$B$21+Skills!Q8+B1853)/100)*(MIN(Skills!W8,Inputs!$B$37))),0)</f>
        <v/>
      </c>
    </row>
    <row r="1821">
      <c r="A1821">
        <f>Skills!A9</f>
        <v/>
      </c>
      <c r="B1821">
        <f>Skills!B9</f>
        <v/>
      </c>
      <c r="C1821">
        <f>Inputs!$B$3&gt;=72</f>
        <v/>
      </c>
      <c r="D1821">
        <f>IF(Skills!C9=1,60+Inputs!$B$25+Inputs!$B$29,IF(Skills!C9=2,90+Inputs!$B$26+Inputs!$B$29,IF(Skills!C9=3,120+Inputs!$B$27+Inputs!$B$29,MAX(0,(Inputs!$B$3-100)*3)+Inputs!$B$28+Inputs!$B$29)))</f>
        <v/>
      </c>
      <c r="E1821">
        <f>INDEX(FactorTable!$B$2:$Y$301, MATCH(ROUND(MIN(300,MAX(1,D1821)),0), FactorTable!$A$2:$A$301,0), Skills!M9+1)</f>
        <v/>
      </c>
      <c r="F1821">
        <f>IF(Skills!N9=TRUE,(Skills!L9/10)*(E1821/1000),Skills!L9/10)+Skills!O9</f>
        <v/>
      </c>
      <c r="G1821">
        <f>Calc!G9</f>
        <v/>
      </c>
      <c r="H1821">
        <f>Calc!H9</f>
        <v/>
      </c>
      <c r="I1821">
        <f>IF(Skills!AA9&lt;&gt;"",1+(Skills!AA9/10)*(U1815/1000)/100,1)</f>
        <v/>
      </c>
      <c r="J1821">
        <f>((Inputs!$B$6*(1+Inputs!$B$7/100))+(((Inputs!$B$12*(1+Inputs!$B$13/100))-(Inputs!$B$12*(1+Inputs!$B$13/100)))+0.25*(Inputs!$B$14-Inputs!$B$14))*(1+Inputs!$B$7/100))*(F1821/100)</f>
        <v/>
      </c>
      <c r="K1821">
        <f>J1821*(1+((Inputs!$B$12*(1+Inputs!$B$13/100))*0.01+Inputs!$B$14*0.0025)/100)*(1+Inputs!$B$15/100)*(1+Inputs!$B$16/100)*(5000/(6000+Inputs!$B$43*(1-Inputs!$B$19/100)))*(1+(Inputs!$B$24+((C1842=TRUE)*(F1842-Calc!F30)))/100)*(1+Skills!R9/100)*(1+(IF(Skills!A9="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1821)</f>
        <v/>
      </c>
      <c r="L1821">
        <f>K1821*(MIN(Inputs!$B$22+((C1836=TRUE)*(F1836-Calc!F24)),Inputs!$B$23)/100+Inputs!$B$23/100)/2</f>
        <v/>
      </c>
      <c r="M1821">
        <f>L1821*(1+(Inputs!$B$10+((C1838=TRUE)*(F1838-Calc!F26))+B1855)/100)</f>
        <v/>
      </c>
      <c r="N1821">
        <f>L1821*(1-MIN((Inputs!$B$9+((C1837=TRUE)*(F1837-Calc!F25))+B1852),100)/100)+M1821*(MIN((Inputs!$B$9+((C1837=TRUE)*(F1837-Calc!F25))+B1852),100)/100)</f>
        <v/>
      </c>
      <c r="O1821">
        <f>(1-Summary!$B$55)*T1821+Summary!$B$55*V1821</f>
        <v/>
      </c>
      <c r="P1821">
        <f>IF(B1856=0,0,O1821/B1856)</f>
        <v/>
      </c>
      <c r="Q1821">
        <f>IFERROR(1/IF(Inputs!$B$39="pvp",15,MAX(0.1,Skills!D9-IF(Skills!E9=TRUE,5.0,0))),0)</f>
        <v/>
      </c>
      <c r="R1821">
        <f>IF(AND(Inputs!$B$39&lt;&gt;"pvp",Inputs!$B$44&gt;0),IF(MAX(0,Inputs!$B$44-B1857)&lt;=0,0,(INT(MAX(0,Inputs!$B$44-B1857)/IF(Inputs!$B$39="pvp",15,MAX(0.1,Skills!D9-IF(Skills!E9=TRUE,5.0,0))))+1)),0)</f>
        <v/>
      </c>
      <c r="S1821">
        <f>IFERROR(O1821/N1821,0)</f>
        <v/>
      </c>
      <c r="T1821">
        <f>IF(C1821,(H1821*N1821*IF(AND(Inputs!$B$39&lt;&gt;"pvp",Inputs!$B$44&gt;0),((Skills!G9*((R1821-1)*IF(Skills!H9&gt;0,Skills!I9/Skills!H9,1)+IF(Skills!H9&gt;0,MIN(Skills!I9,MAX(0,MAX(0,Inputs!$B$44-B1857)-((R1821-1)*IF(Inputs!$B$39="pvp",15,MAX(0.1,Skills!D9-IF(Skills!E9=TRUE,5.0,0))))))/Skills!H9,1)))/Inputs!$B$44),G1821*Q1821))*IF(Inputs!$B$39="pvp",1,1+(Inputs!$B$20+((C1839=TRUE)*(F1839-Calc!F27))+Skills!P9+B1853)/100),0)</f>
        <v/>
      </c>
      <c r="V1821">
        <f>IF(C1821,(H1821*N1821*IF(AND(Inputs!$B$39&lt;&gt;"pvp",Inputs!$B$44&gt;0),((Skills!G9*((R1821-1)*IF(Skills!H9&gt;0,Skills!I9/Skills!H9,1)+IF(Skills!H9&gt;0,MIN(Skills!I9,MAX(0,MAX(0,Inputs!$B$44-B1857)-((R1821-1)*IF(Inputs!$B$39="pvp",15,MAX(0.1,Skills!D9-IF(Skills!E9=TRUE,5.0,0))))))/Skills!H9,1)))/Inputs!$B$44),G1821*Q1821))*IF(Inputs!$B$39="pvp",1,(1+(Inputs!$B$21+Skills!Q9+B1853)/100)*(MIN(Skills!W9,Inputs!$B$37))),0)</f>
        <v/>
      </c>
    </row>
    <row r="1822">
      <c r="A1822">
        <f>Skills!A10</f>
        <v/>
      </c>
      <c r="B1822">
        <f>Skills!B10</f>
        <v/>
      </c>
      <c r="C1822">
        <f>Inputs!$B$3&gt;=117</f>
        <v/>
      </c>
      <c r="D1822">
        <f>IF(Skills!C10=1,60+Inputs!$B$25+Inputs!$B$29,IF(Skills!C10=2,90+Inputs!$B$26+Inputs!$B$29,IF(Skills!C10=3,120+Inputs!$B$27+Inputs!$B$29,MAX(0,(Inputs!$B$3-100)*3)+Inputs!$B$28+Inputs!$B$29)))</f>
        <v/>
      </c>
      <c r="E1822">
        <f>INDEX(FactorTable!$B$2:$Y$301, MATCH(ROUND(MIN(300,MAX(1,D1822)),0), FactorTable!$A$2:$A$301,0), Skills!M10+1)</f>
        <v/>
      </c>
      <c r="F1822">
        <f>IF(Skills!N10=TRUE,(Skills!L10/10)*(E1822/1000),Skills!L10/10)+Skills!O10</f>
        <v/>
      </c>
      <c r="G1822">
        <f>Calc!G10</f>
        <v/>
      </c>
      <c r="H1822">
        <f>Calc!H10</f>
        <v/>
      </c>
      <c r="I1822">
        <f>IF(Skills!AA10&lt;&gt;"",1+(Skills!AA10/10)*(U1815/1000)/100,1)</f>
        <v/>
      </c>
      <c r="J1822">
        <f>((Inputs!$B$6*(1+Inputs!$B$7/100))+(((Inputs!$B$12*(1+Inputs!$B$13/100))-(Inputs!$B$12*(1+Inputs!$B$13/100)))+0.25*(Inputs!$B$14-Inputs!$B$14))*(1+Inputs!$B$7/100))*(F1822/100)</f>
        <v/>
      </c>
      <c r="K1822">
        <f>J1822*(1+((Inputs!$B$12*(1+Inputs!$B$13/100))*0.01+Inputs!$B$14*0.0025)/100)*(1+Inputs!$B$15/100)*(1+Inputs!$B$16/100)*(5000/(6000+Inputs!$B$43*(1-Inputs!$B$19/100)))*(1+(Inputs!$B$24+((C1842=TRUE)*(F1842-Calc!F30)))/100)*(1+Skills!R10/100)*(1+(IF(Skills!A10="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1822)</f>
        <v/>
      </c>
      <c r="L1822">
        <f>K1822*(MIN(Inputs!$B$22+((C1836=TRUE)*(F1836-Calc!F24)),Inputs!$B$23)/100+Inputs!$B$23/100)/2</f>
        <v/>
      </c>
      <c r="M1822">
        <f>L1822*(1+(Inputs!$B$10+((C1838=TRUE)*(F1838-Calc!F26))+B1855)/100)</f>
        <v/>
      </c>
      <c r="N1822">
        <f>L1822*(1-MIN((Inputs!$B$9+((C1837=TRUE)*(F1837-Calc!F25))+B1852),100)/100)+M1822*(MIN((Inputs!$B$9+((C1837=TRUE)*(F1837-Calc!F25))+B1852),100)/100)</f>
        <v/>
      </c>
      <c r="O1822">
        <f>(1-Summary!$B$55)*T1822+Summary!$B$55*V1822</f>
        <v/>
      </c>
      <c r="P1822">
        <f>IF(B1856=0,0,O1822/B1856)</f>
        <v/>
      </c>
      <c r="Q1822" t="n">
        <v>0</v>
      </c>
      <c r="R1822" t="n">
        <v>0</v>
      </c>
      <c r="S1822" t="n">
        <v>0</v>
      </c>
      <c r="T1822">
        <f>IF(C1822,(0.2*SUMPRODUCT((Skills!Z2:Z31=TRUE)*(C1814:C1843=TRUE)*S1814:S1843)*N1822)*IF(Inputs!$B$39="pvp",1,1+(Inputs!$B$20+((C1839=TRUE)*(F1839-Calc!F27))+Skills!P10+B1853)/100),0)</f>
        <v/>
      </c>
      <c r="V1822">
        <f>IF(C1822,(0.2*SUMPRODUCT((Skills!Z2:Z31=TRUE)*(C1814:C1843=TRUE)*S1814:S1843)*N1822)*IF(Inputs!$B$39="pvp",1,(1+(Inputs!$B$21+Skills!Q10+B1853)/100)*(MIN(Skills!W10,Inputs!$B$37))),0)</f>
        <v/>
      </c>
    </row>
    <row r="1823">
      <c r="A1823">
        <f>Skills!A11</f>
        <v/>
      </c>
      <c r="B1823">
        <f>Skills!B11</f>
        <v/>
      </c>
      <c r="C1823">
        <f>Inputs!$B$3&gt;=60</f>
        <v/>
      </c>
      <c r="D1823">
        <f>IF(Skills!C11=1,60+Inputs!$B$25+Inputs!$B$29,IF(Skills!C11=2,90+Inputs!$B$26+Inputs!$B$29,IF(Skills!C11=3,120+Inputs!$B$27+Inputs!$B$29,MAX(0,(Inputs!$B$3-100)*3)+Inputs!$B$28+Inputs!$B$29)))</f>
        <v/>
      </c>
      <c r="E1823">
        <f>INDEX(FactorTable!$B$2:$Y$301, MATCH(ROUND(MIN(300,MAX(1,D1823)),0), FactorTable!$A$2:$A$301,0), Skills!M11+1)</f>
        <v/>
      </c>
      <c r="F1823">
        <f>IF(Skills!N11=TRUE,(Skills!L11/10)*(E1823/1000),Skills!L11/10)+Skills!O11</f>
        <v/>
      </c>
      <c r="G1823">
        <f>Calc!G11</f>
        <v/>
      </c>
      <c r="H1823">
        <f>Calc!H11</f>
        <v/>
      </c>
      <c r="I1823">
        <f>IF(Skills!AA11&lt;&gt;"",1+(Skills!AA11/10)*(U1815/1000)/100,1)</f>
        <v/>
      </c>
      <c r="J1823" t="inlineStr"/>
      <c r="K1823" t="inlineStr"/>
      <c r="L1823" t="inlineStr"/>
      <c r="M1823" t="inlineStr"/>
      <c r="N1823" t="inlineStr"/>
      <c r="O1823">
        <f>(1-Summary!$B$55)*T1823+Summary!$B$55*V1823</f>
        <v/>
      </c>
      <c r="P1823">
        <f>IF(B1856=0,0,O1823/B1856)</f>
        <v/>
      </c>
      <c r="Q1823" t="n">
        <v>0</v>
      </c>
      <c r="R1823" t="n">
        <v>0</v>
      </c>
      <c r="S1823">
        <f>IFERROR(O1823/N1823,0)</f>
        <v/>
      </c>
      <c r="T1823" t="n">
        <v>0</v>
      </c>
      <c r="V1823" t="n">
        <v>0</v>
      </c>
    </row>
    <row r="1824">
      <c r="A1824">
        <f>Skills!A12</f>
        <v/>
      </c>
      <c r="B1824">
        <f>Skills!B12</f>
        <v/>
      </c>
      <c r="C1824">
        <f>Inputs!$B$3&gt;=103</f>
        <v/>
      </c>
      <c r="D1824">
        <f>IF(Skills!C12=1,60+Inputs!$B$25+Inputs!$B$29,IF(Skills!C12=2,90+Inputs!$B$26+Inputs!$B$29,IF(Skills!C12=3,120+Inputs!$B$27+Inputs!$B$29,MAX(0,(Inputs!$B$3-100)*3)+Inputs!$B$28+Inputs!$B$29)))</f>
        <v/>
      </c>
      <c r="E1824">
        <f>INDEX(FactorTable!$B$2:$Y$301, MATCH(ROUND(MIN(300,MAX(1,D1824)),0), FactorTable!$A$2:$A$301,0), Skills!M12+1)</f>
        <v/>
      </c>
      <c r="F1824">
        <f>IF(Skills!N12=TRUE,(Skills!L12/10)*(E1824/1000),Skills!L12/10)+Skills!O12</f>
        <v/>
      </c>
      <c r="G1824">
        <f>Calc!G12</f>
        <v/>
      </c>
      <c r="H1824">
        <f>Calc!H12</f>
        <v/>
      </c>
      <c r="I1824">
        <f>IF(Skills!AA12&lt;&gt;"",1+(Skills!AA12/10)*(U1815/1000)/100,1)</f>
        <v/>
      </c>
      <c r="J1824">
        <f>((Inputs!$B$6*(1+Inputs!$B$7/100))+(((Inputs!$B$12*(1+Inputs!$B$13/100))-(Inputs!$B$12*(1+Inputs!$B$13/100)))+0.25*(Inputs!$B$14-Inputs!$B$14))*(1+Inputs!$B$7/100))*(F1824/100)</f>
        <v/>
      </c>
      <c r="K1824">
        <f>J1824*(1+((Inputs!$B$12*(1+Inputs!$B$13/100))*0.01+Inputs!$B$14*0.0025)/100)*(1+Inputs!$B$15/100)*(1+Inputs!$B$16/100)*(5000/(6000+Inputs!$B$43*(1-Inputs!$B$19/100)))*(1+(Inputs!$B$24+((C1842=TRUE)*(F1842-Calc!F30)))/100)*(1+Skills!R12/100)*(1+(IF(Skills!A12="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1824)</f>
        <v/>
      </c>
      <c r="L1824">
        <f>K1824*(MIN(Inputs!$B$22+((C1836=TRUE)*(F1836-Calc!F24)),Inputs!$B$23)/100+Inputs!$B$23/100)/2</f>
        <v/>
      </c>
      <c r="M1824">
        <f>L1824*(1+(Inputs!$B$10+((C1838=TRUE)*(F1838-Calc!F26))+B1855)/100)</f>
        <v/>
      </c>
      <c r="N1824">
        <f>L1824*(1-MIN((Inputs!$B$9+((C1837=TRUE)*(F1837-Calc!F25))+B1852),100)/100)+M1824*(MIN((Inputs!$B$9+((C1837=TRUE)*(F1837-Calc!F25))+B1852),100)/100)</f>
        <v/>
      </c>
      <c r="O1824">
        <f>(1-Summary!$B$55)*T1824+Summary!$B$55*V1824</f>
        <v/>
      </c>
      <c r="P1824">
        <f>IF(B1856=0,0,O1824/B1856)</f>
        <v/>
      </c>
      <c r="Q1824">
        <f>IFERROR(1/IF(Inputs!$B$39="pvp",15,MAX(0.1,Skills!D12-IF(Skills!E12=TRUE,5.0,0))),0)</f>
        <v/>
      </c>
      <c r="R1824">
        <f>IF(AND(Inputs!$B$39&lt;&gt;"pvp",Inputs!$B$44&gt;0),IF(MAX(0,Inputs!$B$44-B1857)&lt;=0,0,(INT(MAX(0,Inputs!$B$44-B1857)/IF(Inputs!$B$39="pvp",15,MAX(0.1,Skills!D12-IF(Skills!E12=TRUE,5.0,0))))+1)),0)</f>
        <v/>
      </c>
      <c r="S1824">
        <f>IFERROR(O1824/N1824,0)</f>
        <v/>
      </c>
      <c r="T1824">
        <f>IF(C1824,(H1824*N1824*IF(AND(Inputs!$B$39&lt;&gt;"pvp",Inputs!$B$44&gt;0),((Skills!G12*((R1824-1)*IF(Skills!H12&gt;0,Skills!I12/Skills!H12,1)+IF(Skills!H12&gt;0,MIN(Skills!I12,MAX(0,MAX(0,Inputs!$B$44-B1857)-((R1824-1)*IF(Inputs!$B$39="pvp",15,MAX(0.1,Skills!D12-IF(Skills!E12=TRUE,5.0,0))))))/Skills!H12,1)))/Inputs!$B$44),G1824*Q1824))*IF(Inputs!$B$39="pvp",1,1+(Inputs!$B$20+((C1839=TRUE)*(F1839-Calc!F27))+Skills!P12+B1853)/100),0)</f>
        <v/>
      </c>
      <c r="V1824">
        <f>IF(C1824,(H1824*N1824*IF(AND(Inputs!$B$39&lt;&gt;"pvp",Inputs!$B$44&gt;0),((Skills!G12*((R1824-1)*IF(Skills!H12&gt;0,Skills!I12/Skills!H12,1)+IF(Skills!H12&gt;0,MIN(Skills!I12,MAX(0,MAX(0,Inputs!$B$44-B1857)-((R1824-1)*IF(Inputs!$B$39="pvp",15,MAX(0.1,Skills!D12-IF(Skills!E12=TRUE,5.0,0))))))/Skills!H12,1)))/Inputs!$B$44),G1824*Q1824))*IF(Inputs!$B$39="pvp",1,(1+(Inputs!$B$21+Skills!Q12+B1853)/100)*(MIN(Skills!W12,Inputs!$B$37))),0)</f>
        <v/>
      </c>
    </row>
    <row r="1825">
      <c r="A1825">
        <f>Skills!A13</f>
        <v/>
      </c>
      <c r="B1825">
        <f>Skills!B13</f>
        <v/>
      </c>
      <c r="C1825">
        <f>Inputs!$B$3&gt;=105</f>
        <v/>
      </c>
      <c r="D1825">
        <f>IF(Skills!C13=1,60+Inputs!$B$25+Inputs!$B$29,IF(Skills!C13=2,90+Inputs!$B$26+Inputs!$B$29,IF(Skills!C13=3,120+Inputs!$B$27+Inputs!$B$29,MAX(0,(Inputs!$B$3-100)*3)+Inputs!$B$28+Inputs!$B$29)))</f>
        <v/>
      </c>
      <c r="E1825">
        <f>INDEX(FactorTable!$B$2:$Y$301, MATCH(ROUND(MIN(300,MAX(1,D1825)),0), FactorTable!$A$2:$A$301,0), Skills!M13+1)</f>
        <v/>
      </c>
      <c r="F1825">
        <f>IF(Skills!N13=TRUE,(Skills!L13/10)*(E1825/1000),Skills!L13/10)+Skills!O13</f>
        <v/>
      </c>
      <c r="G1825">
        <f>Calc!G13</f>
        <v/>
      </c>
      <c r="H1825">
        <f>Calc!H13</f>
        <v/>
      </c>
      <c r="I1825">
        <f>IF(Skills!AA13&lt;&gt;"",1+(Skills!AA13/10)*(U1815/1000)/100,1)</f>
        <v/>
      </c>
      <c r="J1825">
        <f>((Inputs!$B$6*(1+Inputs!$B$7/100))+(((Inputs!$B$12*(1+Inputs!$B$13/100))-(Inputs!$B$12*(1+Inputs!$B$13/100)))+0.25*(Inputs!$B$14-Inputs!$B$14))*(1+Inputs!$B$7/100))*(F1825/100)</f>
        <v/>
      </c>
      <c r="K1825">
        <f>J1825*(1+((Inputs!$B$12*(1+Inputs!$B$13/100))*0.01+Inputs!$B$14*0.0025)/100)*(1+Inputs!$B$15/100)*(1+Inputs!$B$16/100)*(5000/(6000+Inputs!$B$43*(1-Inputs!$B$19/100)))*(1+(Inputs!$B$24+((C1842=TRUE)*(F1842-Calc!F30)))/100)*(1+Skills!R13/100)*(1+(IF(Skills!A13="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1825)</f>
        <v/>
      </c>
      <c r="L1825">
        <f>K1825*(MIN(Inputs!$B$22+((C1836=TRUE)*(F1836-Calc!F24)),Inputs!$B$23)/100+Inputs!$B$23/100)/2</f>
        <v/>
      </c>
      <c r="M1825">
        <f>L1825*(1+(Inputs!$B$10+((C1838=TRUE)*(F1838-Calc!F26))+B1855)/100)</f>
        <v/>
      </c>
      <c r="N1825">
        <f>L1825*(1-MIN((Inputs!$B$9+((C1837=TRUE)*(F1837-Calc!F25))+B1852),100)/100)+M1825*(MIN((Inputs!$B$9+((C1837=TRUE)*(F1837-Calc!F25))+B1852),100)/100)</f>
        <v/>
      </c>
      <c r="O1825">
        <f>(1-Summary!$B$55)*T1825+Summary!$B$55*V1825</f>
        <v/>
      </c>
      <c r="P1825">
        <f>IF(B1856=0,0,O1825/B1856)</f>
        <v/>
      </c>
      <c r="Q1825">
        <f>IFERROR(1/IF(Inputs!$B$39="pvp",15,MAX(0.1,Skills!D13-IF(Skills!E13=TRUE,5.0,0))),0)</f>
        <v/>
      </c>
      <c r="R1825">
        <f>IF(AND(Inputs!$B$39&lt;&gt;"pvp",Inputs!$B$44&gt;0),IF(MAX(0,Inputs!$B$44-B1857)&lt;=0,0,(INT(MAX(0,Inputs!$B$44-B1857)/IF(Inputs!$B$39="pvp",15,MAX(0.1,Skills!D13-IF(Skills!E13=TRUE,5.0,0))))+1)),0)</f>
        <v/>
      </c>
      <c r="S1825">
        <f>IFERROR(O1825/N1825,0)</f>
        <v/>
      </c>
      <c r="T1825">
        <f>IF(C1825,(H1825*N1825*IF(AND(Inputs!$B$39&lt;&gt;"pvp",Inputs!$B$44&gt;0),((Skills!G13*((R1825-1)*IF(Skills!H13&gt;0,Skills!I13/Skills!H13,1)+IF(Skills!H13&gt;0,MIN(Skills!I13,MAX(0,MAX(0,Inputs!$B$44-B1857)-((R1825-1)*IF(Inputs!$B$39="pvp",15,MAX(0.1,Skills!D13-IF(Skills!E13=TRUE,5.0,0))))))/Skills!H13,1)))/Inputs!$B$44),G1825*Q1825))*IF(Inputs!$B$39="pvp",1,1+(Inputs!$B$20+((C1839=TRUE)*(F1839-Calc!F27))+Skills!P13+B1853)/100),0)</f>
        <v/>
      </c>
      <c r="V1825">
        <f>IF(C1825,(H1825*N1825*IF(AND(Inputs!$B$39&lt;&gt;"pvp",Inputs!$B$44&gt;0),((Skills!G13*((R1825-1)*IF(Skills!H13&gt;0,Skills!I13/Skills!H13,1)+IF(Skills!H13&gt;0,MIN(Skills!I13,MAX(0,MAX(0,Inputs!$B$44-B1857)-((R1825-1)*IF(Inputs!$B$39="pvp",15,MAX(0.1,Skills!D13-IF(Skills!E13=TRUE,5.0,0))))))/Skills!H13,1)))/Inputs!$B$44),G1825*Q1825))*IF(Inputs!$B$39="pvp",1,(1+(Inputs!$B$21+Skills!Q13+B1853)/100)*(MIN(Skills!W13,Inputs!$B$37))),0)</f>
        <v/>
      </c>
    </row>
    <row r="1826">
      <c r="A1826">
        <f>Skills!A14</f>
        <v/>
      </c>
      <c r="B1826">
        <f>Skills!B14</f>
        <v/>
      </c>
      <c r="C1826">
        <f>Inputs!$B$3&gt;=105</f>
        <v/>
      </c>
      <c r="D1826">
        <f>IF(Skills!C14=1,60+Inputs!$B$25+Inputs!$B$29,IF(Skills!C14=2,90+Inputs!$B$26+Inputs!$B$29,IF(Skills!C14=3,120+Inputs!$B$27+Inputs!$B$29,MAX(0,(Inputs!$B$3-100)*3)+Inputs!$B$28+Inputs!$B$29)))</f>
        <v/>
      </c>
      <c r="E1826">
        <f>INDEX(FactorTable!$B$2:$Y$301, MATCH(ROUND(MIN(300,MAX(1,D1826)),0), FactorTable!$A$2:$A$301,0), Skills!M14+1)</f>
        <v/>
      </c>
      <c r="F1826">
        <f>IF(Skills!N14=TRUE,(Skills!L14/10)*(E1826/1000),Skills!L14/10)+Skills!O14</f>
        <v/>
      </c>
      <c r="G1826">
        <f>Calc!G14</f>
        <v/>
      </c>
      <c r="H1826">
        <f>Calc!H14</f>
        <v/>
      </c>
      <c r="I1826">
        <f>IF(Skills!AA14&lt;&gt;"",1+(Skills!AA14/10)*(U1815/1000)/100,1)</f>
        <v/>
      </c>
      <c r="J1826">
        <f>((Inputs!$B$6*(1+Inputs!$B$7/100))+(((Inputs!$B$12*(1+Inputs!$B$13/100))-(Inputs!$B$12*(1+Inputs!$B$13/100)))+0.25*(Inputs!$B$14-Inputs!$B$14))*(1+Inputs!$B$7/100))*(F1826/100)</f>
        <v/>
      </c>
      <c r="K1826">
        <f>J1826*(1+((Inputs!$B$12*(1+Inputs!$B$13/100))*0.01+Inputs!$B$14*0.0025)/100)*(1+Inputs!$B$15/100)*(1+Inputs!$B$16/100)*(5000/(6000+Inputs!$B$43*(1-Inputs!$B$19/100)))*(1+(Inputs!$B$24+((C1842=TRUE)*(F1842-Calc!F30)))/100)*(1+Skills!R14/100)*(1+(IF(Skills!A14="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1826)</f>
        <v/>
      </c>
      <c r="L1826">
        <f>K1826*(MIN(Inputs!$B$22+((C1836=TRUE)*(F1836-Calc!F24)),Inputs!$B$23)/100+Inputs!$B$23/100)/2</f>
        <v/>
      </c>
      <c r="M1826">
        <f>L1826*(1+(Inputs!$B$10+((C1838=TRUE)*(F1838-Calc!F26))+B1855)/100)</f>
        <v/>
      </c>
      <c r="N1826">
        <f>L1826*(1-MIN((Inputs!$B$9+((C1837=TRUE)*(F1837-Calc!F25))+B1852),100)/100)+M1826*(MIN((Inputs!$B$9+((C1837=TRUE)*(F1837-Calc!F25))+B1852),100)/100)</f>
        <v/>
      </c>
      <c r="O1826">
        <f>(1-Summary!$B$55)*T1826+Summary!$B$55*V1826</f>
        <v/>
      </c>
      <c r="P1826">
        <f>IF(B1856=0,0,O1826/B1856)</f>
        <v/>
      </c>
      <c r="Q1826">
        <f>IFERROR(1/IF(Inputs!$B$39="pvp",15,MAX(0.1,Skills!D14-IF(Skills!E14=TRUE,5.0,0))),0)</f>
        <v/>
      </c>
      <c r="R1826">
        <f>IF(AND(Inputs!$B$39&lt;&gt;"pvp",Inputs!$B$44&gt;0),IF(MAX(0,Inputs!$B$44-B1857)&lt;=0,0,(INT(MAX(0,Inputs!$B$44-B1857)/IF(Inputs!$B$39="pvp",15,MAX(0.1,Skills!D14-IF(Skills!E14=TRUE,5.0,0))))+1)),0)</f>
        <v/>
      </c>
      <c r="S1826">
        <f>IFERROR(O1826/N1826,0)</f>
        <v/>
      </c>
      <c r="T1826">
        <f>IF(C1826,(H1826*N1826*IF(AND(Inputs!$B$39&lt;&gt;"pvp",Inputs!$B$44&gt;0),((Skills!G14*((R1826-1)*IF(Skills!H14&gt;0,Skills!I14/Skills!H14,1)+IF(Skills!H14&gt;0,MIN(Skills!I14,MAX(0,MAX(0,Inputs!$B$44-B1857)-((R1826-1)*IF(Inputs!$B$39="pvp",15,MAX(0.1,Skills!D14-IF(Skills!E14=TRUE,5.0,0))))))/Skills!H14,1)))/Inputs!$B$44),G1826*Q1826))*IF(Inputs!$B$39="pvp",1,1+(Inputs!$B$20+((C1839=TRUE)*(F1839-Calc!F27))+Skills!P14+B1853)/100),0)</f>
        <v/>
      </c>
      <c r="V1826">
        <f>IF(C1826,(H1826*N1826*IF(AND(Inputs!$B$39&lt;&gt;"pvp",Inputs!$B$44&gt;0),((Skills!G14*((R1826-1)*IF(Skills!H14&gt;0,Skills!I14/Skills!H14,1)+IF(Skills!H14&gt;0,MIN(Skills!I14,MAX(0,MAX(0,Inputs!$B$44-B1857)-((R1826-1)*IF(Inputs!$B$39="pvp",15,MAX(0.1,Skills!D14-IF(Skills!E14=TRUE,5.0,0))))))/Skills!H14,1)))/Inputs!$B$44),G1826*Q1826))*IF(Inputs!$B$39="pvp",1,(1+(Inputs!$B$21+Skills!Q14+B1853)/100)*(MIN(Skills!W14,Inputs!$B$37))),0)</f>
        <v/>
      </c>
    </row>
    <row r="1827">
      <c r="A1827">
        <f>Skills!A15</f>
        <v/>
      </c>
      <c r="B1827">
        <f>Skills!B15</f>
        <v/>
      </c>
      <c r="C1827">
        <f>Inputs!$B$3&gt;=110</f>
        <v/>
      </c>
      <c r="D1827">
        <f>IF(Skills!C15=1,60+Inputs!$B$25+Inputs!$B$29,IF(Skills!C15=2,90+Inputs!$B$26+Inputs!$B$29,IF(Skills!C15=3,120+Inputs!$B$27+Inputs!$B$29,MAX(0,(Inputs!$B$3-100)*3)+Inputs!$B$28+Inputs!$B$29)))</f>
        <v/>
      </c>
      <c r="E1827">
        <f>INDEX(FactorTable!$B$2:$Y$301, MATCH(ROUND(MIN(300,MAX(1,D1827)),0), FactorTable!$A$2:$A$301,0), Skills!M15+1)</f>
        <v/>
      </c>
      <c r="F1827">
        <f>IF(Skills!N15=TRUE,(Skills!L15/10)*(E1827/1000),Skills!L15/10)+Skills!O15</f>
        <v/>
      </c>
      <c r="G1827">
        <f>Calc!G15</f>
        <v/>
      </c>
      <c r="H1827">
        <f>Calc!H15</f>
        <v/>
      </c>
      <c r="I1827">
        <f>IF(Skills!AA15&lt;&gt;"",1+(Skills!AA15/10)*(U1815/1000)/100,1)</f>
        <v/>
      </c>
      <c r="J1827" t="inlineStr"/>
      <c r="K1827" t="inlineStr"/>
      <c r="L1827" t="inlineStr"/>
      <c r="M1827" t="inlineStr"/>
      <c r="N1827" t="inlineStr"/>
      <c r="O1827">
        <f>(1-Summary!$B$55)*T1827+Summary!$B$55*V1827</f>
        <v/>
      </c>
      <c r="P1827">
        <f>IF(B1856=0,0,O1827/B1856)</f>
        <v/>
      </c>
      <c r="Q1827">
        <f>IFERROR(1/IF(Inputs!$B$39="pvp",15,MAX(0.1,Skills!D15-IF(Skills!E15=TRUE,5.0,0))),0)</f>
        <v/>
      </c>
      <c r="R1827">
        <f>IF(AND(Inputs!$B$39&lt;&gt;"pvp",Inputs!$B$44&gt;0),IF(Inputs!$B$44&lt;=0,0,(INT(Inputs!$B$44/IF(Inputs!$B$39="pvp",15,MAX(0.1,Skills!D15-IF(Skills!E15=TRUE,5.0,0))))+1)),0)</f>
        <v/>
      </c>
      <c r="S1827">
        <f>IFERROR(O1827/N1827,0)</f>
        <v/>
      </c>
      <c r="T1827" t="n">
        <v>0</v>
      </c>
      <c r="V1827" t="n">
        <v>0</v>
      </c>
    </row>
    <row r="1828">
      <c r="A1828">
        <f>Skills!A16</f>
        <v/>
      </c>
      <c r="B1828">
        <f>Skills!B16</f>
        <v/>
      </c>
      <c r="C1828">
        <f>Inputs!$B$3&gt;=110</f>
        <v/>
      </c>
      <c r="D1828">
        <f>IF(Skills!C16=1,60+Inputs!$B$25+Inputs!$B$29,IF(Skills!C16=2,90+Inputs!$B$26+Inputs!$B$29,IF(Skills!C16=3,120+Inputs!$B$27+Inputs!$B$29,MAX(0,(Inputs!$B$3-100)*3)+Inputs!$B$28+Inputs!$B$29)))</f>
        <v/>
      </c>
      <c r="E1828">
        <f>INDEX(FactorTable!$B$2:$Y$301, MATCH(ROUND(MIN(300,MAX(1,D1828)),0), FactorTable!$A$2:$A$301,0), Skills!M16+1)</f>
        <v/>
      </c>
      <c r="F1828">
        <f>IF(Skills!N16=TRUE,(Skills!L16/10)*(E1828/1000),Skills!L16/10)+Skills!O16</f>
        <v/>
      </c>
      <c r="G1828">
        <f>Calc!G16</f>
        <v/>
      </c>
      <c r="H1828">
        <f>Calc!H16</f>
        <v/>
      </c>
      <c r="I1828">
        <f>IF(Skills!AA16&lt;&gt;"",1+(Skills!AA16/10)*(U1815/1000)/100,1)</f>
        <v/>
      </c>
      <c r="J1828" t="inlineStr"/>
      <c r="K1828" t="inlineStr"/>
      <c r="L1828" t="inlineStr"/>
      <c r="M1828" t="inlineStr"/>
      <c r="N1828" t="inlineStr"/>
      <c r="O1828">
        <f>(1-Summary!$B$55)*T1828+Summary!$B$55*V1828</f>
        <v/>
      </c>
      <c r="P1828">
        <f>IF(B1856=0,0,O1828/B1856)</f>
        <v/>
      </c>
      <c r="Q1828">
        <f>IFERROR(1/IF(Inputs!$B$39="pvp",15,MAX(0.1,Skills!D16-IF(Skills!E16=TRUE,5.0,0))),0)</f>
        <v/>
      </c>
      <c r="R1828">
        <f>IF(AND(Inputs!$B$39&lt;&gt;"pvp",Inputs!$B$44&gt;0),IF(Inputs!$B$44&lt;=0,0,(INT(Inputs!$B$44/IF(Inputs!$B$39="pvp",15,MAX(0.1,Skills!D16-IF(Skills!E16=TRUE,5.0,0))))+1)),0)</f>
        <v/>
      </c>
      <c r="S1828">
        <f>IFERROR(O1828/N1828,0)</f>
        <v/>
      </c>
      <c r="T1828" t="n">
        <v>0</v>
      </c>
      <c r="V1828" t="n">
        <v>0</v>
      </c>
    </row>
    <row r="1829">
      <c r="A1829">
        <f>Skills!A17</f>
        <v/>
      </c>
      <c r="B1829">
        <f>Skills!B17</f>
        <v/>
      </c>
      <c r="C1829">
        <f>Inputs!$B$3&gt;=115</f>
        <v/>
      </c>
      <c r="D1829">
        <f>IF(Skills!C17=1,60+Inputs!$B$25+Inputs!$B$29,IF(Skills!C17=2,90+Inputs!$B$26+Inputs!$B$29,IF(Skills!C17=3,120+Inputs!$B$27+Inputs!$B$29,MAX(0,(Inputs!$B$3-100)*3)+Inputs!$B$28+Inputs!$B$29)))</f>
        <v/>
      </c>
      <c r="E1829">
        <f>INDEX(FactorTable!$B$2:$Y$301, MATCH(ROUND(MIN(300,MAX(1,D1829)),0), FactorTable!$A$2:$A$301,0), Skills!M17+1)</f>
        <v/>
      </c>
      <c r="F1829">
        <f>IF(Skills!N17=TRUE,(Skills!L17/10)*(E1829/1000),Skills!L17/10)+Skills!O17</f>
        <v/>
      </c>
      <c r="G1829">
        <f>Calc!G17</f>
        <v/>
      </c>
      <c r="H1829">
        <f>Calc!H17</f>
        <v/>
      </c>
      <c r="I1829">
        <f>IF(Skills!AA17&lt;&gt;"",1+(Skills!AA17/10)*(U1815/1000)/100,1)</f>
        <v/>
      </c>
      <c r="J1829">
        <f>((Inputs!$B$6*(1+Inputs!$B$7/100))+(((Inputs!$B$12*(1+Inputs!$B$13/100))-(Inputs!$B$12*(1+Inputs!$B$13/100)))+0.25*(Inputs!$B$14-Inputs!$B$14))*(1+Inputs!$B$7/100))*(F1829/100)</f>
        <v/>
      </c>
      <c r="K1829">
        <f>J1829*(1+((Inputs!$B$12*(1+Inputs!$B$13/100))*0.01+Inputs!$B$14*0.0025)/100)*(1+Inputs!$B$15/100)*(1+Inputs!$B$16/100)*(5000/(6000+Inputs!$B$43*(1-Inputs!$B$19/100)))*(1+(Inputs!$B$24+((C1842=TRUE)*(F1842-Calc!F30)))/100)*(1+Skills!R17/100)*(1+(IF(Skills!A17="SHOWDOWN",Inputs!$B$17+((C1835=TRUE)*(F1835-Calc!F23)),Inputs!$B$18+((C1841=TRUE)*(F1841-Calc!F29))))/100)*(((1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B1854*I1829)</f>
        <v/>
      </c>
      <c r="L1829">
        <f>K1829*(MIN(Inputs!$B$22+((C1836=TRUE)*(F1836-Calc!F24)),Inputs!$B$23)/100+Inputs!$B$23/100)/2</f>
        <v/>
      </c>
      <c r="M1829">
        <f>L1829*(1+(Inputs!$B$10+((C1838=TRUE)*(F1838-Calc!F26))+B1855)/100)</f>
        <v/>
      </c>
      <c r="N1829">
        <f>L1829*(1-MIN((Inputs!$B$9+((C1837=TRUE)*(F1837-Calc!F25))+B1852),100)/100)+M1829*(MIN((Inputs!$B$9+((C1837=TRUE)*(F1837-Calc!F25))+B1852),100)/100)</f>
        <v/>
      </c>
      <c r="O1829">
        <f>(1-Summary!$B$55)*T1829+Summary!$B$55*V1829</f>
        <v/>
      </c>
      <c r="P1829">
        <f>IF(B1856=0,0,O1829/B1856)</f>
        <v/>
      </c>
      <c r="Q1829" t="n">
        <v>0</v>
      </c>
      <c r="R1829" t="n">
        <v>0</v>
      </c>
      <c r="S1829">
        <f>IFERROR(O1829/N1829,0)</f>
        <v/>
      </c>
      <c r="T1829">
        <f>IF(C1829,(Inputs!$B$38*0.2*N1829)*IF(Inputs!$B$39="pvp",1,1+(Inputs!$B$20+((C1839=TRUE)*(F1839-Calc!F27))+Skills!P17+B1853)/100),0)</f>
        <v/>
      </c>
      <c r="V1829">
        <f>IF(C1829,(Inputs!$B$38*0.2*N1829)*IF(Inputs!$B$39="pvp",1,(1+(Inputs!$B$21+Skills!Q17+B1853)/100)*(MIN(Skills!W17,Inputs!$B$37))),0)</f>
        <v/>
      </c>
    </row>
    <row r="1830">
      <c r="A1830">
        <f>Skills!A18</f>
        <v/>
      </c>
      <c r="B1830">
        <f>Skills!B18</f>
        <v/>
      </c>
      <c r="C1830">
        <f>Inputs!$B$3&gt;=115</f>
        <v/>
      </c>
      <c r="D1830">
        <f>IF(Skills!C18=1,60+Inputs!$B$25+Inputs!$B$29,IF(Skills!C18=2,90+Inputs!$B$26+Inputs!$B$29,IF(Skills!C18=3,120+Inputs!$B$27+Inputs!$B$29,MAX(0,(Inputs!$B$3-100)*3)+Inputs!$B$28+Inputs!$B$29)))</f>
        <v/>
      </c>
      <c r="E1830">
        <f>INDEX(FactorTable!$B$2:$Y$301, MATCH(ROUND(MIN(300,MAX(1,D1830)),0), FactorTable!$A$2:$A$301,0), Skills!M18+1)</f>
        <v/>
      </c>
      <c r="F1830">
        <f>IF(Skills!N18=TRUE,(Skills!L18/10)*(E1830/1000),Skills!L18/10)+Skills!O18</f>
        <v/>
      </c>
      <c r="G1830">
        <f>Calc!G18</f>
        <v/>
      </c>
      <c r="H1830">
        <f>Calc!H18</f>
        <v/>
      </c>
      <c r="I1830">
        <f>IF(Skills!AA18&lt;&gt;"",1+(Skills!AA18/10)*(U1815/1000)/100,1)</f>
        <v/>
      </c>
      <c r="J1830" t="inlineStr"/>
      <c r="K1830" t="inlineStr"/>
      <c r="L1830" t="inlineStr"/>
      <c r="M1830" t="inlineStr"/>
      <c r="N1830" t="inlineStr"/>
      <c r="O1830">
        <f>(1-Summary!$B$55)*T1830+Summary!$B$55*V1830</f>
        <v/>
      </c>
      <c r="P1830">
        <f>IF(B1856=0,0,O1830/B1856)</f>
        <v/>
      </c>
      <c r="Q1830" t="n">
        <v>0</v>
      </c>
      <c r="R1830" t="n">
        <v>0</v>
      </c>
      <c r="S1830">
        <f>IFERROR(O1830/N1830,0)</f>
        <v/>
      </c>
      <c r="T1830" t="n">
        <v>0</v>
      </c>
      <c r="V1830" t="n">
        <v>0</v>
      </c>
    </row>
    <row r="1831">
      <c r="A1831">
        <f>Skills!A19</f>
        <v/>
      </c>
      <c r="B1831">
        <f>Skills!B19</f>
        <v/>
      </c>
      <c r="C1831">
        <f>TRUE</f>
        <v/>
      </c>
      <c r="D1831">
        <f>IF(Skills!C19=1,60+Inputs!$B$25+Inputs!$B$29,IF(Skills!C19=2,90+Inputs!$B$26+Inputs!$B$29,IF(Skills!C19=3,120+Inputs!$B$27+Inputs!$B$29,MAX(0,(Inputs!$B$3-100)*3)+Inputs!$B$28+Inputs!$B$29)))</f>
        <v/>
      </c>
      <c r="E1831">
        <f>INDEX(FactorTable!$B$2:$Y$301, MATCH(ROUND(MIN(300,MAX(1,D1831)),0), FactorTable!$A$2:$A$301,0), Skills!M19+1)</f>
        <v/>
      </c>
      <c r="F1831">
        <f>IF(Skills!N19=TRUE,(Skills!L19/10)*(E1831/1000),Skills!L19/10)+Skills!O19</f>
        <v/>
      </c>
      <c r="G1831">
        <f>Calc!G19</f>
        <v/>
      </c>
      <c r="H1831">
        <f>Calc!H19</f>
        <v/>
      </c>
      <c r="I1831">
        <f>IF(Skills!AA19&lt;&gt;"",1+(Skills!AA19/10)*(U1815/1000)/100,1)</f>
        <v/>
      </c>
      <c r="J1831" t="inlineStr"/>
      <c r="K1831" t="inlineStr"/>
      <c r="L1831" t="inlineStr"/>
      <c r="M1831" t="inlineStr"/>
      <c r="N1831" t="inlineStr"/>
      <c r="O1831">
        <f>(1-Summary!$B$55)*T1831+Summary!$B$55*V1831</f>
        <v/>
      </c>
      <c r="P1831">
        <f>IF(B1856=0,0,O1831/B1856)</f>
        <v/>
      </c>
      <c r="Q1831">
        <f>IFERROR(1/IF(Inputs!$B$39="pvp",15,MAX(0.1,Skills!D19-IF(Skills!E19=TRUE,5.0,0))),0)</f>
        <v/>
      </c>
      <c r="R1831">
        <f>IF(AND(Inputs!$B$39&lt;&gt;"pvp",Inputs!$B$44&gt;0),IF(Inputs!$B$44&lt;=0,0,(INT(Inputs!$B$44/IF(Inputs!$B$39="pvp",15,MAX(0.1,Skills!D19-IF(Skills!E19=TRUE,5.0,0))))+1)),0)</f>
        <v/>
      </c>
      <c r="S1831">
        <f>IFERROR(O1831/N1831,0)</f>
        <v/>
      </c>
      <c r="T1831" t="n">
        <v>0</v>
      </c>
      <c r="V1831" t="n">
        <v>0</v>
      </c>
    </row>
    <row r="1832">
      <c r="A1832">
        <f>Skills!A20</f>
        <v/>
      </c>
      <c r="B1832">
        <f>Skills!B20</f>
        <v/>
      </c>
      <c r="C1832">
        <f>Inputs!$B$3&gt;=15</f>
        <v/>
      </c>
      <c r="D1832">
        <f>IF(Skills!C20=1,60+Inputs!$B$25+Inputs!$B$29,IF(Skills!C20=2,90+Inputs!$B$26+Inputs!$B$29,IF(Skills!C20=3,120+Inputs!$B$27+Inputs!$B$29,MAX(0,(Inputs!$B$3-100)*3)+Inputs!$B$28+Inputs!$B$29)))</f>
        <v/>
      </c>
      <c r="E1832">
        <f>INDEX(FactorTable!$B$2:$Y$301, MATCH(ROUND(MIN(300,MAX(1,D1832)),0), FactorTable!$A$2:$A$301,0), Skills!M20+1)</f>
        <v/>
      </c>
      <c r="F1832">
        <f>IF(Skills!N20=TRUE,(Skills!L20/10)*(E1832/1000),Skills!L20/10)+Skills!O20</f>
        <v/>
      </c>
      <c r="G1832">
        <f>Calc!G20</f>
        <v/>
      </c>
      <c r="H1832">
        <f>Calc!H20</f>
        <v/>
      </c>
      <c r="I1832">
        <f>IF(Skills!AA20&lt;&gt;"",1+(Skills!AA20/10)*(U1815/1000)/100,1)</f>
        <v/>
      </c>
      <c r="J1832" t="inlineStr"/>
      <c r="K1832" t="inlineStr"/>
      <c r="L1832" t="inlineStr"/>
      <c r="M1832" t="inlineStr"/>
      <c r="N1832" t="inlineStr"/>
      <c r="O1832">
        <f>(1-Summary!$B$55)*T1832+Summary!$B$55*V1832</f>
        <v/>
      </c>
      <c r="P1832">
        <f>IF(B1856=0,0,O1832/B1856)</f>
        <v/>
      </c>
      <c r="Q1832">
        <f>IFERROR(1/IF(Inputs!$B$39="pvp",15,MAX(0.1,Skills!D20-IF(Skills!E20=TRUE,5.0,0))),0)</f>
        <v/>
      </c>
      <c r="R1832">
        <f>IF(AND(Inputs!$B$39&lt;&gt;"pvp",Inputs!$B$44&gt;0),IF(Inputs!$B$44&lt;=0,0,(INT(Inputs!$B$44/IF(Inputs!$B$39="pvp",15,MAX(0.1,Skills!D20-IF(Skills!E20=TRUE,5.0,0))))+1)),0)</f>
        <v/>
      </c>
      <c r="S1832">
        <f>IFERROR(O1832/N1832,0)</f>
        <v/>
      </c>
      <c r="T1832" t="n">
        <v>0</v>
      </c>
      <c r="V1832" t="n">
        <v>0</v>
      </c>
    </row>
    <row r="1833">
      <c r="A1833">
        <f>Skills!A21</f>
        <v/>
      </c>
      <c r="B1833">
        <f>Skills!B21</f>
        <v/>
      </c>
      <c r="C1833">
        <f>Inputs!$B$3&gt;=15</f>
        <v/>
      </c>
      <c r="D1833">
        <f>IF(Skills!C21=1,60+Inputs!$B$25+Inputs!$B$29,IF(Skills!C21=2,90+Inputs!$B$26+Inputs!$B$29,IF(Skills!C21=3,120+Inputs!$B$27+Inputs!$B$29,MAX(0,(Inputs!$B$3-100)*3)+Inputs!$B$28+Inputs!$B$29)))</f>
        <v/>
      </c>
      <c r="E1833">
        <f>INDEX(FactorTable!$B$2:$Y$301, MATCH(ROUND(MIN(300,MAX(1,D1833)),0), FactorTable!$A$2:$A$301,0), Skills!M21+1)</f>
        <v/>
      </c>
      <c r="F1833">
        <f>IF(Skills!N21=TRUE,(Skills!L21/10)*(E1833/1000),Skills!L21/10)+Skills!O21</f>
        <v/>
      </c>
      <c r="G1833">
        <f>Calc!G21</f>
        <v/>
      </c>
      <c r="H1833">
        <f>Calc!H21</f>
        <v/>
      </c>
      <c r="I1833">
        <f>IF(Skills!AA21&lt;&gt;"",1+(Skills!AA21/10)*(U1815/1000)/100,1)</f>
        <v/>
      </c>
      <c r="J1833" t="inlineStr"/>
      <c r="K1833" t="inlineStr"/>
      <c r="L1833" t="inlineStr"/>
      <c r="M1833" t="inlineStr"/>
      <c r="N1833" t="inlineStr"/>
      <c r="O1833">
        <f>(1-Summary!$B$55)*T1833+Summary!$B$55*V1833</f>
        <v/>
      </c>
      <c r="P1833">
        <f>IF(B1856=0,0,O1833/B1856)</f>
        <v/>
      </c>
      <c r="Q1833">
        <f>IFERROR(1/IF(Inputs!$B$39="pvp",15,MAX(0.1,Skills!D21-IF(Skills!E21=TRUE,5.0,0))),0)</f>
        <v/>
      </c>
      <c r="R1833">
        <f>IF(AND(Inputs!$B$39&lt;&gt;"pvp",Inputs!$B$44&gt;0),IF(Inputs!$B$44&lt;=0,0,(INT(Inputs!$B$44/IF(Inputs!$B$39="pvp",15,MAX(0.1,Skills!D21-IF(Skills!E21=TRUE,5.0,0))))+1)),0)</f>
        <v/>
      </c>
      <c r="S1833">
        <f>IFERROR(O1833/N1833,0)</f>
        <v/>
      </c>
      <c r="T1833" t="n">
        <v>0</v>
      </c>
      <c r="V1833" t="n">
        <v>0</v>
      </c>
    </row>
    <row r="1834">
      <c r="A1834">
        <f>Skills!A22</f>
        <v/>
      </c>
      <c r="B1834">
        <f>Skills!B22</f>
        <v/>
      </c>
      <c r="C1834">
        <f>Inputs!$B$3&gt;=33</f>
        <v/>
      </c>
      <c r="D1834">
        <f>IF(Skills!C22=1,60+Inputs!$B$25+Inputs!$B$29,IF(Skills!C22=2,90+Inputs!$B$26+Inputs!$B$29,IF(Skills!C22=3,120+Inputs!$B$27+Inputs!$B$29,MAX(0,(Inputs!$B$3-100)*3)+Inputs!$B$28+Inputs!$B$29)))</f>
        <v/>
      </c>
      <c r="E1834">
        <f>INDEX(FactorTable!$B$2:$Y$301, MATCH(ROUND(MIN(300,MAX(1,D1834)),0), FactorTable!$A$2:$A$301,0), Skills!M22+1)</f>
        <v/>
      </c>
      <c r="F1834">
        <f>IF(Skills!N22=TRUE,(Skills!L22/10)*(E1834/1000),Skills!L22/10)+Skills!O22</f>
        <v/>
      </c>
      <c r="G1834">
        <f>Calc!G22</f>
        <v/>
      </c>
      <c r="H1834">
        <f>Calc!H22</f>
        <v/>
      </c>
      <c r="I1834">
        <f>IF(Skills!AA22&lt;&gt;"",1+(Skills!AA22/10)*(U1815/1000)/100,1)</f>
        <v/>
      </c>
      <c r="J1834" t="inlineStr"/>
      <c r="K1834" t="inlineStr"/>
      <c r="L1834" t="inlineStr"/>
      <c r="M1834" t="inlineStr"/>
      <c r="N1834" t="inlineStr"/>
      <c r="O1834">
        <f>(1-Summary!$B$55)*T1834+Summary!$B$55*V1834</f>
        <v/>
      </c>
      <c r="P1834">
        <f>IF(B1856=0,0,O1834/B1856)</f>
        <v/>
      </c>
      <c r="Q1834" t="n">
        <v>0</v>
      </c>
      <c r="R1834" t="n">
        <v>0</v>
      </c>
      <c r="S1834">
        <f>IFERROR(O1834/N1834,0)</f>
        <v/>
      </c>
      <c r="T1834" t="n">
        <v>0</v>
      </c>
      <c r="V1834" t="n">
        <v>0</v>
      </c>
    </row>
    <row r="1835">
      <c r="A1835">
        <f>Skills!A23</f>
        <v/>
      </c>
      <c r="B1835">
        <f>Skills!B23</f>
        <v/>
      </c>
      <c r="C1835">
        <f>Inputs!$B$3&gt;=38</f>
        <v/>
      </c>
      <c r="D1835">
        <f>IF(Skills!C23=1,60+Inputs!$B$25+Inputs!$B$29,IF(Skills!C23=2,90+Inputs!$B$26+Inputs!$B$29,IF(Skills!C23=3,120+Inputs!$B$27+Inputs!$B$29,MAX(0,(Inputs!$B$3-100)*3)+Inputs!$B$28+Inputs!$B$29)))</f>
        <v/>
      </c>
      <c r="E1835">
        <f>INDEX(FactorTable!$B$2:$Y$301, MATCH(ROUND(MIN(300,MAX(1,D1835)),0), FactorTable!$A$2:$A$301,0), Skills!M23+1)</f>
        <v/>
      </c>
      <c r="F1835">
        <f>IF(Skills!N23=TRUE,(Skills!L23/10)*(E1835/1000),Skills!L23/10)+Skills!O23</f>
        <v/>
      </c>
      <c r="G1835">
        <f>Calc!G23</f>
        <v/>
      </c>
      <c r="H1835">
        <f>Calc!H23</f>
        <v/>
      </c>
      <c r="I1835">
        <f>IF(Skills!AA23&lt;&gt;"",1+(Skills!AA23/10)*(U1815/1000)/100,1)</f>
        <v/>
      </c>
      <c r="J1835" t="inlineStr"/>
      <c r="K1835" t="inlineStr"/>
      <c r="L1835" t="inlineStr"/>
      <c r="M1835" t="inlineStr"/>
      <c r="N1835" t="inlineStr"/>
      <c r="O1835">
        <f>(1-Summary!$B$55)*T1835+Summary!$B$55*V1835</f>
        <v/>
      </c>
      <c r="P1835">
        <f>IF(B1856=0,0,O1835/B1856)</f>
        <v/>
      </c>
      <c r="Q1835" t="n">
        <v>0</v>
      </c>
      <c r="R1835" t="n">
        <v>0</v>
      </c>
      <c r="S1835">
        <f>IFERROR(O1835/N1835,0)</f>
        <v/>
      </c>
      <c r="T1835" t="n">
        <v>0</v>
      </c>
      <c r="V1835" t="n">
        <v>0</v>
      </c>
    </row>
    <row r="1836">
      <c r="A1836">
        <f>Skills!A24</f>
        <v/>
      </c>
      <c r="B1836">
        <f>Skills!B24</f>
        <v/>
      </c>
      <c r="C1836">
        <f>Inputs!$B$3&gt;=40</f>
        <v/>
      </c>
      <c r="D1836">
        <f>IF(Skills!C24=1,60+Inputs!$B$25+Inputs!$B$29,IF(Skills!C24=2,90+Inputs!$B$26+Inputs!$B$29,IF(Skills!C24=3,120+Inputs!$B$27+Inputs!$B$29,MAX(0,(Inputs!$B$3-100)*3)+Inputs!$B$28+Inputs!$B$29)))</f>
        <v/>
      </c>
      <c r="E1836">
        <f>INDEX(FactorTable!$B$2:$Y$301, MATCH(ROUND(MIN(300,MAX(1,D1836)),0), FactorTable!$A$2:$A$301,0), Skills!M24+1)</f>
        <v/>
      </c>
      <c r="F1836">
        <f>IF(Skills!N24=TRUE,(Skills!L24/10)*(E1836/1000),Skills!L24/10)+Skills!O24</f>
        <v/>
      </c>
      <c r="G1836">
        <f>Calc!G24</f>
        <v/>
      </c>
      <c r="H1836">
        <f>Calc!H24</f>
        <v/>
      </c>
      <c r="I1836">
        <f>IF(Skills!AA24&lt;&gt;"",1+(Skills!AA24/10)*(U1815/1000)/100,1)</f>
        <v/>
      </c>
      <c r="J1836" t="inlineStr"/>
      <c r="K1836" t="inlineStr"/>
      <c r="L1836" t="inlineStr"/>
      <c r="M1836" t="inlineStr"/>
      <c r="N1836" t="inlineStr"/>
      <c r="O1836">
        <f>(1-Summary!$B$55)*T1836+Summary!$B$55*V1836</f>
        <v/>
      </c>
      <c r="P1836">
        <f>IF(B1856=0,0,O1836/B1856)</f>
        <v/>
      </c>
      <c r="Q1836" t="n">
        <v>0</v>
      </c>
      <c r="R1836" t="n">
        <v>0</v>
      </c>
      <c r="S1836">
        <f>IFERROR(O1836/N1836,0)</f>
        <v/>
      </c>
      <c r="T1836" t="n">
        <v>0</v>
      </c>
      <c r="V1836" t="n">
        <v>0</v>
      </c>
    </row>
    <row r="1837">
      <c r="A1837">
        <f>Skills!A25</f>
        <v/>
      </c>
      <c r="B1837">
        <f>Skills!B25</f>
        <v/>
      </c>
      <c r="C1837">
        <f>Inputs!$B$3&gt;=45</f>
        <v/>
      </c>
      <c r="D1837">
        <f>IF(Skills!C25=1,60+Inputs!$B$25+Inputs!$B$29,IF(Skills!C25=2,90+Inputs!$B$26+Inputs!$B$29,IF(Skills!C25=3,120+Inputs!$B$27+Inputs!$B$29,MAX(0,(Inputs!$B$3-100)*3)+Inputs!$B$28+Inputs!$B$29)))</f>
        <v/>
      </c>
      <c r="E1837">
        <f>INDEX(FactorTable!$B$2:$Y$301, MATCH(ROUND(MIN(300,MAX(1,D1837)),0), FactorTable!$A$2:$A$301,0), Skills!M25+1)</f>
        <v/>
      </c>
      <c r="F1837">
        <f>IF(Skills!N25=TRUE,(Skills!L25/10)*(E1837/1000),Skills!L25/10)+Skills!O25</f>
        <v/>
      </c>
      <c r="G1837">
        <f>Calc!G25</f>
        <v/>
      </c>
      <c r="H1837">
        <f>Calc!H25</f>
        <v/>
      </c>
      <c r="I1837">
        <f>IF(Skills!AA25&lt;&gt;"",1+(Skills!AA25/10)*(U1815/1000)/100,1)</f>
        <v/>
      </c>
      <c r="J1837" t="inlineStr"/>
      <c r="K1837" t="inlineStr"/>
      <c r="L1837" t="inlineStr"/>
      <c r="M1837" t="inlineStr"/>
      <c r="N1837" t="inlineStr"/>
      <c r="O1837">
        <f>(1-Summary!$B$55)*T1837+Summary!$B$55*V1837</f>
        <v/>
      </c>
      <c r="P1837">
        <f>IF(B1856=0,0,O1837/B1856)</f>
        <v/>
      </c>
      <c r="Q1837" t="n">
        <v>0</v>
      </c>
      <c r="R1837" t="n">
        <v>0</v>
      </c>
      <c r="S1837">
        <f>IFERROR(O1837/N1837,0)</f>
        <v/>
      </c>
      <c r="T1837" t="n">
        <v>0</v>
      </c>
      <c r="V1837" t="n">
        <v>0</v>
      </c>
    </row>
    <row r="1838">
      <c r="A1838">
        <f>Skills!A26</f>
        <v/>
      </c>
      <c r="B1838">
        <f>Skills!B26</f>
        <v/>
      </c>
      <c r="C1838">
        <f>Inputs!$B$3&gt;=45</f>
        <v/>
      </c>
      <c r="D1838">
        <f>IF(Skills!C26=1,60+Inputs!$B$25+Inputs!$B$29,IF(Skills!C26=2,90+Inputs!$B$26+Inputs!$B$29,IF(Skills!C26=3,120+Inputs!$B$27+Inputs!$B$29,MAX(0,(Inputs!$B$3-100)*3)+Inputs!$B$28+Inputs!$B$29)))</f>
        <v/>
      </c>
      <c r="E1838">
        <f>INDEX(FactorTable!$B$2:$Y$301, MATCH(ROUND(MIN(300,MAX(1,D1838)),0), FactorTable!$A$2:$A$301,0), Skills!M26+1)</f>
        <v/>
      </c>
      <c r="F1838">
        <f>IF(Skills!N26=TRUE,(Skills!L26/10)*(E1838/1000),Skills!L26/10)+Skills!O26</f>
        <v/>
      </c>
      <c r="G1838">
        <f>Calc!G26</f>
        <v/>
      </c>
      <c r="H1838">
        <f>Calc!H26</f>
        <v/>
      </c>
      <c r="I1838">
        <f>IF(Skills!AA26&lt;&gt;"",1+(Skills!AA26/10)*(U1815/1000)/100,1)</f>
        <v/>
      </c>
      <c r="J1838" t="inlineStr"/>
      <c r="K1838" t="inlineStr"/>
      <c r="L1838" t="inlineStr"/>
      <c r="M1838" t="inlineStr"/>
      <c r="N1838" t="inlineStr"/>
      <c r="O1838">
        <f>(1-Summary!$B$55)*T1838+Summary!$B$55*V1838</f>
        <v/>
      </c>
      <c r="P1838">
        <f>IF(B1856=0,0,O1838/B1856)</f>
        <v/>
      </c>
      <c r="Q1838" t="n">
        <v>0</v>
      </c>
      <c r="R1838" t="n">
        <v>0</v>
      </c>
      <c r="S1838">
        <f>IFERROR(O1838/N1838,0)</f>
        <v/>
      </c>
      <c r="T1838" t="n">
        <v>0</v>
      </c>
      <c r="V1838" t="n">
        <v>0</v>
      </c>
    </row>
    <row r="1839">
      <c r="A1839">
        <f>Skills!A27</f>
        <v/>
      </c>
      <c r="B1839">
        <f>Skills!B27</f>
        <v/>
      </c>
      <c r="C1839">
        <f>Inputs!$B$3&gt;=72</f>
        <v/>
      </c>
      <c r="D1839">
        <f>IF(Skills!C27=1,60+Inputs!$B$25+Inputs!$B$29,IF(Skills!C27=2,90+Inputs!$B$26+Inputs!$B$29,IF(Skills!C27=3,120+Inputs!$B$27+Inputs!$B$29,MAX(0,(Inputs!$B$3-100)*3)+Inputs!$B$28+Inputs!$B$29)))</f>
        <v/>
      </c>
      <c r="E1839">
        <f>INDEX(FactorTable!$B$2:$Y$301, MATCH(ROUND(MIN(300,MAX(1,D1839)),0), FactorTable!$A$2:$A$301,0), Skills!M27+1)</f>
        <v/>
      </c>
      <c r="F1839">
        <f>IF(Skills!N27=TRUE,(Skills!L27/10)*(E1839/1000),Skills!L27/10)+Skills!O27</f>
        <v/>
      </c>
      <c r="G1839">
        <f>Calc!G27</f>
        <v/>
      </c>
      <c r="H1839">
        <f>Calc!H27</f>
        <v/>
      </c>
      <c r="I1839">
        <f>IF(Skills!AA27&lt;&gt;"",1+(Skills!AA27/10)*(U1815/1000)/100,1)</f>
        <v/>
      </c>
      <c r="J1839" t="inlineStr"/>
      <c r="K1839" t="inlineStr"/>
      <c r="L1839" t="inlineStr"/>
      <c r="M1839" t="inlineStr"/>
      <c r="N1839" t="inlineStr"/>
      <c r="O1839">
        <f>(1-Summary!$B$55)*T1839+Summary!$B$55*V1839</f>
        <v/>
      </c>
      <c r="P1839">
        <f>IF(B1856=0,0,O1839/B1856)</f>
        <v/>
      </c>
      <c r="Q1839" t="n">
        <v>0</v>
      </c>
      <c r="R1839" t="n">
        <v>0</v>
      </c>
      <c r="S1839">
        <f>IFERROR(O1839/N1839,0)</f>
        <v/>
      </c>
      <c r="T1839" t="n">
        <v>0</v>
      </c>
      <c r="V1839" t="n">
        <v>0</v>
      </c>
    </row>
    <row r="1840">
      <c r="A1840">
        <f>Skills!A28</f>
        <v/>
      </c>
      <c r="B1840">
        <f>Skills!B28</f>
        <v/>
      </c>
      <c r="C1840">
        <f>Inputs!$B$3&gt;=75</f>
        <v/>
      </c>
      <c r="D1840">
        <f>IF(Skills!C28=1,60+Inputs!$B$25+Inputs!$B$29,IF(Skills!C28=2,90+Inputs!$B$26+Inputs!$B$29,IF(Skills!C28=3,120+Inputs!$B$27+Inputs!$B$29,MAX(0,(Inputs!$B$3-100)*3)+Inputs!$B$28+Inputs!$B$29)))</f>
        <v/>
      </c>
      <c r="E1840">
        <f>INDEX(FactorTable!$B$2:$Y$301, MATCH(ROUND(MIN(300,MAX(1,D1840)),0), FactorTable!$A$2:$A$301,0), Skills!M28+1)</f>
        <v/>
      </c>
      <c r="F1840">
        <f>IF(Skills!N28=TRUE,(Skills!L28/10)*(E1840/1000),Skills!L28/10)+Skills!O28</f>
        <v/>
      </c>
      <c r="G1840">
        <f>Calc!G28</f>
        <v/>
      </c>
      <c r="H1840">
        <f>Calc!H28</f>
        <v/>
      </c>
      <c r="I1840">
        <f>IF(Skills!AA28&lt;&gt;"",1+(Skills!AA28/10)*(U1815/1000)/100,1)</f>
        <v/>
      </c>
      <c r="J1840" t="inlineStr"/>
      <c r="K1840" t="inlineStr"/>
      <c r="L1840" t="inlineStr"/>
      <c r="M1840" t="inlineStr"/>
      <c r="N1840" t="inlineStr"/>
      <c r="O1840">
        <f>(1-Summary!$B$55)*T1840+Summary!$B$55*V1840</f>
        <v/>
      </c>
      <c r="P1840">
        <f>IF(B1856=0,0,O1840/B1856)</f>
        <v/>
      </c>
      <c r="Q1840" t="n">
        <v>0</v>
      </c>
      <c r="R1840" t="n">
        <v>0</v>
      </c>
      <c r="S1840">
        <f>IFERROR(O1840/N1840,0)</f>
        <v/>
      </c>
      <c r="T1840" t="n">
        <v>0</v>
      </c>
      <c r="V1840" t="n">
        <v>0</v>
      </c>
    </row>
    <row r="1841">
      <c r="A1841">
        <f>Skills!A29</f>
        <v/>
      </c>
      <c r="B1841">
        <f>Skills!B29</f>
        <v/>
      </c>
      <c r="C1841">
        <f>Inputs!$B$3&gt;=120</f>
        <v/>
      </c>
      <c r="D1841">
        <f>IF(Skills!C29=1,60+Inputs!$B$25+Inputs!$B$29,IF(Skills!C29=2,90+Inputs!$B$26+Inputs!$B$29,IF(Skills!C29=3,120+Inputs!$B$27+Inputs!$B$29,MAX(0,(Inputs!$B$3-100)*3)+Inputs!$B$28+Inputs!$B$29)))</f>
        <v/>
      </c>
      <c r="E1841">
        <f>INDEX(FactorTable!$B$2:$Y$301, MATCH(ROUND(MIN(300,MAX(1,D1841)),0), FactorTable!$A$2:$A$301,0), Skills!M29+1)</f>
        <v/>
      </c>
      <c r="F1841">
        <f>IF(Skills!N29=TRUE,(Skills!L29/10)*(E1841/1000),Skills!L29/10)+Skills!O29</f>
        <v/>
      </c>
      <c r="G1841">
        <f>Calc!G29</f>
        <v/>
      </c>
      <c r="H1841">
        <f>Calc!H29</f>
        <v/>
      </c>
      <c r="I1841">
        <f>IF(Skills!AA29&lt;&gt;"",1+(Skills!AA29/10)*(U1815/1000)/100,1)</f>
        <v/>
      </c>
      <c r="J1841" t="inlineStr"/>
      <c r="K1841" t="inlineStr"/>
      <c r="L1841" t="inlineStr"/>
      <c r="M1841" t="inlineStr"/>
      <c r="N1841" t="inlineStr"/>
      <c r="O1841">
        <f>(1-Summary!$B$55)*T1841+Summary!$B$55*V1841</f>
        <v/>
      </c>
      <c r="P1841">
        <f>IF(B1856=0,0,O1841/B1856)</f>
        <v/>
      </c>
      <c r="Q1841" t="n">
        <v>0</v>
      </c>
      <c r="R1841" t="n">
        <v>0</v>
      </c>
      <c r="S1841">
        <f>IFERROR(O1841/N1841,0)</f>
        <v/>
      </c>
      <c r="T1841" t="n">
        <v>0</v>
      </c>
      <c r="V1841" t="n">
        <v>0</v>
      </c>
    </row>
    <row r="1842">
      <c r="A1842">
        <f>Skills!A30</f>
        <v/>
      </c>
      <c r="B1842">
        <f>Skills!B30</f>
        <v/>
      </c>
      <c r="C1842">
        <f>Inputs!$B$3&gt;=125</f>
        <v/>
      </c>
      <c r="D1842">
        <f>IF(Skills!C30=1,60+Inputs!$B$25+Inputs!$B$29,IF(Skills!C30=2,90+Inputs!$B$26+Inputs!$B$29,IF(Skills!C30=3,120+Inputs!$B$27+Inputs!$B$29,MAX(0,(Inputs!$B$3-100)*3)+Inputs!$B$28+Inputs!$B$29)))</f>
        <v/>
      </c>
      <c r="E1842">
        <f>INDEX(FactorTable!$B$2:$Y$301, MATCH(ROUND(MIN(300,MAX(1,D1842)),0), FactorTable!$A$2:$A$301,0), Skills!M30+1)</f>
        <v/>
      </c>
      <c r="F1842">
        <f>IF(Skills!N30=TRUE,(Skills!L30/10)*(E1842/1000),Skills!L30/10)+Skills!O30</f>
        <v/>
      </c>
      <c r="G1842">
        <f>Calc!G30</f>
        <v/>
      </c>
      <c r="H1842">
        <f>Calc!H30</f>
        <v/>
      </c>
      <c r="I1842">
        <f>IF(Skills!AA30&lt;&gt;"",1+(Skills!AA30/10)*(U1815/1000)/100,1)</f>
        <v/>
      </c>
      <c r="J1842" t="inlineStr"/>
      <c r="K1842" t="inlineStr"/>
      <c r="L1842" t="inlineStr"/>
      <c r="M1842" t="inlineStr"/>
      <c r="N1842" t="inlineStr"/>
      <c r="O1842">
        <f>(1-Summary!$B$55)*T1842+Summary!$B$55*V1842</f>
        <v/>
      </c>
      <c r="P1842">
        <f>IF(B1856=0,0,O1842/B1856)</f>
        <v/>
      </c>
      <c r="Q1842" t="n">
        <v>0</v>
      </c>
      <c r="R1842" t="n">
        <v>0</v>
      </c>
      <c r="S1842">
        <f>IFERROR(O1842/N1842,0)</f>
        <v/>
      </c>
      <c r="T1842" t="n">
        <v>0</v>
      </c>
      <c r="V1842" t="n">
        <v>0</v>
      </c>
    </row>
    <row r="1843">
      <c r="A1843">
        <f>Skills!A31</f>
        <v/>
      </c>
      <c r="B1843">
        <f>Skills!B31</f>
        <v/>
      </c>
      <c r="C1843">
        <f>Inputs!$B$3&gt;=107</f>
        <v/>
      </c>
      <c r="D1843">
        <f>IF(Skills!C31=1,60+Inputs!$B$25+Inputs!$B$29,IF(Skills!C31=2,90+Inputs!$B$26+Inputs!$B$29,IF(Skills!C31=3,120+Inputs!$B$27+Inputs!$B$29,MAX(0,(Inputs!$B$3-100)*3)+Inputs!$B$28+Inputs!$B$29)))</f>
        <v/>
      </c>
      <c r="E1843">
        <f>INDEX(FactorTable!$B$2:$Y$301, MATCH(ROUND(MIN(300,MAX(1,D1843)),0), FactorTable!$A$2:$A$301,0), Skills!M31+1)</f>
        <v/>
      </c>
      <c r="F1843">
        <f>IF(Skills!N31=TRUE,(Skills!L31/10)*(E1843/1000),Skills!L31/10)+Skills!O31</f>
        <v/>
      </c>
      <c r="G1843">
        <f>Calc!G31</f>
        <v/>
      </c>
      <c r="H1843">
        <f>Calc!H31</f>
        <v/>
      </c>
      <c r="I1843">
        <f>IF(Skills!AA31&lt;&gt;"",1+(Skills!AA31/10)*(U1815/1000)/100,1)</f>
        <v/>
      </c>
      <c r="J1843" t="inlineStr"/>
      <c r="K1843" t="inlineStr"/>
      <c r="L1843" t="inlineStr"/>
      <c r="M1843" t="inlineStr"/>
      <c r="N1843" t="inlineStr"/>
      <c r="O1843">
        <f>(1-Summary!$B$55)*T1843+Summary!$B$55*V1843</f>
        <v/>
      </c>
      <c r="P1843">
        <f>IF(B1856=0,0,O1843/B1856)</f>
        <v/>
      </c>
      <c r="Q1843" t="n">
        <v>0</v>
      </c>
      <c r="R1843" t="n">
        <v>0</v>
      </c>
      <c r="S1843">
        <f>IFERROR(O1843/N1843,0)</f>
        <v/>
      </c>
      <c r="T1843" t="n">
        <v>0</v>
      </c>
      <c r="V1843" t="n">
        <v>0</v>
      </c>
    </row>
    <row r="1845">
      <c r="A1845" t="inlineStr">
        <is>
          <t>Actions Per Second (pre-Adrenalin)</t>
        </is>
      </c>
      <c r="B1845">
        <f>1+MIN(150,150*(1-(1-(Inputs!$B$11+((C1834=TRUE)*(F1834-Calc!F22)))/150)*(1-((C1831=TRUE)*F1831*IF(AND(Inputs!$B$39&lt;&gt;"pvp",Inputs!$B$44&gt;0),(((R1831-1)*(Skills!Y19*(1+Inputs!$B$34/100))+MIN((Skills!Y19*(1+Inputs!$B$34/100)),MAX(0,Inputs!$B$44-((R1831-1)*Skills!D19))))/Inputs!$B$44),IF(Inputs!$B$39="pvp",MIN((Skills!Y19*(1+Inputs!$B$34/100)),15)/15,(Skills!Y19*(1+Inputs!$B$34/100))/Skills!D19)))/150)))/100</f>
        <v/>
      </c>
    </row>
    <row r="1846">
      <c r="A1846" t="inlineStr">
        <is>
          <t>Alchemic Adrenaline Uptime</t>
        </is>
      </c>
      <c r="B1846">
        <f>(Skills!Y6*(1+Inputs!$B$34/100))/((Skills!Y6*(1+Inputs!$B$34/100))+(5/B1845))</f>
        <v/>
      </c>
    </row>
    <row r="1847">
      <c r="A1847" t="inlineStr">
        <is>
          <t>Attack Speed Buff Bonus %</t>
        </is>
      </c>
      <c r="B1847">
        <f>((C1831=TRUE)*F1831*IF(AND(Inputs!$B$39&lt;&gt;"pvp",Inputs!$B$44&gt;0),(((R1831-1)*(Skills!Y19*(1+Inputs!$B$34/100))+MIN((Skills!Y19*(1+Inputs!$B$34/100)),MAX(0,Inputs!$B$44-((R1831-1)*Skills!D19))))/Inputs!$B$44),IF(Inputs!$B$39="pvp",MIN((Skills!Y19*(1+Inputs!$B$34/100)),15)/15,(Skills!Y19*(1+Inputs!$B$34/100))/Skills!D19)))+((C1819=TRUE)*F1819*B1846)</f>
        <v/>
      </c>
    </row>
    <row r="1848">
      <c r="A1848" t="inlineStr">
        <is>
          <t>Actions Per Second (final)</t>
        </is>
      </c>
      <c r="B1848">
        <f>1+MIN(150,150*(1-(1-(Inputs!$B$11+((C1834=TRUE)*(F1834-Calc!F22)))/150)*(1-B1847/150)))/100</f>
        <v/>
      </c>
    </row>
    <row r="1849">
      <c r="A1849" t="inlineStr">
        <is>
          <t>Skill + Buff Cast Rate</t>
        </is>
      </c>
      <c r="B1849">
        <f>IF(AND(Inputs!$B$39&lt;&gt;"pvp",Inputs!$B$44&gt;0),SUMPRODUCT((Skills!E2:E31=TRUE)*(C1814:C1843=TRUE)*R1814:R1843*Skills!F2:F31)/Inputs!$B$44,SUMPRODUCT((Skills!E2:E31=TRUE)*(C1814:C1843=TRUE)*Q1814:Q1843*Skills!F2:F31))</f>
        <v/>
      </c>
    </row>
    <row r="1850">
      <c r="A1850" t="inlineStr">
        <is>
          <t>Showdown Casts Per Second</t>
        </is>
      </c>
      <c r="B1850">
        <f>MAX(0,B1848-B1849)</f>
        <v/>
      </c>
    </row>
    <row r="1851">
      <c r="A1851" t="inlineStr">
        <is>
          <t>Average Buff Multiplier</t>
        </is>
      </c>
      <c r="B1851">
        <f>(1+(((C1833=TRUE)*F1833*IF(AND(Inputs!$B$39&lt;&gt;"pvp",Inputs!$B$44&gt;0),(((R1833-1)*(Skills!Y21*(1+Inputs!$B$34/100))+MIN((Skills!Y21*(1+Inputs!$B$34/100)),MAX(0,Inputs!$B$44-((R1833-1)*Skills!D21))))/Inputs!$B$44),IF(Inputs!$B$39="pvp",MIN((Skills!Y21*(1+Inputs!$B$34/100)),15)/15,(Skills!Y21*(1+Inputs!$B$34/100))/Skills!D21)))+((C1840=TRUE)*(F1840-Calc!F28))+((C1830=TRUE)*(F1830-Calc!F18)))/100)*(1+((C1827=TRUE)*F1827*IF(AND(Inputs!$B$39&lt;&gt;"pvp",Inputs!$B$44&gt;0),(((R1827-1)*(Skills!Y15*(1+Inputs!$B$34/100))+MIN((Skills!Y15*(1+Inputs!$B$34/100)),MAX(0,Inputs!$B$44-((R1827-1)*Skills!D15))))/Inputs!$B$44),IF(Inputs!$B$39="pvp",MIN((Skills!Y15*(1+Inputs!$B$34/100)),15)/15,(Skills!Y15*(1+Inputs!$B$34/100))/Skills!D15)))/100)*(1+((C1818=TRUE)*F1818*B1846)/100)</f>
        <v/>
      </c>
    </row>
    <row r="1852">
      <c r="A1852" t="inlineStr">
        <is>
          <t>Global Crit Rate Bonus %</t>
        </is>
      </c>
      <c r="B1852">
        <f>IF(Inputs!$B$3&gt;=47,8,0)+((C1832=TRUE)*F1832*IF(AND(Inputs!$B$39&lt;&gt;"pvp",Inputs!$B$44&gt;0),(((R1832-1)*(Skills!Y20*(1+Inputs!$B$34/100))+MIN((Skills!Y20*(1+Inputs!$B$34/100)),MAX(0,Inputs!$B$44-((R1832-1)*Skills!D20))))/Inputs!$B$44),IF(Inputs!$B$39="pvp",MIN((Skills!Y20*(1+Inputs!$B$34/100)),15)/15,(Skills!Y20*(1+Inputs!$B$34/100))/Skills!D20)))</f>
        <v/>
      </c>
    </row>
    <row r="1853">
      <c r="A1853" t="inlineStr">
        <is>
          <t>Global Monster Damage-Taken Bonus %</t>
        </is>
      </c>
      <c r="B1853">
        <f>IF(Inputs!$B$3&gt;=82,15,0)+((C1828=TRUE)*F1828*IF(AND(Inputs!$B$39&lt;&gt;"pvp",Inputs!$B$44&gt;0),(((R1828-1)*(Skills!Y16*(1+Inputs!$B$34/100))+MIN((Skills!Y16*(1+Inputs!$B$34/100)),MAX(0,Inputs!$B$44-((R1828-1)*Skills!D16))))/Inputs!$B$44),IF(Inputs!$B$39="pvp",MIN((Skills!Y16*(1+Inputs!$B$34/100)),15)/15,(Skills!Y16*(1+Inputs!$B$34/100))/Skills!D16)))</f>
        <v/>
      </c>
    </row>
    <row r="1854">
      <c r="A1854" t="inlineStr">
        <is>
          <t>Shadow Partner Average Multiplier</t>
        </is>
      </c>
      <c r="B1854">
        <f>1+((C1823=TRUE)*F1823*I1823*Skills!J11/100)/100</f>
        <v/>
      </c>
    </row>
    <row r="1855">
      <c r="A1855" t="inlineStr">
        <is>
          <t>Global Critical Damage Bonus % (Frailty Curse Mastery Lv.111)</t>
        </is>
      </c>
      <c r="B1855">
        <f>IF(Inputs!$B$3&gt;=111,30,0)*IF(AND(Inputs!$B$39&lt;&gt;"pvp",Inputs!$B$44&gt;0),(((R1828-1)*(Skills!Y16*(1+Inputs!$B$34/100))+MIN((Skills!Y16*(1+Inputs!$B$34/100)),MAX(0,Inputs!$B$44-((R1828-1)*Skills!D16))))/Inputs!$B$44),IF(Inputs!$B$39="pvp",MIN((Skills!Y16*(1+Inputs!$B$34/100)),15)/15,(Skills!Y16*(1+Inputs!$B$34/100))/Skills!D16))</f>
        <v/>
      </c>
    </row>
    <row r="1856">
      <c r="A1856" s="5" t="inlineStr">
        <is>
          <t>TOTAL DPS</t>
        </is>
      </c>
      <c r="B1856" s="5">
        <f>SUM(O1814:O1843)</f>
        <v/>
      </c>
    </row>
    <row r="1857">
      <c r="A1857" t="inlineStr">
        <is>
          <t>Buff-Casting Startup Delay (s, fixed-duration only)</t>
        </is>
      </c>
      <c r="B1857">
        <f>IF(AND(Inputs!$B$39&lt;&gt;"pvp",Inputs!$B$44&gt;0),SUMPRODUCT((Skills!Y2:Y31&gt;0)*(Skills!E2:E31=TRUE)*(C1814:C1843=TRUE))/B1848,0)</f>
        <v/>
      </c>
    </row>
    <row r="1858">
      <c r="A1858" t="inlineStr">
        <is>
          <t>Boss-Only Total DPS (this block's swept value)</t>
        </is>
      </c>
      <c r="B1858">
        <f>SUM(T1814:T1843)</f>
        <v/>
      </c>
    </row>
    <row r="1859">
      <c r="A1859" t="inlineStr">
        <is>
          <t>Normal-Only Total DPS (this block's swept value)</t>
        </is>
      </c>
      <c r="B1859">
        <f>SUM(V1814:V1843)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2026-09-20T09:18:17Z</dcterms:created>
  <dcterms:modified xsi:type="dcterms:W3CDTF">2026-09-20T09:18:17Z</dcterms:modified>
</cp:coreProperties>
</file>